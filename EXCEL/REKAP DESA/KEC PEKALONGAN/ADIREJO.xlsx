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DIDIKAN" sheetId="1" r:id="rId5"/>
    <sheet state="visible" name="DATABASE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>
    <definedName hidden="1" localSheetId="2" name="_xlnm._FilterDatabase">'KESEHATAN SIP 6'!$A$31:$P$63</definedName>
  </definedNames>
  <calcPr/>
</workbook>
</file>

<file path=xl/sharedStrings.xml><?xml version="1.0" encoding="utf-8"?>
<sst xmlns="http://schemas.openxmlformats.org/spreadsheetml/2006/main" count="1825" uniqueCount="1124">
  <si>
    <t>LAPORAN POSYANDU</t>
  </si>
  <si>
    <t>BIDANG PENDIDIKAN</t>
  </si>
  <si>
    <t>DESA</t>
  </si>
  <si>
    <t xml:space="preserve">: ADIREJO 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</si>
  <si>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</si>
  <si>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</si>
  <si>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</si>
  <si>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</si>
  <si>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</si>
  <si>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</si>
  <si>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</si>
  <si>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</si>
  <si>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</si>
  <si>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</si>
  <si>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TERATAI</t>
  </si>
  <si>
    <t>1807045405770005</t>
  </si>
  <si>
    <t>NURLAILA</t>
  </si>
  <si>
    <t>RT 008 Dusun 3</t>
  </si>
  <si>
    <t>Tidak ada biaya untuk Kuliah jadi mengajukan pembuatan KIP</t>
  </si>
  <si>
    <t>Sudah diproses</t>
  </si>
  <si>
    <t>-</t>
  </si>
  <si>
    <t>MAWAR</t>
  </si>
  <si>
    <t>1872040802780001</t>
  </si>
  <si>
    <t>FERI DARMAWAN</t>
  </si>
  <si>
    <t>RT 014 DUSUN 5</t>
  </si>
  <si>
    <t>1807040605060005</t>
  </si>
  <si>
    <t>DANI MUHAMMAD IZAER</t>
  </si>
  <si>
    <t>RT 009 DUSUN 3</t>
  </si>
  <si>
    <t>MENDAFTAR TNI</t>
  </si>
  <si>
    <t>1807044806860004</t>
  </si>
  <si>
    <t>SUKHAMIM</t>
  </si>
  <si>
    <t>RT 16 DUSUN 6</t>
  </si>
  <si>
    <t>DATABASE POSYANDU</t>
  </si>
  <si>
    <t>NO</t>
  </si>
  <si>
    <t>NAMA POSYANDU</t>
  </si>
  <si>
    <t>HARI BUKA</t>
  </si>
  <si>
    <t>JUMLAH RUMAH</t>
  </si>
  <si>
    <t>JUMLAH KK</t>
  </si>
  <si>
    <t>JUMLAH PENDUDUK</t>
  </si>
  <si>
    <t>JUMLAH ANAK USIA 0-5 THN</t>
  </si>
  <si>
    <t>JUMLAH USIA REMAJA 6-18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</si>
  <si>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</si>
  <si>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</si>
  <si>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</si>
  <si>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</si>
  <si>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</si>
  <si>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</si>
  <si>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</si>
  <si>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</si>
  <si>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</si>
  <si>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</si>
  <si>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</si>
  <si>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</si>
  <si>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BAKTI</t>
  </si>
  <si>
    <t>Tgl 8</t>
  </si>
  <si>
    <t>Tidak Ada</t>
  </si>
  <si>
    <t>Madya</t>
  </si>
  <si>
    <t>ILP</t>
  </si>
  <si>
    <t>Tgl 10</t>
  </si>
  <si>
    <t xml:space="preserve">Tidak Ada </t>
  </si>
  <si>
    <t>NUSA INDAH</t>
  </si>
  <si>
    <t>Tgl 12</t>
  </si>
  <si>
    <t xml:space="preserve">Madya </t>
  </si>
  <si>
    <t>ILP 6 SPM</t>
  </si>
  <si>
    <t>ANGGREK</t>
  </si>
  <si>
    <t>Tgl 15</t>
  </si>
  <si>
    <t xml:space="preserve">Milik Sendiri </t>
  </si>
  <si>
    <t>Tgl 17</t>
  </si>
  <si>
    <t>JUMLAH</t>
  </si>
  <si>
    <t>DATA PENGUNJUNG</t>
  </si>
  <si>
    <t>: ADIREJO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</si>
  <si>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</si>
  <si>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</si>
  <si>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</si>
  <si>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</si>
  <si>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</si>
  <si>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</si>
  <si>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6-18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</si>
  <si>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</si>
  <si>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</si>
  <si>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</si>
  <si>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</si>
  <si>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</si>
  <si>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</si>
  <si>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</si>
  <si>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</si>
  <si>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</si>
  <si>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</si>
  <si>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</si>
  <si>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</si>
  <si>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</si>
  <si>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</si>
  <si>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</si>
  <si>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</si>
  <si>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</si>
  <si>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</si>
  <si>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</si>
  <si>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</si>
  <si>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</si>
  <si>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</si>
  <si>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</si>
  <si>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</si>
  <si>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</si>
  <si>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</si>
  <si>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</si>
  <si>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</si>
  <si>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</si>
  <si>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</si>
  <si>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</si>
  <si>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</si>
  <si>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</si>
  <si>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</si>
  <si>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</si>
  <si>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</si>
  <si>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</si>
  <si>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</si>
  <si>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</si>
  <si>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</si>
  <si>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</si>
  <si>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</si>
  <si>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</si>
  <si>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</si>
  <si>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</si>
  <si>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</si>
  <si>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</si>
  <si>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</si>
  <si>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</si>
  <si>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</si>
  <si>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anisatul mardiyah</t>
  </si>
  <si>
    <t>hengki rahmadi</t>
  </si>
  <si>
    <t>ariska oktaviani</t>
  </si>
  <si>
    <t>aji nur sikim</t>
  </si>
  <si>
    <t>aulia fariza n</t>
  </si>
  <si>
    <t>m. dio alvero</t>
  </si>
  <si>
    <t>ema sriyatun</t>
  </si>
  <si>
    <t>frisna galang</t>
  </si>
  <si>
    <t>emayuta</t>
  </si>
  <si>
    <t>andi pandayudi</t>
  </si>
  <si>
    <t>erisa desvi</t>
  </si>
  <si>
    <t>febrian ramadhan</t>
  </si>
  <si>
    <t>ernita yolanda</t>
  </si>
  <si>
    <t>dian prayoga</t>
  </si>
  <si>
    <t>fitriyani</t>
  </si>
  <si>
    <t>toko saputro</t>
  </si>
  <si>
    <t>Malinda Efendi Lestari</t>
  </si>
  <si>
    <t>hendra lukman</t>
  </si>
  <si>
    <t>nurfita sari</t>
  </si>
  <si>
    <t>apriadi</t>
  </si>
  <si>
    <t>siti aisyah</t>
  </si>
  <si>
    <t>ikam saputra</t>
  </si>
  <si>
    <t>yulianti</t>
  </si>
  <si>
    <t>aldi prayetno</t>
  </si>
  <si>
    <t>agustina leonida</t>
  </si>
  <si>
    <t xml:space="preserve">heriansyah </t>
  </si>
  <si>
    <t>Melahirkan</t>
  </si>
  <si>
    <t>anika haryani</t>
  </si>
  <si>
    <t xml:space="preserve">arianto  wibowo </t>
  </si>
  <si>
    <t>annur khadijah</t>
  </si>
  <si>
    <t xml:space="preserve">anas khoironi </t>
  </si>
  <si>
    <t>clara lolita</t>
  </si>
  <si>
    <t xml:space="preserve">adam fathurohman </t>
  </si>
  <si>
    <t>hildawati</t>
  </si>
  <si>
    <t xml:space="preserve">hendrawan adi </t>
  </si>
  <si>
    <t>Nifas</t>
  </si>
  <si>
    <t>intan kumita</t>
  </si>
  <si>
    <t xml:space="preserve">misbahul khoiri </t>
  </si>
  <si>
    <t>katiyem</t>
  </si>
  <si>
    <t xml:space="preserve">dimas wahyudi </t>
  </si>
  <si>
    <t>mursiati</t>
  </si>
  <si>
    <t xml:space="preserve">yono purwanto </t>
  </si>
  <si>
    <t>Abortus</t>
  </si>
  <si>
    <t>noval ana. k</t>
  </si>
  <si>
    <t xml:space="preserve">reza feeri </t>
  </si>
  <si>
    <t>ocktaria puspita sari</t>
  </si>
  <si>
    <t xml:space="preserve">yudi kurniawan </t>
  </si>
  <si>
    <t>resi adetya</t>
  </si>
  <si>
    <t xml:space="preserve">antoni  </t>
  </si>
  <si>
    <t>ristia wati</t>
  </si>
  <si>
    <t xml:space="preserve">aria suhendra </t>
  </si>
  <si>
    <t>rodiyah</t>
  </si>
  <si>
    <t xml:space="preserve">amri  makruf </t>
  </si>
  <si>
    <t>suryani rahma dewi</t>
  </si>
  <si>
    <t xml:space="preserve">doni sulaiman </t>
  </si>
  <si>
    <t xml:space="preserve">susanti kumalasari </t>
  </si>
  <si>
    <t xml:space="preserve">triono  </t>
  </si>
  <si>
    <t>fitri ningsih</t>
  </si>
  <si>
    <t xml:space="preserve">Hamil </t>
  </si>
  <si>
    <t xml:space="preserve">neti </t>
  </si>
  <si>
    <t xml:space="preserve">ahmad mursid </t>
  </si>
  <si>
    <t xml:space="preserve">risti rahma andriani </t>
  </si>
  <si>
    <t xml:space="preserve">danang wahyudi  </t>
  </si>
  <si>
    <t xml:space="preserve">shelly meisita sari  </t>
  </si>
  <si>
    <t xml:space="preserve">sindi anggraini </t>
  </si>
  <si>
    <t xml:space="preserve">edi susanto 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</si>
  <si>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</si>
  <si>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</si>
  <si>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</si>
  <si>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</si>
  <si>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</si>
  <si>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</si>
  <si>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</si>
  <si>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KAYLA</t>
  </si>
  <si>
    <t>MESTUN</t>
  </si>
  <si>
    <t>RAFKA ARSHA FATHAN</t>
  </si>
  <si>
    <t>DANDUN</t>
  </si>
  <si>
    <t>ATAYYA</t>
  </si>
  <si>
    <t>MUTIA</t>
  </si>
  <si>
    <t>NATANIA</t>
  </si>
  <si>
    <t>FRIDA</t>
  </si>
  <si>
    <t>NAURA</t>
  </si>
  <si>
    <t>SRI MARTINI</t>
  </si>
  <si>
    <t>DELVIN</t>
  </si>
  <si>
    <t>UMI</t>
  </si>
  <si>
    <t>SYAHROVI</t>
  </si>
  <si>
    <t>MANGGAR</t>
  </si>
  <si>
    <t>GHAVI</t>
  </si>
  <si>
    <t>JELITA</t>
  </si>
  <si>
    <t>AZLAN</t>
  </si>
  <si>
    <t>ARLA</t>
  </si>
  <si>
    <t>ARGA</t>
  </si>
  <si>
    <t>TIA</t>
  </si>
  <si>
    <t>SYAFIRA</t>
  </si>
  <si>
    <t>SUBADRIAH</t>
  </si>
  <si>
    <t>ARSAKA</t>
  </si>
  <si>
    <t>SINTA</t>
  </si>
  <si>
    <t>ZESHA</t>
  </si>
  <si>
    <t>RIMA</t>
  </si>
  <si>
    <t>NAUREEN</t>
  </si>
  <si>
    <t>SEPTI</t>
  </si>
  <si>
    <t>CELINA</t>
  </si>
  <si>
    <t>RESTU</t>
  </si>
  <si>
    <t>AIZA ELSANUM LINOR</t>
  </si>
  <si>
    <t>ALVIAN LINOR</t>
  </si>
  <si>
    <t>ADZKIYA NAILA TALEETA</t>
  </si>
  <si>
    <t>SUTANTO</t>
  </si>
  <si>
    <t>M. IQBAL AL FATIH</t>
  </si>
  <si>
    <t>MIFTAHUL HUDA</t>
  </si>
  <si>
    <t>ILHAM MUHAMMAD GHALY</t>
  </si>
  <si>
    <t>AMAN SUDANAK</t>
  </si>
  <si>
    <t>M. HAMID MUINUDDIN</t>
  </si>
  <si>
    <t>M. IMRON HUSEN</t>
  </si>
  <si>
    <t>LAILA NUHAIRA</t>
  </si>
  <si>
    <t>ANGGIT HIDAYAT</t>
  </si>
  <si>
    <t>FEISYA ASHALINE RIZKIANA</t>
  </si>
  <si>
    <t>DWI ASMORO</t>
  </si>
  <si>
    <t>QENAN ALFARIZKI</t>
  </si>
  <si>
    <t>MICO NURRISKY</t>
  </si>
  <si>
    <t>QUEENSHA ELSANUM PRASETYO</t>
  </si>
  <si>
    <t>AGUS PRASETYO</t>
  </si>
  <si>
    <t>ARKANA SHAQUILLE SYAPUTRA</t>
  </si>
  <si>
    <t>Tiyas / Yogi</t>
  </si>
  <si>
    <t>RAFKA ALFA RENDRA</t>
  </si>
  <si>
    <t>Riski / Sandi</t>
  </si>
  <si>
    <t>GIO AFKAR PERWIRA</t>
  </si>
  <si>
    <t>Jelita / Angga</t>
  </si>
  <si>
    <t>QENARA ARSYILA RAHMANIA</t>
  </si>
  <si>
    <t>Suryani</t>
  </si>
  <si>
    <t>INDIKA</t>
  </si>
  <si>
    <t>2024-11-07</t>
  </si>
  <si>
    <t>Uswatun / Robi</t>
  </si>
  <si>
    <t>RISKIA HUMAIRA SYAHIRA</t>
  </si>
  <si>
    <t>2024-11-20</t>
  </si>
  <si>
    <t>Manggar</t>
  </si>
  <si>
    <t>UKASYA KAIFANO FIRNANDO</t>
  </si>
  <si>
    <t>2024-11-24</t>
  </si>
  <si>
    <t>Mareta / Feri</t>
  </si>
  <si>
    <t>BRIAN ADITIA</t>
  </si>
  <si>
    <t>2024-12-21</t>
  </si>
  <si>
    <t>Puji / Tegar</t>
  </si>
  <si>
    <t>RAIHAN ADITIA</t>
  </si>
  <si>
    <t>2025-03-07</t>
  </si>
  <si>
    <t>Neni / Joko</t>
  </si>
  <si>
    <t>HUBEIB</t>
  </si>
  <si>
    <t>2025-04-11</t>
  </si>
  <si>
    <t>Fina/Imron</t>
  </si>
  <si>
    <t>KHARLIS AFIF SYAPUTRA</t>
  </si>
  <si>
    <t>2025-05-07</t>
  </si>
  <si>
    <t>Mala</t>
  </si>
  <si>
    <t>AYYASH RIZQY RAFAESYZA</t>
  </si>
  <si>
    <t>2025-05-15</t>
  </si>
  <si>
    <t>Deni Novilia</t>
  </si>
  <si>
    <t>AYYASH RIZQY RAFAEYZA</t>
  </si>
  <si>
    <t>deni novilia</t>
  </si>
  <si>
    <t>KENIZIO</t>
  </si>
  <si>
    <t>2025-07-04</t>
  </si>
  <si>
    <t>Ani Safitri</t>
  </si>
  <si>
    <t>AFKHANZA DAREL ANDRIAN</t>
  </si>
  <si>
    <t>2025-07-08</t>
  </si>
  <si>
    <t>listiatun/cros</t>
  </si>
  <si>
    <t>AYESHA NOOR JAUZA</t>
  </si>
  <si>
    <t>2025-07-14</t>
  </si>
  <si>
    <t>Listiatun/Cros</t>
  </si>
  <si>
    <t>HENOK</t>
  </si>
  <si>
    <t>2025-07-15</t>
  </si>
  <si>
    <t>Tina/Donal</t>
  </si>
  <si>
    <t>M.iqham Al Fattah</t>
  </si>
  <si>
    <t>2025-08-22</t>
  </si>
  <si>
    <t>Febby/Huda</t>
  </si>
  <si>
    <t>AQEELA ZAHRA ALMAIRA</t>
  </si>
  <si>
    <t>2025-10-14</t>
  </si>
  <si>
    <t>Selvia/Habib</t>
  </si>
  <si>
    <t>SHAKA PENGKUH WIRATAMA</t>
  </si>
  <si>
    <t>2025-10-16</t>
  </si>
  <si>
    <t>Mala/Wahyudi</t>
  </si>
  <si>
    <t>ZHAZIA SOCA BELVANIA</t>
  </si>
  <si>
    <t>2023-03-14</t>
  </si>
  <si>
    <t>Nones Pranindi</t>
  </si>
  <si>
    <t>ABRIZAM ZICO ALFARO</t>
  </si>
  <si>
    <t>2024-06-06</t>
  </si>
  <si>
    <t>Putri/Diki</t>
  </si>
  <si>
    <t>INARA PUTRI</t>
  </si>
  <si>
    <t>2021-07-08</t>
  </si>
  <si>
    <t>Siti Hariyati</t>
  </si>
  <si>
    <t>INTAN WIDIA WATI</t>
  </si>
  <si>
    <t>2023-05-31</t>
  </si>
  <si>
    <t>Ika Sutrisni</t>
  </si>
  <si>
    <t>Amora Disha Fernando</t>
  </si>
  <si>
    <t>Anisa/ Dico</t>
  </si>
  <si>
    <t>Ryshaka Shauqi</t>
  </si>
  <si>
    <t>Arnisa/Dimas</t>
  </si>
  <si>
    <t>M. Irsyad Firmasyah</t>
  </si>
  <si>
    <t>Rukayah/Hasan</t>
  </si>
  <si>
    <t>Alya Adreana Askia</t>
  </si>
  <si>
    <t>Desi/Tadik</t>
  </si>
  <si>
    <t>Alodie Tasya Ayu Nindia</t>
  </si>
  <si>
    <t>Adam/Clara</t>
  </si>
  <si>
    <t>Enza Leta Mavaza</t>
  </si>
  <si>
    <t>Ambarwati/Ainun</t>
  </si>
  <si>
    <t>RATU FATIMAH A</t>
  </si>
  <si>
    <t>TUGABUS/WINARTI</t>
  </si>
  <si>
    <t>Arabelle Zeline Pangestu</t>
  </si>
  <si>
    <t>Devitri/Habib</t>
  </si>
  <si>
    <t>Abizar</t>
  </si>
  <si>
    <t>Fitri/Okta</t>
  </si>
  <si>
    <t>Andira</t>
  </si>
  <si>
    <t>Andi/ Munawaroh</t>
  </si>
  <si>
    <t>Elzio Rafisqi Purnama</t>
  </si>
  <si>
    <t>Rani/Wahyu</t>
  </si>
  <si>
    <t>Deswita Azahra Nazifa</t>
  </si>
  <si>
    <t>Sarah/Khoiri</t>
  </si>
  <si>
    <t>Fahreza Arka Pratama</t>
  </si>
  <si>
    <t>Ratna/Amri</t>
  </si>
  <si>
    <t>Shanum</t>
  </si>
  <si>
    <t>Devita/Ifan</t>
  </si>
  <si>
    <t>Muhammad Arsya</t>
  </si>
  <si>
    <t>Ririn/Irfan</t>
  </si>
  <si>
    <t>Rafif</t>
  </si>
  <si>
    <t>M. Ukkasyah AL Akhtar</t>
  </si>
  <si>
    <t>Bayu/ Lia</t>
  </si>
  <si>
    <t>ALISHA SALMA S</t>
  </si>
  <si>
    <t>FITRI/WIDODO</t>
  </si>
  <si>
    <t>ALMANAF H</t>
  </si>
  <si>
    <t>GITA/IQBAL</t>
  </si>
  <si>
    <t>SHEZA CHECELIYA</t>
  </si>
  <si>
    <t>NUR KHOLIS</t>
  </si>
  <si>
    <t>MAUZA SYAKI WINATA</t>
  </si>
  <si>
    <t>IVO ARIWINATA</t>
  </si>
  <si>
    <t>KEENANDRA ALFAREZEL EL</t>
  </si>
  <si>
    <t>AGUNG BUDIYANTO</t>
  </si>
  <si>
    <t>MAISYA SALSABILA</t>
  </si>
  <si>
    <t>ASEP YANA WIJAYA</t>
  </si>
  <si>
    <t>M. ARHAM FABIANDI</t>
  </si>
  <si>
    <t>AGUS SUSANTO</t>
  </si>
  <si>
    <t>AZIZAH MUHARRAM S</t>
  </si>
  <si>
    <t>BAYU SAPUTRA</t>
  </si>
  <si>
    <t>RATU AISYAH AL H</t>
  </si>
  <si>
    <t>TUBAGUS SURYA N</t>
  </si>
  <si>
    <t>MUHAMMAD EL BARRA D</t>
  </si>
  <si>
    <t>RUDIANTO</t>
  </si>
  <si>
    <t>BALQIS SAUQILLAVA</t>
  </si>
  <si>
    <t>DWI NURCAHYA N</t>
  </si>
  <si>
    <t>RAISHA ALESHA IFANI</t>
  </si>
  <si>
    <t>M. IRVAN</t>
  </si>
  <si>
    <t>FARRA HUMAIRA KINENA</t>
  </si>
  <si>
    <t>WINARTO</t>
  </si>
  <si>
    <t>YOVIE ALFARIZKI</t>
  </si>
  <si>
    <t>Winarto /wulan</t>
  </si>
  <si>
    <t>ASHA ROSALIA .P.</t>
  </si>
  <si>
    <t>eko / ivani</t>
  </si>
  <si>
    <t>AMEERA MARYAM DARMAWAN</t>
  </si>
  <si>
    <t>tyas / cici</t>
  </si>
  <si>
    <t>AMERA MARJAM DARMAWAN</t>
  </si>
  <si>
    <t>TYAS/CICI</t>
  </si>
  <si>
    <t>BRANCO YESAYA PAKPAHAN</t>
  </si>
  <si>
    <t>braun / lertina</t>
  </si>
  <si>
    <t>ASHA ROSALIA PRASETYA</t>
  </si>
  <si>
    <t>2024-11-29</t>
  </si>
  <si>
    <t>EKO/WANI</t>
  </si>
  <si>
    <t>MUHAMMAD RAYYANKA MAULANA</t>
  </si>
  <si>
    <t>2024-12-01</t>
  </si>
  <si>
    <t>Rudi / amah</t>
  </si>
  <si>
    <t>ERENOAH GYANOV GHIFARI</t>
  </si>
  <si>
    <t>2025-03-03</t>
  </si>
  <si>
    <t>GHIFARI/TRI</t>
  </si>
  <si>
    <t>GHARVI ARKATAMA</t>
  </si>
  <si>
    <t>2025-07-19</t>
  </si>
  <si>
    <t>GALIH/DESTA</t>
  </si>
  <si>
    <t>SHAKA AL FATHAN DEVANDRA</t>
  </si>
  <si>
    <t>2025-10-12</t>
  </si>
  <si>
    <t>HARYADI/FASINATUL</t>
  </si>
  <si>
    <t>Adzriel Rafif Fahri</t>
  </si>
  <si>
    <t>Siti/Ponirin</t>
  </si>
  <si>
    <t>Elfathan M. Sakuile</t>
  </si>
  <si>
    <t>Elin</t>
  </si>
  <si>
    <t>Rafa Kurniawan</t>
  </si>
  <si>
    <t>Siti/Sugeng</t>
  </si>
  <si>
    <t>RAFFA KURNIAWAN</t>
  </si>
  <si>
    <t>SITI/SUGENG</t>
  </si>
  <si>
    <t>Trisa Rafena Divia</t>
  </si>
  <si>
    <t>Reni/Suryono</t>
  </si>
  <si>
    <t>ALZIO MAVITRA R</t>
  </si>
  <si>
    <t>WANTO/PUTRI</t>
  </si>
  <si>
    <t>Fahri Ramadani</t>
  </si>
  <si>
    <t>Siti Sumardianto</t>
  </si>
  <si>
    <t>Ahtar Farzan W.</t>
  </si>
  <si>
    <t>Arif Maryani</t>
  </si>
  <si>
    <t>Qiana Hasya Safira</t>
  </si>
  <si>
    <t>Deki Farida</t>
  </si>
  <si>
    <t>Mahren Safana M.</t>
  </si>
  <si>
    <t>Khoirunisa</t>
  </si>
  <si>
    <t>Arsyi Kiansya Zia</t>
  </si>
  <si>
    <t>Arbi/Eva</t>
  </si>
  <si>
    <t>ASSY QIANSYA ZIA</t>
  </si>
  <si>
    <t>RIO/EVA</t>
  </si>
  <si>
    <t>Devaro Zico Al Faris</t>
  </si>
  <si>
    <t>Ayu</t>
  </si>
  <si>
    <t>DEVARO ZICO ALFARIZ</t>
  </si>
  <si>
    <t>AYU/YULI</t>
  </si>
  <si>
    <t>UKASYAH ZAIN A.</t>
  </si>
  <si>
    <t>HANA NABILA</t>
  </si>
  <si>
    <t>M. Inamul Hasan</t>
  </si>
  <si>
    <t>Umah/Aan</t>
  </si>
  <si>
    <t>Rafan Gifari Raziqinin</t>
  </si>
  <si>
    <t>Rio/Novi</t>
  </si>
  <si>
    <t>Xenna Kafial Alsaki</t>
  </si>
  <si>
    <t>Septia Sodik</t>
  </si>
  <si>
    <t>Ratu Jelita Maheswari</t>
  </si>
  <si>
    <t>Metha</t>
  </si>
  <si>
    <t>Rafiq Wafiq Mustofa</t>
  </si>
  <si>
    <t>Aura</t>
  </si>
  <si>
    <t>Adzkia Kasika Tambanyong</t>
  </si>
  <si>
    <t>Irma</t>
  </si>
  <si>
    <t>Reya Putri Nadira</t>
  </si>
  <si>
    <t>Hari/Winda</t>
  </si>
  <si>
    <t>Elok Zahira Maharani</t>
  </si>
  <si>
    <t>Depi/Diska</t>
  </si>
  <si>
    <t>ESEA CHEIZYA S</t>
  </si>
  <si>
    <t>INDAH</t>
  </si>
  <si>
    <t>AKBAR RAMADHANI A</t>
  </si>
  <si>
    <t>AGUS</t>
  </si>
  <si>
    <t>RAFARDAN SABILUL NAFIS</t>
  </si>
  <si>
    <t>kasiman/hartini</t>
  </si>
  <si>
    <t>FAAZ</t>
  </si>
  <si>
    <t>SHELA</t>
  </si>
  <si>
    <t>M. ARJUNA RARIZKY</t>
  </si>
  <si>
    <t>INTAN</t>
  </si>
  <si>
    <t>RAFAZIO</t>
  </si>
  <si>
    <t>AMINATUN</t>
  </si>
  <si>
    <t>ABIYAN AHTAR</t>
  </si>
  <si>
    <t>YULI/HADI</t>
  </si>
  <si>
    <t>M. SULTAN RAYANSA</t>
  </si>
  <si>
    <t>HADI VARENSA</t>
  </si>
  <si>
    <t>ALIZA ABIDA</t>
  </si>
  <si>
    <t>SINDI</t>
  </si>
  <si>
    <t>IZZI GIBRAN F</t>
  </si>
  <si>
    <t>TASRIKIN</t>
  </si>
  <si>
    <t>ADENA RUMAISA</t>
  </si>
  <si>
    <t>EKA</t>
  </si>
  <si>
    <t>ZAHRA SALSABILA</t>
  </si>
  <si>
    <t>FARID</t>
  </si>
  <si>
    <t>QYARA ANJANI</t>
  </si>
  <si>
    <t>AYU</t>
  </si>
  <si>
    <t>CELINE TALEA SANJAYA</t>
  </si>
  <si>
    <t>ADI/RESTU</t>
  </si>
  <si>
    <t>M. SALMAN ALFARIZKI</t>
  </si>
  <si>
    <t>APRI SETIAWAN</t>
  </si>
  <si>
    <t>NABILA SALWA N</t>
  </si>
  <si>
    <t>ADI NUGROHO/SUCI</t>
  </si>
  <si>
    <t>KEIFIYA ZEINA ALIFA</t>
  </si>
  <si>
    <t>GALUH CANDRA PRATAMA</t>
  </si>
  <si>
    <t>MANNAF ALFAREZA</t>
  </si>
  <si>
    <t>SUGENG WALUYO</t>
  </si>
  <si>
    <t>ELRUMI GAFFI AHMAD S</t>
  </si>
  <si>
    <t>TIKA</t>
  </si>
  <si>
    <t>ASHAKA KHALLIFY Y</t>
  </si>
  <si>
    <t>DIMAS WAHYUDI</t>
  </si>
  <si>
    <t>PERMATA HAKIKI</t>
  </si>
  <si>
    <t>ANGGUN LESTARI</t>
  </si>
  <si>
    <t>RESYAKILA MEISYA RAMDANI</t>
  </si>
  <si>
    <t>RAHMAD RAMDANI</t>
  </si>
  <si>
    <t>AZDIKWAN NURIL S</t>
  </si>
  <si>
    <t>ABDULLAH</t>
  </si>
  <si>
    <t>KENZIO RASYA PRATAMA</t>
  </si>
  <si>
    <t>RISKI</t>
  </si>
  <si>
    <t>TANESYA AYU PUTRI</t>
  </si>
  <si>
    <t>DADAN RAMDANI</t>
  </si>
  <si>
    <t>BIMA ARSYAKA P</t>
  </si>
  <si>
    <t>RATNA SARI</t>
  </si>
  <si>
    <t>M. RENO HERMAWAN</t>
  </si>
  <si>
    <t>ADI HERMAWAN</t>
  </si>
  <si>
    <t>NADILA SALMA NUGROHO</t>
  </si>
  <si>
    <t>ADI NUGROHO</t>
  </si>
  <si>
    <t>M. KENZIE ALFARISQI</t>
  </si>
  <si>
    <t>NUR/VINA</t>
  </si>
  <si>
    <t>M.KENZIE ALFARISQI</t>
  </si>
  <si>
    <t>NUR HADIANTO</t>
  </si>
  <si>
    <t>RAFINZA DEVANKA SHAQIANO</t>
  </si>
  <si>
    <t>DEDI PURWANTO</t>
  </si>
  <si>
    <t>AXCHELINO ALFA REDO</t>
  </si>
  <si>
    <t>NIHIL</t>
  </si>
  <si>
    <t>AXCHELINO ALFA REDO ADEVIA FARESI</t>
  </si>
  <si>
    <t>adevia</t>
  </si>
  <si>
    <t>ALFARIZQI KEVIN ANDESSYA</t>
  </si>
  <si>
    <t>dedi/mesya</t>
  </si>
  <si>
    <t>M. ARKHANZA KENIZIO NUGRAHA</t>
  </si>
  <si>
    <t>RIZKY NUGRAHA</t>
  </si>
  <si>
    <t>ALFARISKI KEVIN ANDESSA</t>
  </si>
  <si>
    <t>DEDI FIRDAUS</t>
  </si>
  <si>
    <t>BAYI IBU ERISA</t>
  </si>
  <si>
    <t>M. ARIF WIBOWO</t>
  </si>
  <si>
    <t>ARVA ZEAN ZIVANO</t>
  </si>
  <si>
    <t>RIO ARBIYANTO</t>
  </si>
  <si>
    <t>ATHALLA QAVI RAMADAN</t>
  </si>
  <si>
    <t>EKO EDI PRAYITNO</t>
  </si>
  <si>
    <t>BAYI</t>
  </si>
  <si>
    <t>TAUFIK HIDAYAT</t>
  </si>
  <si>
    <t>MEISYA ALMAHYRA</t>
  </si>
  <si>
    <t>PURWANTO</t>
  </si>
  <si>
    <t>FARHAN AZZAKY</t>
  </si>
  <si>
    <t>TUMIRAN</t>
  </si>
  <si>
    <t>ABDUL RASYID AL FARIZ</t>
  </si>
  <si>
    <t>ABDUL AZIZ</t>
  </si>
  <si>
    <t>ADEVA CANTIKA</t>
  </si>
  <si>
    <t>andi/dewi</t>
  </si>
  <si>
    <t>RAYYANZA KENIZIO RAGANEVAN</t>
  </si>
  <si>
    <t>supri/yuyun</t>
  </si>
  <si>
    <t>ABYAN ATHAYYASH ZULFA</t>
  </si>
  <si>
    <t>zulfahmi/ratih</t>
  </si>
  <si>
    <t>RAYYANZA KENIZIO RAGANEVA</t>
  </si>
  <si>
    <t>SUPRI</t>
  </si>
  <si>
    <t>SYIN YUMNA ADREENA</t>
  </si>
  <si>
    <t>Tendi/Ria</t>
  </si>
  <si>
    <t>ALFA CALISTA ZAHIRA</t>
  </si>
  <si>
    <t>ajat/lili</t>
  </si>
  <si>
    <t>VANIA CAMILA FIRMANSYAH</t>
  </si>
  <si>
    <t>riko/desi</t>
  </si>
  <si>
    <t>VANIA KAMILA FIRMANSYAH</t>
  </si>
  <si>
    <t>2024-12-29</t>
  </si>
  <si>
    <t>RICO</t>
  </si>
  <si>
    <t>M. ZAVIR DINATA</t>
  </si>
  <si>
    <t>2025-01-03</t>
  </si>
  <si>
    <t>DAVID/LINA</t>
  </si>
  <si>
    <t>ARKANO NADIF FARISKY</t>
  </si>
  <si>
    <t>2025-02-19</t>
  </si>
  <si>
    <t>Arjun/kartika</t>
  </si>
  <si>
    <t>BAYI NY. SITI SAIFUL M</t>
  </si>
  <si>
    <t>2025-08-12</t>
  </si>
  <si>
    <t>SITI SAIFUL MAR\'AH</t>
  </si>
  <si>
    <t>BAYI NY.DENTI</t>
  </si>
  <si>
    <t>2025-08-15</t>
  </si>
  <si>
    <t>DENTI KUSUMA SYARI</t>
  </si>
  <si>
    <t>ALUNA DIANA PUTRI</t>
  </si>
  <si>
    <t>2025-10-08</t>
  </si>
  <si>
    <t>DIAN/IRMA</t>
  </si>
  <si>
    <t>KEYRA EMBUNA ANAYA</t>
  </si>
  <si>
    <t>2025-10-20</t>
  </si>
  <si>
    <t>HARI/WINDA</t>
  </si>
  <si>
    <t>NAILA SHAFIYAH SHAERAH</t>
  </si>
  <si>
    <t>2025-12-26</t>
  </si>
  <si>
    <t>NOVI/ARES</t>
  </si>
  <si>
    <t>Qiana almahyra</t>
  </si>
  <si>
    <t>2025-01-05</t>
  </si>
  <si>
    <t>Eka marliana</t>
  </si>
  <si>
    <t>Azkia irawan</t>
  </si>
  <si>
    <t>2025-05-05</t>
  </si>
  <si>
    <t>Ani melani</t>
  </si>
  <si>
    <t>M. Hamzah</t>
  </si>
  <si>
    <t>2025-11-06</t>
  </si>
  <si>
    <t>NAIRUL</t>
  </si>
  <si>
    <t>DANIA</t>
  </si>
  <si>
    <t>TGL LAHIR DI ISI</t>
  </si>
  <si>
    <t>LENAWATI</t>
  </si>
  <si>
    <t>SANUM KALISA</t>
  </si>
  <si>
    <t>2025-09-05</t>
  </si>
  <si>
    <t>Dina /Abas</t>
  </si>
  <si>
    <t>M Hanan ghafri ibrahim</t>
  </si>
  <si>
    <t>2025-11-13</t>
  </si>
  <si>
    <t>AURA/ROHIM</t>
  </si>
  <si>
    <t>M HAIDAR</t>
  </si>
  <si>
    <t>AMELIA/RAMDANI</t>
  </si>
  <si>
    <t>SHAfira zahra</t>
  </si>
  <si>
    <t>2022-08-31</t>
  </si>
  <si>
    <t>Risti rahma</t>
  </si>
  <si>
    <t>RAYNAR KAIVAN BISMA</t>
  </si>
  <si>
    <t>2025-12-08</t>
  </si>
  <si>
    <t>OKTA</t>
  </si>
  <si>
    <t>HANIFAH OLIVIA AZ-ZAHRA</t>
  </si>
  <si>
    <t>2026-02-02</t>
  </si>
  <si>
    <t>LELA/HERI</t>
  </si>
  <si>
    <t>Rafael Zidan Alsyarif</t>
  </si>
  <si>
    <t>Arif/Lisa</t>
  </si>
  <si>
    <t>M. Nazriel Maheswara</t>
  </si>
  <si>
    <t>Hendri/Cici Ayu</t>
  </si>
  <si>
    <t>M. Azam Al Farizki</t>
  </si>
  <si>
    <t>Asmani/Apri</t>
  </si>
  <si>
    <t>Hayuna Hamidah</t>
  </si>
  <si>
    <t>Nur Husen/ Hevi Catur</t>
  </si>
  <si>
    <t>Delisa Malika Shaquena</t>
  </si>
  <si>
    <t>Sanggan/Muntamah</t>
  </si>
  <si>
    <t>KHALILA IZZATUL MARWA</t>
  </si>
  <si>
    <t>AGUS/YULI NOVITA SARI</t>
  </si>
  <si>
    <t>Saddam Mahasin Sanjaya</t>
  </si>
  <si>
    <t>Arip/Indri</t>
  </si>
  <si>
    <t>Daffin Abbiya Zayyan</t>
  </si>
  <si>
    <t>Yatimin/Dewi</t>
  </si>
  <si>
    <t>Aqila Andrea Avanti</t>
  </si>
  <si>
    <t>Dadang/Darmawati</t>
  </si>
  <si>
    <t>Qianji Kenan Kurniawan</t>
  </si>
  <si>
    <t>Dedi/Ita</t>
  </si>
  <si>
    <t>Revan Rizky Aditya</t>
  </si>
  <si>
    <t>Tumari/Ira</t>
  </si>
  <si>
    <t>Athalah Alfarizqi</t>
  </si>
  <si>
    <t>Johan/Nana</t>
  </si>
  <si>
    <t>Shabira Yumna Zahrotussita</t>
  </si>
  <si>
    <t>Adhi/Neti</t>
  </si>
  <si>
    <t>JIHAN PUTRI RAMADHANI</t>
  </si>
  <si>
    <t>SRI/JUNAIDI</t>
  </si>
  <si>
    <t>NUHA RANIA HUMAIRAH</t>
  </si>
  <si>
    <t>SIGIT/INDAH</t>
  </si>
  <si>
    <t>REYKHANSA AL-LABIB</t>
  </si>
  <si>
    <t>RICKI/NINDI</t>
  </si>
  <si>
    <t>ARZA RAHIR HENDRAWAN</t>
  </si>
  <si>
    <t>DONI/YUNITA</t>
  </si>
  <si>
    <t>FEBIYOLA KHANZA KIRANIA</t>
  </si>
  <si>
    <t>ADI/SRI WULANDARI</t>
  </si>
  <si>
    <t>ALFIANA RARA SAPUTRI</t>
  </si>
  <si>
    <t>ISABELA/PUTRI</t>
  </si>
  <si>
    <t>EL ZAVIER AMONG W</t>
  </si>
  <si>
    <t>ARI/PUTRI</t>
  </si>
  <si>
    <t>LATISYA HUMAIRAH</t>
  </si>
  <si>
    <t>DEVI/FAJRIN</t>
  </si>
  <si>
    <t>DIVA ALISHA SUPRAPTO</t>
  </si>
  <si>
    <t>AGUS/GARNIES</t>
  </si>
  <si>
    <t>SHANUM NAZWA AZAHRA</t>
  </si>
  <si>
    <t>NURKHOLIFAH/SUPRI</t>
  </si>
  <si>
    <t>ADZRIEL ZAYDAN S</t>
  </si>
  <si>
    <t>MUJANI/ETIK</t>
  </si>
  <si>
    <t>FIRHAN MALIK AFIRA K.</t>
  </si>
  <si>
    <t>FARIDI/KARMILA</t>
  </si>
  <si>
    <t>REINA FADELTA SYA</t>
  </si>
  <si>
    <t>RIAN/RISKA</t>
  </si>
  <si>
    <t>ELEANORA NADLYNE</t>
  </si>
  <si>
    <t>RAHMAT HIDAYAT</t>
  </si>
  <si>
    <t>EMELY GANTARI SUGIANTO</t>
  </si>
  <si>
    <t>HENDRI SUGIANTO</t>
  </si>
  <si>
    <t>M. ENZO DEVANO</t>
  </si>
  <si>
    <t>M. RIAN RENALDI</t>
  </si>
  <si>
    <t>ZIEVANYA SYAQILA</t>
  </si>
  <si>
    <t>IRVAN WAHIDIN</t>
  </si>
  <si>
    <t>FAHREZA ABDILLAH</t>
  </si>
  <si>
    <t>AGUS SUSILO</t>
  </si>
  <si>
    <t>ALESSANDRO RAFFIANDRA KARIM</t>
  </si>
  <si>
    <t>YAHYA KRESNA</t>
  </si>
  <si>
    <t>SHAKILA ZEA HARIANTO</t>
  </si>
  <si>
    <t>RIRIN HARIANTO</t>
  </si>
  <si>
    <t>M. KENZIO ATHARIZKY</t>
  </si>
  <si>
    <t>ASMANI</t>
  </si>
  <si>
    <t>AHMAD FARHAN ATMOKO</t>
  </si>
  <si>
    <t>DWI ATMOKO</t>
  </si>
  <si>
    <t>NAYLA ALFATUNISSA</t>
  </si>
  <si>
    <t>Eko/MINTARSIH</t>
  </si>
  <si>
    <t>RAFASYA CHANI ADHINATA</t>
  </si>
  <si>
    <t>TRI IRWAN SAPUTRA</t>
  </si>
  <si>
    <t>RAYYANKA GHANES D</t>
  </si>
  <si>
    <t>TRI IRAWAN/ RORO</t>
  </si>
  <si>
    <t>BAYI IBU DESI ARISANDI</t>
  </si>
  <si>
    <t>BAMBANG YULIANTO</t>
  </si>
  <si>
    <t>GISKA MEIRA ARIANTI</t>
  </si>
  <si>
    <t>BAMBANG/DESI ARISANDI</t>
  </si>
  <si>
    <t>NAFISAH ZHAFIRA</t>
  </si>
  <si>
    <t>puji/tumari</t>
  </si>
  <si>
    <t>DIRGA GUSTIAN</t>
  </si>
  <si>
    <t>era/fuji</t>
  </si>
  <si>
    <t>KEYSHA ANANDITA RAVEENA</t>
  </si>
  <si>
    <t>2024-08-30</t>
  </si>
  <si>
    <t>Rudi/utami</t>
  </si>
  <si>
    <t>ALESHA KHAYRA AZZAHRA</t>
  </si>
  <si>
    <t>2024-09-09</t>
  </si>
  <si>
    <t>DANU DAN FENI</t>
  </si>
  <si>
    <t>ARSHAKA NANDA RIZKY</t>
  </si>
  <si>
    <t>2024-10-27</t>
  </si>
  <si>
    <t>DAVID/IKA</t>
  </si>
  <si>
    <t>UNASYA HUMAIRAH</t>
  </si>
  <si>
    <t>2024-11-16</t>
  </si>
  <si>
    <t>Udin/lia</t>
  </si>
  <si>
    <t>DAFFA FAIRUZA WIBOWO</t>
  </si>
  <si>
    <t>2024-12-03</t>
  </si>
  <si>
    <t>BAGUS/TuTi</t>
  </si>
  <si>
    <t>NAYLA</t>
  </si>
  <si>
    <t>2025-01-02</t>
  </si>
  <si>
    <t>mintarsih</t>
  </si>
  <si>
    <t>M.SHAKA ALBIRU</t>
  </si>
  <si>
    <t>IFUL/MITA</t>
  </si>
  <si>
    <t>ALBARA ATHARAZKA M</t>
  </si>
  <si>
    <t>2025-01-06</t>
  </si>
  <si>
    <t>PUTRA MAHESA/ASIFA</t>
  </si>
  <si>
    <t>ELZHIAN LINTANG RAMADHAN</t>
  </si>
  <si>
    <t>ANDI/MERSILA</t>
  </si>
  <si>
    <t>FAIZ KIENAN RAMADHAN</t>
  </si>
  <si>
    <t>2025-03-28</t>
  </si>
  <si>
    <t>PENDI/DESI</t>
  </si>
  <si>
    <t>JANA NUR ALINA</t>
  </si>
  <si>
    <t>2025-04-14</t>
  </si>
  <si>
    <t>JUNAIDI/SRI MARDIATI</t>
  </si>
  <si>
    <t>JENI PUTRI AULIA</t>
  </si>
  <si>
    <t>DEVANO FIRMANSYAH</t>
  </si>
  <si>
    <t>2025-06-14</t>
  </si>
  <si>
    <t>DANI F/EVA MAILANI</t>
  </si>
  <si>
    <t>RAFFASYA NADHIF ALFARISKI</t>
  </si>
  <si>
    <t>2025-07-02</t>
  </si>
  <si>
    <t>ADITYA/LIA PUTRI A</t>
  </si>
  <si>
    <t>FAZEELA LAVENA PUTRI</t>
  </si>
  <si>
    <t>2025-07-21</t>
  </si>
  <si>
    <t>pairis/pajar</t>
  </si>
  <si>
    <t>HAN YUMNA WIDAD</t>
  </si>
  <si>
    <t>2025-08-01</t>
  </si>
  <si>
    <t>NANDA/NUMROATUS</t>
  </si>
  <si>
    <t>FAEYZA OKTA RAFISQY</t>
  </si>
  <si>
    <t>2025-10-07</t>
  </si>
  <si>
    <t>YATIMIN/DEWI RATNASARI</t>
  </si>
  <si>
    <t>KALEA SHIZA MAHIA</t>
  </si>
  <si>
    <t>2025-10-24</t>
  </si>
  <si>
    <t>SABARI/SEPTI</t>
  </si>
  <si>
    <t>CAVA NAZILA</t>
  </si>
  <si>
    <t>2025-11-01</t>
  </si>
  <si>
    <t>GOZI/NUR FADILAH</t>
  </si>
  <si>
    <t>RYSHAKA DEVANO GUSTIAN</t>
  </si>
  <si>
    <t>2025-11-26</t>
  </si>
  <si>
    <t>garnis mahesi</t>
  </si>
  <si>
    <t>AIRIN ALMAHIRA</t>
  </si>
  <si>
    <t>p</t>
  </si>
  <si>
    <t>2022-04-21</t>
  </si>
  <si>
    <t>tanti/deni</t>
  </si>
  <si>
    <t>LAVANYA ATHAYA K</t>
  </si>
  <si>
    <t>2023-10-02</t>
  </si>
  <si>
    <t>indrayani/maskur</t>
  </si>
  <si>
    <t>ABDAN BAIHAQI</t>
  </si>
  <si>
    <t>2021-11-10</t>
  </si>
  <si>
    <t>ayu octis/Khusnul abidin</t>
  </si>
  <si>
    <t>AFNAN KHIAR ARDANI</t>
  </si>
  <si>
    <t>2021-11-27</t>
  </si>
  <si>
    <t>apriliani/Dedi Leo pratama</t>
  </si>
  <si>
    <t>HAFIS ALFARISKI</t>
  </si>
  <si>
    <t>2022-01-10</t>
  </si>
  <si>
    <t>elia sari/sutekno</t>
  </si>
  <si>
    <t>VEERZAARA ARUNAYA D</t>
  </si>
  <si>
    <t>2022-06-18</t>
  </si>
  <si>
    <t>annandatu sitha/boy tribrata</t>
  </si>
  <si>
    <t>M.LIAM BESTARI</t>
  </si>
  <si>
    <t>2025-11-22</t>
  </si>
  <si>
    <t>NAMA ORTU DI ISI YA</t>
  </si>
  <si>
    <t>Dana Dyaksa</t>
  </si>
  <si>
    <t>Rifki/Sintia</t>
  </si>
  <si>
    <t>Atha Hafidz</t>
  </si>
  <si>
    <t>Rudi/Surani</t>
  </si>
  <si>
    <t>EL Fathan</t>
  </si>
  <si>
    <t>Rusli/Susi</t>
  </si>
  <si>
    <t>Chaira Kenzu</t>
  </si>
  <si>
    <t>Nurhidayat/Lastri</t>
  </si>
  <si>
    <t>Qiana Azahra</t>
  </si>
  <si>
    <t>Dedi/Dewi</t>
  </si>
  <si>
    <t>Arwan Kabara</t>
  </si>
  <si>
    <t>Syahrul/Hawia</t>
  </si>
  <si>
    <t>Afzal Alman Maulana</t>
  </si>
  <si>
    <t>Katino/Eka</t>
  </si>
  <si>
    <t>Dzaki Zhafran Rasyid</t>
  </si>
  <si>
    <t>Gulam/Aulia</t>
  </si>
  <si>
    <t>Muhammad Yazid Alwi</t>
  </si>
  <si>
    <t>Umi/Ari</t>
  </si>
  <si>
    <t>Aqila Nadhifa Almaira</t>
  </si>
  <si>
    <t>Ayu/Anto</t>
  </si>
  <si>
    <t>CANTIKA FIKA ANDAYANI SAFITRI</t>
  </si>
  <si>
    <t>bambang/fitrianti</t>
  </si>
  <si>
    <t>BRAIN ATAKI</t>
  </si>
  <si>
    <t>DEDI</t>
  </si>
  <si>
    <t>Kanaya Puspita</t>
  </si>
  <si>
    <t>Pariati/Imran</t>
  </si>
  <si>
    <t>AL Khalifi Zakri Huda</t>
  </si>
  <si>
    <t>Darmi/Heri</t>
  </si>
  <si>
    <t>NATUSYA RAHMA DORI</t>
  </si>
  <si>
    <t>marcen/rita</t>
  </si>
  <si>
    <t>Kenan Ehsan Alyan</t>
  </si>
  <si>
    <t>Dhela/Basuni</t>
  </si>
  <si>
    <t>Azzukruf Muhammad Hafy Ataubaq</t>
  </si>
  <si>
    <t>Ade/Subkhan</t>
  </si>
  <si>
    <t>Helmy Musthafa Hisyam</t>
  </si>
  <si>
    <t>Mariyono/Tari</t>
  </si>
  <si>
    <t>Zeana Uzma Mubarak</t>
  </si>
  <si>
    <t>Meta/Farid</t>
  </si>
  <si>
    <t>Giandra Ahmad Abizar</t>
  </si>
  <si>
    <t>Feri/Eni</t>
  </si>
  <si>
    <t>ABIMANYU</t>
  </si>
  <si>
    <t>YUDI</t>
  </si>
  <si>
    <t>NAYYARA</t>
  </si>
  <si>
    <t>ROHMADONI</t>
  </si>
  <si>
    <t>KEYZIA HANANIA</t>
  </si>
  <si>
    <t>GALUH SHIVA</t>
  </si>
  <si>
    <t>QUEEN KHUMAIRAH</t>
  </si>
  <si>
    <t>IKHWANTO</t>
  </si>
  <si>
    <t>MARSHA ADELIA ANJANI</t>
  </si>
  <si>
    <t>DONI SANJAYA</t>
  </si>
  <si>
    <t>CLERISSA SHEZAN ALEXAFREYA</t>
  </si>
  <si>
    <t>SUSANTO/SITI</t>
  </si>
  <si>
    <t>ARLAN BRIAN PRADIBTA</t>
  </si>
  <si>
    <t>DARUL ASPANJI</t>
  </si>
  <si>
    <t>AINAYYA SHANUM H</t>
  </si>
  <si>
    <t>EKO BUDI SANTOSO</t>
  </si>
  <si>
    <t>AZLAM ALRUMI TASBIHA</t>
  </si>
  <si>
    <t>MAULANA HUSEN S</t>
  </si>
  <si>
    <t>HARUN EZAR PANGESTU</t>
  </si>
  <si>
    <t>HENDRA LUKMAN</t>
  </si>
  <si>
    <t>ALZIO GENTALA MAROSA</t>
  </si>
  <si>
    <t>AHMAD NADA MAROSA</t>
  </si>
  <si>
    <t>MUHAMMAD HASAN AS</t>
  </si>
  <si>
    <t>BUDI TRIONO</t>
  </si>
  <si>
    <t>KHANSA AULIA HABIBAH</t>
  </si>
  <si>
    <t>OKI PURNAWAN</t>
  </si>
  <si>
    <t>DEVIAN ALBY</t>
  </si>
  <si>
    <t>Dwi/dewi</t>
  </si>
  <si>
    <t>SAFIRA AMANDA</t>
  </si>
  <si>
    <t>ROZIQ</t>
  </si>
  <si>
    <t>IHSAN ALFARIZZI</t>
  </si>
  <si>
    <t>Tugiman/yuliati</t>
  </si>
  <si>
    <t>ELGAR REVINZA RASYAFANO</t>
  </si>
  <si>
    <t>Renan/Indah Afni</t>
  </si>
  <si>
    <t>ANANDA AULIAN</t>
  </si>
  <si>
    <t>Andi/tati</t>
  </si>
  <si>
    <t>TUBAGUS AQSHAN WIJAYA</t>
  </si>
  <si>
    <t>yuzar/widati</t>
  </si>
  <si>
    <t>ALMARILIS TASNIM</t>
  </si>
  <si>
    <t>almareta</t>
  </si>
  <si>
    <t>AMARILIS TASNIM</t>
  </si>
  <si>
    <t>Firda/Almareta</t>
  </si>
  <si>
    <t>KIARA AZELIA VERANDYRATA</t>
  </si>
  <si>
    <t>Rendy/vera</t>
  </si>
  <si>
    <t>MUHAMAD GIBRAN NARENDRA</t>
  </si>
  <si>
    <t>SRI BUDIARTI</t>
  </si>
  <si>
    <t>MUHAMMAD GIBRAN NARENDRA</t>
  </si>
  <si>
    <t>2025-06-19</t>
  </si>
  <si>
    <t>GENDIS ALFATUNNISA</t>
  </si>
  <si>
    <t>2025-06-28</t>
  </si>
  <si>
    <t>Taufik/Nadia</t>
  </si>
  <si>
    <t>ZUBAIR M. ABID ALBARA</t>
  </si>
  <si>
    <t>2025-10-02</t>
  </si>
  <si>
    <t>Subhan/Ade</t>
  </si>
  <si>
    <t>FREYA RAJABIA FAUZIA</t>
  </si>
  <si>
    <t>2026-01-13</t>
  </si>
  <si>
    <t>desinta risma rinda</t>
  </si>
  <si>
    <t>Rizki/Desinta</t>
  </si>
  <si>
    <t>ALDEVARO GIRGANTARA</t>
  </si>
  <si>
    <t>2026-02-09</t>
  </si>
  <si>
    <t>Anika/Ari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</si>
  <si>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</si>
  <si>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</si>
  <si>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</si>
  <si>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</si>
  <si>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</si>
  <si>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</si>
  <si>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</si>
  <si>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</si>
  <si>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</si>
  <si>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</si>
  <si>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</si>
  <si>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</si>
  <si>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</si>
  <si>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</si>
  <si>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</si>
  <si>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</si>
  <si>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</si>
  <si>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</si>
  <si>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</si>
  <si>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</si>
  <si>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</si>
  <si>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</si>
  <si>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</si>
  <si>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</si>
  <si>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</si>
  <si>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</si>
  <si>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</si>
  <si>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</si>
  <si>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</si>
  <si>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</si>
  <si>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</si>
  <si>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</si>
  <si>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</si>
  <si>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</si>
  <si>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</si>
  <si>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</si>
  <si>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</si>
  <si>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</si>
  <si>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</si>
  <si>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</si>
  <si>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</si>
  <si>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</si>
  <si>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</si>
  <si>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</si>
  <si>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</si>
  <si>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</si>
  <si>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</si>
  <si>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</si>
  <si>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</si>
  <si>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</si>
  <si>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</si>
  <si>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</si>
  <si>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</si>
  <si>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</si>
  <si>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</si>
  <si>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</si>
  <si>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</si>
  <si>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</si>
  <si>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</si>
  <si>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</si>
  <si>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</si>
  <si>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</si>
  <si>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</si>
  <si>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</si>
  <si>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</si>
  <si>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</si>
  <si>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</si>
  <si>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</si>
  <si>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</si>
  <si>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</si>
  <si>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</si>
  <si>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</si>
  <si>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</si>
  <si>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</si>
  <si>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</si>
  <si>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</si>
  <si>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</si>
  <si>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</si>
  <si>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</si>
  <si>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</si>
  <si>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</si>
  <si>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</si>
  <si>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</si>
  <si>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</si>
  <si>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</si>
  <si>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</si>
  <si>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</si>
  <si>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</si>
  <si>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</si>
  <si>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</si>
  <si>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</si>
  <si>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</si>
  <si>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</si>
  <si>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</si>
  <si>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</si>
  <si>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</si>
  <si>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</si>
  <si>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</si>
  <si>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</si>
  <si>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</si>
  <si>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</si>
  <si>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</si>
  <si>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</si>
  <si>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</si>
  <si>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</si>
  <si>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</si>
  <si>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</si>
  <si>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</si>
  <si>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</si>
  <si>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</si>
  <si>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</si>
  <si>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</si>
  <si>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</si>
  <si>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</si>
  <si>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</si>
  <si>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</si>
  <si>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</si>
  <si>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</si>
  <si>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</si>
  <si>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</si>
  <si>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</si>
  <si>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</si>
  <si>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</si>
  <si>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</si>
  <si>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</si>
  <si>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</si>
  <si>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</si>
  <si>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</si>
  <si>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</si>
  <si>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</si>
  <si>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</si>
  <si>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</si>
  <si>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</si>
  <si>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</si>
  <si>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</si>
  <si>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</si>
  <si>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</si>
  <si>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</si>
  <si>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</si>
  <si>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</si>
  <si>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</si>
  <si>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</si>
  <si>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</si>
  <si>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</si>
  <si>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</si>
  <si>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</si>
  <si>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</si>
  <si>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</si>
  <si>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</si>
  <si>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</si>
  <si>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</si>
  <si>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</si>
  <si>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</si>
  <si>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</si>
  <si>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</si>
  <si>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</si>
  <si>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</si>
  <si>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</si>
  <si>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</si>
  <si>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</si>
  <si>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</si>
  <si>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</si>
  <si>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</si>
  <si>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</si>
  <si>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</si>
  <si>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</si>
  <si>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</si>
  <si>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</si>
  <si>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</si>
  <si>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</si>
  <si>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</si>
  <si>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</si>
  <si>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</si>
  <si>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 xml:space="preserve">: </t>
  </si>
  <si>
    <t>Nama Posyandu</t>
  </si>
  <si>
    <t>No Surat Permohonan RT</t>
  </si>
  <si>
    <t>Keluhan</t>
  </si>
  <si>
    <t>Lokasi Pembangunan Sarana</t>
  </si>
  <si>
    <t>Tindaklanjut</t>
  </si>
  <si>
    <t>01/SP.01/25</t>
  </si>
  <si>
    <t>JATMIKO</t>
  </si>
  <si>
    <t>1807042501750002</t>
  </si>
  <si>
    <t>RT 003 DUSUN I</t>
  </si>
  <si>
    <t>Mengajukan Pembangunan Jalan untuk di lataston</t>
  </si>
  <si>
    <t>LAPANG/TANAH KOSONG DEKAT RUMAH WARGA</t>
  </si>
  <si>
    <t>9 Febuari 2025</t>
  </si>
  <si>
    <t>02/SP.02/25</t>
  </si>
  <si>
    <t>WAHYU GUNAWAN</t>
  </si>
  <si>
    <t>1807040807780002</t>
  </si>
  <si>
    <t>RT 002 DUSUN I</t>
  </si>
  <si>
    <t>Menajukan Pembangunan Drainase Makam</t>
  </si>
  <si>
    <t>03/SP.03/25</t>
  </si>
  <si>
    <t>WAHONO</t>
  </si>
  <si>
    <t>1807041408720005</t>
  </si>
  <si>
    <t>RT 001 DUSUN I</t>
  </si>
  <si>
    <t>Menajukan Pembangunan Drainase Jalan Utama</t>
  </si>
  <si>
    <t>04/SP.03/25</t>
  </si>
  <si>
    <t>TRI DENI SANTOSO</t>
  </si>
  <si>
    <t>1807042512870001</t>
  </si>
  <si>
    <t>Menajukan Pembangunan Pagar Makam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</si>
  <si>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</si>
  <si>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</si>
  <si>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</si>
  <si>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</si>
  <si>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</si>
  <si>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</si>
  <si>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</si>
  <si>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PONIYEM</t>
  </si>
  <si>
    <t>1807045601550002</t>
  </si>
  <si>
    <t>RT 009 / RW 003</t>
  </si>
  <si>
    <t>MUJILAH</t>
  </si>
  <si>
    <t>1807044107490014</t>
  </si>
  <si>
    <t>RT 013 / RW 005</t>
  </si>
  <si>
    <t>DAVIT SURYA DINATA</t>
  </si>
  <si>
    <t>1807040604010001</t>
  </si>
  <si>
    <t>HANAFIAH</t>
  </si>
  <si>
    <t>1807040802780007</t>
  </si>
  <si>
    <t>BEDAH RUMAH</t>
  </si>
  <si>
    <t>SUDAH</t>
  </si>
  <si>
    <t>KATIJAH</t>
  </si>
  <si>
    <t>1807045709650003</t>
  </si>
  <si>
    <t>RT 011 / RW 004</t>
  </si>
  <si>
    <t>KETUT</t>
  </si>
  <si>
    <t>1807040305630002</t>
  </si>
  <si>
    <t>RT 006 / RW 002</t>
  </si>
  <si>
    <t>PUJI PURNOMO</t>
  </si>
  <si>
    <t>1807042208730003</t>
  </si>
  <si>
    <t>RT 012 / RW 004</t>
  </si>
  <si>
    <t>ROY ANDI DARSONO</t>
  </si>
  <si>
    <t>1807040508850007</t>
  </si>
  <si>
    <t>SUNARYO</t>
  </si>
  <si>
    <t>1807042807810001</t>
  </si>
  <si>
    <t>DEDI ISDIANTO</t>
  </si>
  <si>
    <t>1807041808880003</t>
  </si>
  <si>
    <t>BIDANG TRANTIBUM LINMAS</t>
  </si>
  <si>
    <t>TRIO DENI SANTOSO</t>
  </si>
  <si>
    <t>Menyusun Jadwal Ronda</t>
  </si>
  <si>
    <t>Lapor ke Desa</t>
  </si>
  <si>
    <t>1807040709740003</t>
  </si>
  <si>
    <t>GUNAWAN</t>
  </si>
  <si>
    <t>RT 006 DUSUN II</t>
  </si>
  <si>
    <t>1807041811860004</t>
  </si>
  <si>
    <t>ARIYANTO</t>
  </si>
  <si>
    <t>RT 009 DUSUN III</t>
  </si>
  <si>
    <t>1805022810860004</t>
  </si>
  <si>
    <t>KROS SANTOSO</t>
  </si>
  <si>
    <t>RT 010 DUSUN IV</t>
  </si>
  <si>
    <t>1807040604790002</t>
  </si>
  <si>
    <t>M. SHOLECHUDIN</t>
  </si>
  <si>
    <t>RT 015 DUSUN V</t>
  </si>
  <si>
    <t>1807042104870004</t>
  </si>
  <si>
    <t>IBNU PURBO PRASONGKO</t>
  </si>
  <si>
    <t>RT 018 DUSUN VI</t>
  </si>
  <si>
    <t>BIDANG SOSIAL</t>
  </si>
  <si>
    <t>DESA:</t>
  </si>
  <si>
    <t>20 Juli 2025</t>
  </si>
  <si>
    <t>CONTOH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</si>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</sst>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-mm-yyyy"/>
    <numFmt numFmtId="165" formatCode="mm-dd-yyyy"/>
    <numFmt numFmtId="166" formatCode="m-d-yyyy"/>
    <numFmt numFmtId="167" formatCode="yyyy-mm-dd"/>
    <numFmt numFmtId="168" formatCode="mmmm yyyy"/>
    <numFmt numFmtId="169" formatCode="d mmmm yyyy"/>
    <numFmt numFmtId="170" formatCode="dd mmmm yyyy"/>
    <numFmt numFmtId="171" formatCode="d mmm yyyy"/>
    <numFmt numFmtId="172" formatCode="d-mmm-yyyy"/>
  </numFmts>
  <fonts count="26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sz val="14.0"/>
      <color theme="1"/>
      <name val="Calibri"/>
    </font>
    <font/>
    <font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sz val="11.0"/>
      <color theme="1"/>
      <name val="Calibri"/>
    </font>
    <font>
      <b/>
      <sz val="12.0"/>
      <color theme="1"/>
      <name val="Calibri"/>
    </font>
    <font>
      <sz val="11.0"/>
      <color rgb="FF000000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sz val="11.0"/>
      <color rgb="FFFF0000"/>
      <name val="Calibri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  <font>
      <sz val="12.0"/>
      <color rgb="FF000000"/>
      <name val="Arial"/>
    </font>
    <font>
      <sz val="14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5" fillId="0" fontId="3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vertical="bottom"/>
    </xf>
    <xf borderId="5" fillId="0" fontId="6" numFmtId="164" xfId="0" applyAlignment="1" applyBorder="1" applyFont="1" applyNumberFormat="1">
      <alignment horizontal="center" readingOrder="0" vertical="bottom"/>
    </xf>
    <xf borderId="5" fillId="0" fontId="6" numFmtId="0" xfId="0" applyAlignment="1" applyBorder="1" applyFont="1">
      <alignment readingOrder="0" vertical="bottom"/>
    </xf>
    <xf borderId="6" fillId="0" fontId="7" numFmtId="0" xfId="0" applyAlignment="1" applyBorder="1" applyFont="1">
      <alignment readingOrder="0" shrinkToFit="0" vertical="bottom" wrapText="0"/>
    </xf>
    <xf borderId="6" fillId="2" fontId="8" numFmtId="0" xfId="0" applyAlignment="1" applyBorder="1" applyFill="1" applyFont="1">
      <alignment readingOrder="0" vertical="bottom"/>
    </xf>
    <xf borderId="5" fillId="0" fontId="6" numFmtId="0" xfId="0" applyAlignment="1" applyBorder="1" applyFont="1">
      <alignment vertical="bottom"/>
    </xf>
    <xf borderId="5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shrinkToFit="0" vertical="top" wrapText="0"/>
    </xf>
    <xf borderId="5" fillId="0" fontId="6" numFmtId="165" xfId="0" applyAlignment="1" applyBorder="1" applyFont="1" applyNumberFormat="1">
      <alignment horizontal="center" readingOrder="0" vertical="bottom"/>
    </xf>
    <xf borderId="5" fillId="0" fontId="6" numFmtId="165" xfId="0" applyAlignment="1" applyBorder="1" applyFont="1" applyNumberFormat="1">
      <alignment horizontal="center" vertical="bottom"/>
    </xf>
    <xf borderId="5" fillId="0" fontId="2" numFmtId="0" xfId="0" applyAlignment="1" applyBorder="1" applyFont="1">
      <alignment vertical="bottom"/>
    </xf>
    <xf borderId="5" fillId="0" fontId="6" numFmtId="166" xfId="0" applyAlignment="1" applyBorder="1" applyFont="1" applyNumberFormat="1">
      <alignment horizontal="center" vertical="bottom"/>
    </xf>
    <xf borderId="5" fillId="0" fontId="9" numFmtId="0" xfId="0" applyAlignment="1" applyBorder="1" applyFont="1">
      <alignment vertical="bottom"/>
    </xf>
    <xf borderId="5" fillId="0" fontId="6" numFmtId="165" xfId="0" applyAlignment="1" applyBorder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1" fillId="0" fontId="6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center" readingOrder="0" shrinkToFit="0" vertical="bottom" wrapText="1"/>
    </xf>
    <xf borderId="1" fillId="3" fontId="6" numFmtId="0" xfId="0" applyAlignment="1" applyBorder="1" applyFill="1" applyFont="1">
      <alignment horizontal="center" readingOrder="0" shrinkToFit="0" vertical="bottom" wrapText="1"/>
    </xf>
    <xf borderId="2" fillId="0" fontId="6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5" fillId="0" fontId="6" numFmtId="0" xfId="0" applyAlignment="1" applyBorder="1" applyFont="1">
      <alignment horizontal="center" shrinkToFit="0" vertical="bottom" wrapText="1"/>
    </xf>
    <xf borderId="4" fillId="0" fontId="6" numFmtId="0" xfId="0" applyAlignment="1" applyBorder="1" applyFont="1">
      <alignment readingOrder="0" vertical="bottom"/>
    </xf>
    <xf borderId="5" fillId="0" fontId="6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shrinkToFit="0" vertical="bottom" wrapText="0"/>
    </xf>
    <xf borderId="6" fillId="0" fontId="10" numFmtId="0" xfId="0" applyAlignment="1" applyBorder="1" applyFont="1">
      <alignment horizontal="center" readingOrder="0" shrinkToFit="0" vertical="bottom" wrapText="0"/>
    </xf>
    <xf borderId="6" fillId="2" fontId="10" numFmtId="0" xfId="0" applyAlignment="1" applyBorder="1" applyFont="1">
      <alignment horizontal="center" readingOrder="0"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6" fillId="0" fontId="6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 shrinkToFit="0" vertical="bottom" wrapText="0"/>
    </xf>
    <xf borderId="6" fillId="0" fontId="6" numFmtId="0" xfId="0" applyAlignment="1" applyBorder="1" applyFont="1">
      <alignment vertical="bottom"/>
    </xf>
    <xf borderId="6" fillId="0" fontId="6" numFmtId="0" xfId="0" applyAlignment="1" applyBorder="1" applyFont="1">
      <alignment horizontal="center" vertical="bottom"/>
    </xf>
    <xf borderId="6" fillId="0" fontId="8" numFmtId="0" xfId="0" applyAlignment="1" applyBorder="1" applyFont="1">
      <alignment horizontal="center" vertical="bottom"/>
    </xf>
    <xf borderId="6" fillId="2" fontId="8" numFmtId="0" xfId="0" applyAlignment="1" applyBorder="1" applyFont="1">
      <alignment vertical="bottom"/>
    </xf>
    <xf borderId="7" fillId="0" fontId="6" numFmtId="0" xfId="0" applyAlignment="1" applyBorder="1" applyFont="1">
      <alignment horizontal="center" vertical="bottom"/>
    </xf>
    <xf borderId="2" fillId="0" fontId="4" numFmtId="0" xfId="0" applyBorder="1" applyFont="1"/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8" numFmtId="0" xfId="0" applyAlignment="1" applyBorder="1" applyFont="1">
      <alignment horizontal="center" vertical="bottom"/>
    </xf>
    <xf borderId="7" fillId="0" fontId="8" numFmtId="0" xfId="0" applyAlignment="1" applyBorder="1" applyFont="1">
      <alignment horizontal="center" readingOrder="0" vertical="bottom"/>
    </xf>
    <xf borderId="2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9" fillId="0" fontId="4" numFmtId="0" xfId="0" applyBorder="1" applyFont="1"/>
    <xf borderId="7" fillId="0" fontId="8" numFmtId="0" xfId="0" applyAlignment="1" applyBorder="1" applyFont="1">
      <alignment horizontal="center" vertical="bottom"/>
    </xf>
    <xf borderId="8" fillId="3" fontId="8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3" fontId="8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8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8" numFmtId="0" xfId="0" applyAlignment="1" applyBorder="1" applyFont="1">
      <alignment horizontal="center" readingOrder="0" vertical="bottom"/>
    </xf>
    <xf borderId="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vertical="bottom"/>
    </xf>
    <xf borderId="4" fillId="0" fontId="10" numFmtId="0" xfId="0" applyAlignment="1" applyBorder="1" applyFont="1">
      <alignment horizontal="center" readingOrder="0" shrinkToFit="0" vertical="bottom" wrapText="0"/>
    </xf>
    <xf borderId="5" fillId="0" fontId="10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left"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8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readingOrder="0" vertical="center"/>
    </xf>
    <xf borderId="0" fillId="2" fontId="13" numFmtId="0" xfId="0" applyFont="1"/>
    <xf borderId="6" fillId="0" fontId="8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2" fontId="11" numFmtId="0" xfId="0" applyAlignment="1" applyFont="1">
      <alignment horizontal="center" readingOrder="0" vertical="bottom"/>
    </xf>
    <xf borderId="6" fillId="0" fontId="14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6" fillId="2" fontId="2" numFmtId="0" xfId="0" applyAlignment="1" applyBorder="1" applyFont="1">
      <alignment vertical="bottom"/>
    </xf>
    <xf borderId="6" fillId="0" fontId="15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4" fontId="15" numFmtId="0" xfId="0" applyAlignment="1" applyBorder="1" applyFill="1" applyFont="1">
      <alignment readingOrder="0" shrinkToFit="0" vertical="bottom" wrapText="0"/>
    </xf>
    <xf borderId="6" fillId="0" fontId="2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left" readingOrder="0" vertical="center"/>
    </xf>
    <xf borderId="6" fillId="0" fontId="8" numFmtId="0" xfId="0" applyAlignment="1" applyBorder="1" applyFont="1">
      <alignment vertical="bottom"/>
    </xf>
    <xf borderId="6" fillId="0" fontId="8" numFmtId="167" xfId="0" applyAlignment="1" applyBorder="1" applyFont="1" applyNumberFormat="1">
      <alignment horizontal="center" vertical="bottom"/>
    </xf>
    <xf borderId="6" fillId="0" fontId="8" numFmtId="49" xfId="0" applyAlignment="1" applyBorder="1" applyFont="1" applyNumberFormat="1">
      <alignment vertical="bottom"/>
    </xf>
    <xf borderId="6" fillId="0" fontId="8" numFmtId="49" xfId="0" applyAlignment="1" applyBorder="1" applyFont="1" applyNumberFormat="1">
      <alignment horizontal="center" vertical="bottom"/>
    </xf>
    <xf borderId="6" fillId="2" fontId="8" numFmtId="0" xfId="0" applyAlignment="1" applyBorder="1" applyFont="1">
      <alignment horizontal="center" vertical="bottom"/>
    </xf>
    <xf borderId="6" fillId="2" fontId="8" numFmtId="167" xfId="0" applyAlignment="1" applyBorder="1" applyFont="1" applyNumberFormat="1">
      <alignment horizontal="center" vertical="bottom"/>
    </xf>
    <xf borderId="6" fillId="0" fontId="8" numFmtId="0" xfId="0" applyAlignment="1" applyBorder="1" applyFont="1">
      <alignment readingOrder="0" vertical="bottom"/>
    </xf>
    <xf borderId="6" fillId="2" fontId="8" numFmtId="49" xfId="0" applyAlignment="1" applyBorder="1" applyFont="1" applyNumberFormat="1">
      <alignment vertical="bottom"/>
    </xf>
    <xf borderId="6" fillId="2" fontId="8" numFmtId="49" xfId="0" applyAlignment="1" applyBorder="1" applyFont="1" applyNumberFormat="1">
      <alignment horizontal="center" vertical="bottom"/>
    </xf>
    <xf borderId="6" fillId="2" fontId="16" numFmtId="49" xfId="0" applyAlignment="1" applyBorder="1" applyFont="1" applyNumberFormat="1">
      <alignment vertical="bottom"/>
    </xf>
    <xf borderId="6" fillId="0" fontId="16" numFmtId="49" xfId="0" applyAlignment="1" applyBorder="1" applyFont="1" applyNumberFormat="1">
      <alignment vertical="bottom"/>
    </xf>
    <xf borderId="6" fillId="2" fontId="8" numFmtId="167" xfId="0" applyAlignment="1" applyBorder="1" applyFont="1" applyNumberFormat="1">
      <alignment vertical="bottom"/>
    </xf>
    <xf borderId="6" fillId="0" fontId="8" numFmtId="167" xfId="0" applyAlignment="1" applyBorder="1" applyFont="1" applyNumberFormat="1">
      <alignment vertical="bottom"/>
    </xf>
    <xf borderId="1" fillId="0" fontId="8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center" shrinkToFit="0" vertical="bottom" wrapText="1"/>
    </xf>
    <xf borderId="2" fillId="0" fontId="8" numFmtId="0" xfId="0" applyAlignment="1" applyBorder="1" applyFont="1">
      <alignment horizontal="center" readingOrder="0" vertical="bottom"/>
    </xf>
    <xf borderId="13" fillId="0" fontId="8" numFmtId="0" xfId="0" applyAlignment="1" applyBorder="1" applyFont="1">
      <alignment horizontal="center" shrinkToFit="0" vertical="bottom" wrapText="1"/>
    </xf>
    <xf borderId="8" fillId="0" fontId="8" numFmtId="0" xfId="0" applyAlignment="1" applyBorder="1" applyFont="1">
      <alignment horizontal="center" shrinkToFit="0" vertical="bottom" wrapText="1"/>
    </xf>
    <xf borderId="3" fillId="0" fontId="8" numFmtId="0" xfId="0" applyAlignment="1" applyBorder="1" applyFont="1">
      <alignment horizontal="center" shrinkToFit="0" vertical="bottom" wrapText="1"/>
    </xf>
    <xf borderId="5" fillId="0" fontId="8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vertical="bottom"/>
    </xf>
    <xf borderId="0" fillId="0" fontId="18" numFmtId="0" xfId="0" applyAlignment="1" applyFont="1">
      <alignment readingOrder="0" vertical="bottom"/>
    </xf>
    <xf borderId="0" fillId="0" fontId="19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2" fontId="8" numFmtId="0" xfId="0" applyAlignment="1" applyBorder="1" applyFont="1">
      <alignment horizontal="center" readingOrder="0" vertical="bottom"/>
    </xf>
    <xf borderId="1" fillId="2" fontId="8" numFmtId="0" xfId="0" applyAlignment="1" applyBorder="1" applyFont="1">
      <alignment readingOrder="0" vertical="bottom"/>
    </xf>
    <xf borderId="10" fillId="0" fontId="8" numFmtId="0" xfId="0" applyAlignment="1" applyBorder="1" applyFont="1">
      <alignment horizontal="center" readingOrder="0" vertical="center"/>
    </xf>
    <xf borderId="14" fillId="2" fontId="8" numFmtId="0" xfId="0" applyAlignment="1" applyBorder="1" applyFont="1">
      <alignment readingOrder="0" vertical="bottom"/>
    </xf>
    <xf borderId="15" fillId="2" fontId="8" numFmtId="0" xfId="0" applyAlignment="1" applyBorder="1" applyFont="1">
      <alignment vertical="bottom"/>
    </xf>
    <xf borderId="13" fillId="2" fontId="8" numFmtId="0" xfId="0" applyAlignment="1" applyBorder="1" applyFont="1">
      <alignment readingOrder="0" vertical="bottom"/>
    </xf>
    <xf borderId="4" fillId="2" fontId="8" numFmtId="0" xfId="0" applyAlignment="1" applyBorder="1" applyFont="1">
      <alignment readingOrder="0" vertical="bottom"/>
    </xf>
    <xf borderId="4" fillId="2" fontId="8" numFmtId="0" xfId="0" applyAlignment="1" applyBorder="1" applyFont="1">
      <alignment horizontal="center" readingOrder="0" vertical="bottom"/>
    </xf>
    <xf borderId="3" fillId="0" fontId="8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readingOrder="0" vertical="center"/>
    </xf>
    <xf borderId="6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readingOrder="0" vertical="bottom"/>
    </xf>
    <xf borderId="7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3" fillId="0" fontId="20" numFmtId="0" xfId="0" applyAlignment="1" applyBorder="1" applyFont="1">
      <alignment horizontal="center" readingOrder="0" vertical="bottom"/>
    </xf>
    <xf borderId="6" fillId="0" fontId="17" numFmtId="168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readingOrder="0" vertical="bottom"/>
    </xf>
    <xf borderId="6" fillId="0" fontId="12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vertical="bottom"/>
    </xf>
    <xf borderId="6" fillId="0" fontId="12" numFmtId="0" xfId="0" applyAlignment="1" applyBorder="1" applyFont="1">
      <alignment vertical="bottom"/>
    </xf>
    <xf borderId="13" fillId="0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left" readingOrder="0" vertical="center"/>
    </xf>
    <xf borderId="7" fillId="2" fontId="8" numFmtId="0" xfId="0" applyAlignment="1" applyBorder="1" applyFont="1">
      <alignment horizontal="center" readingOrder="0" vertical="bottom"/>
    </xf>
    <xf borderId="5" fillId="0" fontId="8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6" fillId="0" fontId="8" numFmtId="0" xfId="0" applyAlignment="1" applyBorder="1" applyFont="1">
      <alignment horizontal="center" readingOrder="0" shrinkToFit="0" vertical="bottom" wrapText="1"/>
    </xf>
    <xf borderId="6" fillId="0" fontId="8" numFmtId="0" xfId="0" applyAlignment="1" applyBorder="1" applyFont="1">
      <alignment horizontal="center" readingOrder="0" shrinkToFit="0" vertical="center" wrapText="1"/>
    </xf>
    <xf borderId="6" fillId="2" fontId="8" numFmtId="0" xfId="0" applyAlignment="1" applyBorder="1" applyFont="1">
      <alignment horizontal="center" readingOrder="0" shrinkToFit="0" vertical="bottom" wrapText="1"/>
    </xf>
    <xf borderId="4" fillId="2" fontId="8" numFmtId="0" xfId="0" applyAlignment="1" applyBorder="1" applyFont="1">
      <alignment readingOrder="0" shrinkToFit="0" vertical="bottom" wrapText="1"/>
    </xf>
    <xf borderId="6" fillId="0" fontId="8" numFmtId="0" xfId="0" applyAlignment="1" applyBorder="1" applyFont="1">
      <alignment horizontal="left" readingOrder="0" shrinkToFit="0" vertical="bottom" wrapText="1"/>
    </xf>
    <xf borderId="7" fillId="0" fontId="8" numFmtId="0" xfId="0" applyAlignment="1" applyBorder="1" applyFont="1">
      <alignment horizontal="center" readingOrder="0" shrinkToFit="0" vertical="bottom" wrapText="1"/>
    </xf>
    <xf borderId="4" fillId="2" fontId="8" numFmtId="0" xfId="0" applyAlignment="1" applyBorder="1" applyFont="1">
      <alignment horizontal="center" readingOrder="0" shrinkToFit="0" vertical="bottom" wrapText="1"/>
    </xf>
    <xf borderId="3" fillId="0" fontId="8" numFmtId="0" xfId="0" applyAlignment="1" applyBorder="1" applyFont="1">
      <alignment horizontal="center" readingOrder="0" shrinkToFit="0" vertical="bottom" wrapText="1"/>
    </xf>
    <xf borderId="6" fillId="0" fontId="8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6" fillId="0" fontId="17" numFmtId="0" xfId="0" applyAlignment="1" applyBorder="1" applyFont="1">
      <alignment horizontal="left" readingOrder="0" vertical="bottom"/>
    </xf>
    <xf borderId="6" fillId="0" fontId="8" numFmtId="168" xfId="0" applyAlignment="1" applyBorder="1" applyFont="1" applyNumberFormat="1">
      <alignment horizontal="left" readingOrder="0" vertical="bottom"/>
    </xf>
    <xf borderId="8" fillId="0" fontId="8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8" numFmtId="0" xfId="0" applyAlignment="1" applyBorder="1" applyFont="1">
      <alignment horizontal="center" readingOrder="0" vertical="bottom"/>
    </xf>
    <xf borderId="0" fillId="2" fontId="8" numFmtId="0" xfId="0" applyAlignment="1" applyFont="1">
      <alignment horizontal="center" readingOrder="0" vertical="bottom"/>
    </xf>
    <xf borderId="14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readingOrder="0"/>
    </xf>
    <xf borderId="7" fillId="0" fontId="8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20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8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2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/>
    </xf>
    <xf borderId="13" fillId="0" fontId="17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readingOrder="0" vertical="center"/>
    </xf>
    <xf borderId="2" fillId="0" fontId="8" numFmtId="0" xfId="0" applyAlignment="1" applyBorder="1" applyFont="1">
      <alignment horizontal="center" readingOrder="0"/>
    </xf>
    <xf borderId="15" fillId="2" fontId="8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vertical="bottom"/>
    </xf>
    <xf borderId="6" fillId="0" fontId="22" numFmtId="0" xfId="0" applyAlignment="1" applyBorder="1" applyFont="1">
      <alignment horizontal="center" vertical="bottom"/>
    </xf>
    <xf borderId="6" fillId="0" fontId="22" numFmtId="0" xfId="0" applyAlignment="1" applyBorder="1" applyFont="1">
      <alignment horizontal="center" readingOrder="0" vertical="bottom"/>
    </xf>
    <xf borderId="4" fillId="0" fontId="22" numFmtId="0" xfId="0" applyAlignment="1" applyBorder="1" applyFont="1">
      <alignment horizontal="center" readingOrder="0" vertical="bottom"/>
    </xf>
    <xf borderId="4" fillId="0" fontId="22" numFmtId="0" xfId="0" applyAlignment="1" applyBorder="1" applyFont="1">
      <alignment horizontal="center" vertical="bottom"/>
    </xf>
    <xf borderId="7" fillId="0" fontId="22" numFmtId="0" xfId="0" applyAlignment="1" applyBorder="1" applyFont="1">
      <alignment horizontal="center" vertical="bottom"/>
    </xf>
    <xf borderId="3" fillId="0" fontId="22" numFmtId="0" xfId="0" applyAlignment="1" applyBorder="1" applyFont="1">
      <alignment horizontal="center" vertical="bottom"/>
    </xf>
    <xf borderId="6" fillId="0" fontId="22" numFmtId="0" xfId="0" applyAlignment="1" applyBorder="1" applyFont="1">
      <alignment readingOrder="0" vertical="bottom"/>
    </xf>
    <xf borderId="4" fillId="0" fontId="21" numFmtId="0" xfId="0" applyAlignment="1" applyBorder="1" applyFont="1">
      <alignment readingOrder="0" vertical="bottom"/>
    </xf>
    <xf borderId="6" fillId="0" fontId="17" numFmtId="168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7" numFmtId="0" xfId="0" applyAlignment="1" applyBorder="1" applyFont="1">
      <alignment horizontal="left" vertical="bottom"/>
    </xf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5" fillId="0" fontId="3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horizontal="center" shrinkToFit="0" vertical="center" wrapText="1"/>
    </xf>
    <xf borderId="4" fillId="0" fontId="20" numFmtId="0" xfId="0" applyAlignment="1" applyBorder="1" applyFont="1">
      <alignment horizontal="center" vertical="bottom"/>
    </xf>
    <xf borderId="5" fillId="0" fontId="20" numFmtId="0" xfId="0" applyAlignment="1" applyBorder="1" applyFont="1">
      <alignment horizontal="center" vertical="bottom"/>
    </xf>
    <xf borderId="5" fillId="0" fontId="6" numFmtId="169" xfId="0" applyAlignment="1" applyBorder="1" applyFont="1" applyNumberFormat="1">
      <alignment horizontal="left" vertical="bottom"/>
    </xf>
    <xf borderId="5" fillId="0" fontId="6" numFmtId="0" xfId="0" applyAlignment="1" applyBorder="1" applyFont="1">
      <alignment horizontal="left" readingOrder="0" vertical="bottom"/>
    </xf>
    <xf borderId="5" fillId="0" fontId="6" numFmtId="0" xfId="0" applyAlignment="1" applyBorder="1" applyFont="1">
      <alignment horizontal="left" vertical="bottom"/>
    </xf>
    <xf borderId="6" fillId="0" fontId="7" numFmtId="0" xfId="0" applyAlignment="1" applyBorder="1" applyFont="1">
      <alignment horizontal="left" readingOrder="0" shrinkToFit="0" vertical="bottom" wrapText="0"/>
    </xf>
    <xf borderId="15" fillId="0" fontId="2" numFmtId="0" xfId="0" applyAlignment="1" applyBorder="1" applyFont="1">
      <alignment vertical="bottom"/>
    </xf>
    <xf borderId="6" fillId="0" fontId="6" numFmtId="0" xfId="0" applyAlignment="1" applyBorder="1" applyFont="1">
      <alignment horizontal="left" readingOrder="0" vertical="bottom"/>
    </xf>
    <xf borderId="5" fillId="0" fontId="6" numFmtId="169" xfId="0" applyAlignment="1" applyBorder="1" applyFont="1" applyNumberFormat="1">
      <alignment horizontal="right" vertical="bottom"/>
    </xf>
    <xf borderId="5" fillId="0" fontId="2" numFmtId="169" xfId="0" applyAlignment="1" applyBorder="1" applyFont="1" applyNumberFormat="1">
      <alignment horizontal="right" vertical="bottom"/>
    </xf>
    <xf borderId="5" fillId="0" fontId="6" numFmtId="20" xfId="0" applyAlignment="1" applyBorder="1" applyFont="1" applyNumberFormat="1">
      <alignment horizontal="right" vertical="bottom"/>
    </xf>
    <xf borderId="0" fillId="0" fontId="23" numFmtId="0" xfId="0" applyAlignment="1" applyFont="1">
      <alignment horizontal="center" vertical="bottom"/>
    </xf>
    <xf borderId="1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15" fillId="0" fontId="3" numFmtId="0" xfId="0" applyAlignment="1" applyBorder="1" applyFont="1">
      <alignment horizontal="center" vertical="center"/>
    </xf>
    <xf borderId="5" fillId="0" fontId="6" numFmtId="165" xfId="0" applyAlignment="1" applyBorder="1" applyFont="1" applyNumberFormat="1">
      <alignment horizontal="right" readingOrder="0" vertical="bottom"/>
    </xf>
    <xf borderId="6" fillId="0" fontId="24" numFmtId="0" xfId="0" applyAlignment="1" applyBorder="1" applyFont="1">
      <alignment readingOrder="0" shrinkToFit="0" vertical="bottom" wrapText="0"/>
    </xf>
    <xf borderId="6" fillId="0" fontId="24" numFmtId="0" xfId="0" applyAlignment="1" applyBorder="1" applyFont="1">
      <alignment horizontal="center" readingOrder="0" shrinkToFit="0" vertical="bottom" wrapText="0"/>
    </xf>
    <xf borderId="5" fillId="0" fontId="2" numFmtId="0" xfId="0" applyAlignment="1" applyBorder="1" applyFont="1">
      <alignment readingOrder="0" vertical="bottom"/>
    </xf>
    <xf borderId="15" fillId="0" fontId="6" numFmtId="0" xfId="0" applyAlignment="1" applyBorder="1" applyFont="1">
      <alignment vertical="bottom"/>
    </xf>
    <xf borderId="1" fillId="0" fontId="3" numFmtId="0" xfId="0" applyAlignment="1" applyBorder="1" applyFont="1">
      <alignment horizontal="center" shrinkToFit="0" vertical="bottom" wrapText="1"/>
    </xf>
    <xf borderId="5" fillId="0" fontId="6" numFmtId="170" xfId="0" applyAlignment="1" applyBorder="1" applyFont="1" applyNumberFormat="1">
      <alignment readingOrder="0" vertical="bottom"/>
    </xf>
    <xf borderId="13" fillId="0" fontId="25" numFmtId="0" xfId="0" applyAlignment="1" applyBorder="1" applyFont="1">
      <alignment readingOrder="0" shrinkToFit="0" vertical="bottom" wrapText="0"/>
    </xf>
    <xf borderId="5" fillId="0" fontId="2" numFmtId="171" xfId="0" applyAlignment="1" applyBorder="1" applyFont="1" applyNumberFormat="1">
      <alignment vertical="bottom"/>
    </xf>
    <xf borderId="4" fillId="0" fontId="6" numFmtId="0" xfId="0" applyAlignment="1" applyBorder="1" applyFont="1">
      <alignment horizontal="right" vertical="bottom"/>
    </xf>
    <xf borderId="5" fillId="0" fontId="6" numFmtId="172" xfId="0" applyAlignment="1" applyBorder="1" applyFont="1" applyNumberFormat="1">
      <alignment horizontal="right" vertical="bottom"/>
    </xf>
    <xf borderId="5" fillId="0" fontId="6" numFmtId="0" xfId="0" applyAlignment="1" applyBorder="1" applyFont="1">
      <alignment horizontal="right" vertical="bottom"/>
    </xf>
    <xf borderId="5" fillId="0" fontId="6" numFmtId="171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1.88"/>
    <col customWidth="1" min="6" max="6" width="14.13"/>
    <col customWidth="1" min="7" max="7" width="103.0"/>
  </cols>
  <sheetData>
    <row r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1" t="s">
        <v>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"/>
      <c r="B3" s="2" t="s">
        <v>2</v>
      </c>
      <c r="C3" s="4" t="s">
        <v>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6" t="s">
        <v>11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8"/>
      <c r="B6" s="8"/>
      <c r="C6" s="8"/>
      <c r="D6" s="8"/>
      <c r="E6" s="8"/>
      <c r="F6" s="8"/>
      <c r="G6" s="8"/>
      <c r="H6" s="9" t="s">
        <v>12</v>
      </c>
      <c r="I6" s="9" t="s">
        <v>13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10">
        <v>1.0</v>
      </c>
      <c r="B7" s="11">
        <v>2.0</v>
      </c>
      <c r="C7" s="11">
        <v>3.0</v>
      </c>
      <c r="D7" s="10">
        <v>4.0</v>
      </c>
      <c r="E7" s="11">
        <v>5.0</v>
      </c>
      <c r="F7" s="11">
        <v>6.0</v>
      </c>
      <c r="G7" s="10">
        <v>7.0</v>
      </c>
      <c r="H7" s="11">
        <v>8.0</v>
      </c>
      <c r="I7" s="11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13">
        <v>46034.0</v>
      </c>
      <c r="C8" s="14" t="s">
        <v>14</v>
      </c>
      <c r="D8" s="15" t="s">
        <v>15</v>
      </c>
      <c r="E8" s="16" t="s">
        <v>16</v>
      </c>
      <c r="F8" s="14" t="s">
        <v>17</v>
      </c>
      <c r="G8" s="17" t="s">
        <v>18</v>
      </c>
      <c r="H8" s="17" t="s">
        <v>19</v>
      </c>
      <c r="I8" s="18" t="s">
        <v>20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13">
        <v>46036.0</v>
      </c>
      <c r="C9" s="14" t="s">
        <v>21</v>
      </c>
      <c r="D9" s="15" t="s">
        <v>22</v>
      </c>
      <c r="E9" s="14" t="s">
        <v>23</v>
      </c>
      <c r="F9" s="14" t="s">
        <v>24</v>
      </c>
      <c r="G9" s="14" t="s">
        <v>18</v>
      </c>
      <c r="H9" s="17"/>
      <c r="I9" s="1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19">
        <v>3.0</v>
      </c>
      <c r="B10" s="13">
        <v>46049.0</v>
      </c>
      <c r="C10" s="14" t="s">
        <v>14</v>
      </c>
      <c r="D10" s="20" t="s">
        <v>25</v>
      </c>
      <c r="E10" s="14" t="s">
        <v>26</v>
      </c>
      <c r="F10" s="14" t="s">
        <v>27</v>
      </c>
      <c r="G10" s="14" t="s">
        <v>28</v>
      </c>
      <c r="H10" s="18"/>
      <c r="I10" s="1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>
        <v>4.0</v>
      </c>
      <c r="B11" s="21">
        <v>46070.0</v>
      </c>
      <c r="C11" s="14" t="s">
        <v>21</v>
      </c>
      <c r="D11" s="15" t="s">
        <v>29</v>
      </c>
      <c r="E11" s="16" t="s">
        <v>30</v>
      </c>
      <c r="F11" s="14" t="s">
        <v>31</v>
      </c>
      <c r="G11" s="14" t="s">
        <v>18</v>
      </c>
      <c r="H11" s="17"/>
      <c r="I11" s="1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9">
        <v>5.0</v>
      </c>
      <c r="B12" s="18"/>
      <c r="C12" s="17"/>
      <c r="D12" s="17"/>
      <c r="E12" s="17"/>
      <c r="F12" s="17"/>
      <c r="G12" s="17"/>
      <c r="H12" s="18"/>
      <c r="I12" s="1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>
        <v>6.0</v>
      </c>
      <c r="B13" s="22"/>
      <c r="C13" s="17"/>
      <c r="D13" s="17"/>
      <c r="E13" s="17"/>
      <c r="F13" s="17"/>
      <c r="G13" s="17"/>
      <c r="H13" s="17"/>
      <c r="I13" s="1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9">
        <v>7.0</v>
      </c>
      <c r="B14" s="22"/>
      <c r="C14" s="17"/>
      <c r="D14" s="17"/>
      <c r="E14" s="17"/>
      <c r="F14" s="17"/>
      <c r="G14" s="17"/>
      <c r="H14" s="18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>
        <v>8.0</v>
      </c>
      <c r="B15" s="22"/>
      <c r="C15" s="17"/>
      <c r="D15" s="17"/>
      <c r="E15" s="17"/>
      <c r="F15" s="17"/>
      <c r="G15" s="17"/>
      <c r="H15" s="18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9">
        <v>9.0</v>
      </c>
      <c r="B16" s="22"/>
      <c r="C16" s="17"/>
      <c r="D16" s="23"/>
      <c r="E16" s="17"/>
      <c r="F16" s="17"/>
      <c r="G16" s="17"/>
      <c r="H16" s="18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>
        <v>10.0</v>
      </c>
      <c r="B17" s="22"/>
      <c r="C17" s="17"/>
      <c r="D17" s="17"/>
      <c r="E17" s="17"/>
      <c r="F17" s="17"/>
      <c r="G17" s="17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9">
        <v>11.0</v>
      </c>
      <c r="B18" s="22"/>
      <c r="C18" s="17"/>
      <c r="D18" s="17"/>
      <c r="E18" s="17"/>
      <c r="F18" s="17"/>
      <c r="G18" s="17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>
        <v>12.0</v>
      </c>
      <c r="B19" s="22"/>
      <c r="C19" s="17"/>
      <c r="D19" s="17"/>
      <c r="E19" s="17"/>
      <c r="F19" s="17"/>
      <c r="G19" s="17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9">
        <v>13.0</v>
      </c>
      <c r="B20" s="22"/>
      <c r="C20" s="17"/>
      <c r="D20" s="17"/>
      <c r="E20" s="17"/>
      <c r="F20" s="17"/>
      <c r="G20" s="17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>
        <v>14.0</v>
      </c>
      <c r="B21" s="22"/>
      <c r="C21" s="17"/>
      <c r="D21" s="17"/>
      <c r="E21" s="17"/>
      <c r="F21" s="17"/>
      <c r="G21" s="17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9">
        <v>15.0</v>
      </c>
      <c r="B22" s="24"/>
      <c r="C22" s="17"/>
      <c r="D22" s="17"/>
      <c r="E22" s="17"/>
      <c r="F22" s="17"/>
      <c r="G22" s="17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>
        <v>16.0</v>
      </c>
      <c r="B23" s="22"/>
      <c r="C23" s="17"/>
      <c r="D23" s="17"/>
      <c r="E23" s="17"/>
      <c r="F23" s="17"/>
      <c r="G23" s="17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9">
        <v>17.0</v>
      </c>
      <c r="B24" s="22"/>
      <c r="C24" s="17"/>
      <c r="D24" s="17"/>
      <c r="E24" s="17"/>
      <c r="F24" s="17"/>
      <c r="G24" s="17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>
        <v>18.0</v>
      </c>
      <c r="B25" s="22"/>
      <c r="C25" s="17"/>
      <c r="D25" s="17"/>
      <c r="E25" s="17"/>
      <c r="F25" s="17"/>
      <c r="G25" s="17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9">
        <v>19.0</v>
      </c>
      <c r="B26" s="22"/>
      <c r="C26" s="17"/>
      <c r="D26" s="17"/>
      <c r="E26" s="17"/>
      <c r="F26" s="17"/>
      <c r="G26" s="17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>
        <v>20.0</v>
      </c>
      <c r="B27" s="22"/>
      <c r="C27" s="17"/>
      <c r="D27" s="25"/>
      <c r="E27" s="17"/>
      <c r="F27" s="17"/>
      <c r="G27" s="17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9">
        <v>21.0</v>
      </c>
      <c r="B28" s="26"/>
      <c r="C28" s="17"/>
      <c r="D28" s="17"/>
      <c r="E28" s="17"/>
      <c r="F28" s="17"/>
      <c r="G28" s="17"/>
      <c r="H28" s="23"/>
      <c r="I28" s="17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>
        <v>22.0</v>
      </c>
      <c r="B29" s="26"/>
      <c r="C29" s="17"/>
      <c r="D29" s="17"/>
      <c r="E29" s="17"/>
      <c r="F29" s="17"/>
      <c r="G29" s="17"/>
      <c r="H29" s="23"/>
      <c r="I29" s="17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9">
        <v>23.0</v>
      </c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12">
        <v>24.0</v>
      </c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27" t="s">
        <v>32</v>
      </c>
    </row>
    <row r="2">
      <c r="A2" s="2"/>
      <c r="B2" s="28" t="s">
        <v>2</v>
      </c>
      <c r="C2" s="29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30" t="s">
        <v>33</v>
      </c>
      <c r="B4" s="30" t="s">
        <v>34</v>
      </c>
      <c r="C4" s="30" t="s">
        <v>35</v>
      </c>
      <c r="D4" s="30" t="s">
        <v>36</v>
      </c>
      <c r="E4" s="30" t="s">
        <v>37</v>
      </c>
      <c r="F4" s="30" t="s">
        <v>38</v>
      </c>
      <c r="G4" s="31" t="s">
        <v>39</v>
      </c>
      <c r="H4" s="31" t="s">
        <v>40</v>
      </c>
      <c r="I4" s="32" t="s">
        <v>41</v>
      </c>
      <c r="J4" s="32" t="s">
        <v>42</v>
      </c>
      <c r="K4" s="30" t="s">
        <v>43</v>
      </c>
      <c r="L4" s="33" t="s">
        <v>44</v>
      </c>
      <c r="M4" s="7"/>
      <c r="N4" s="33" t="s">
        <v>45</v>
      </c>
      <c r="O4" s="7"/>
      <c r="P4" s="30" t="s">
        <v>46</v>
      </c>
      <c r="Q4" s="34" t="s">
        <v>47</v>
      </c>
      <c r="R4" s="30" t="s">
        <v>48</v>
      </c>
      <c r="S4" s="2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35" t="s">
        <v>49</v>
      </c>
      <c r="M5" s="35" t="s">
        <v>50</v>
      </c>
      <c r="N5" s="35" t="s">
        <v>51</v>
      </c>
      <c r="O5" s="35" t="s">
        <v>52</v>
      </c>
      <c r="P5" s="8"/>
      <c r="Q5" s="8"/>
      <c r="R5" s="8"/>
      <c r="S5" s="2"/>
    </row>
    <row r="6">
      <c r="A6" s="12">
        <v>1.0</v>
      </c>
      <c r="B6" s="36" t="s">
        <v>53</v>
      </c>
      <c r="C6" s="37" t="s">
        <v>54</v>
      </c>
      <c r="D6" s="38">
        <v>296.0</v>
      </c>
      <c r="E6" s="39">
        <v>308.0</v>
      </c>
      <c r="F6" s="38">
        <v>1011.0</v>
      </c>
      <c r="G6" s="38">
        <v>32.0</v>
      </c>
      <c r="H6" s="38">
        <f>1041/6</f>
        <v>173.5</v>
      </c>
      <c r="I6" s="38"/>
      <c r="J6" s="38">
        <v>60.0</v>
      </c>
      <c r="K6" s="38">
        <v>3.0</v>
      </c>
      <c r="L6" s="38"/>
      <c r="M6" s="35" t="s">
        <v>50</v>
      </c>
      <c r="N6" s="40"/>
      <c r="O6" s="41" t="s">
        <v>55</v>
      </c>
      <c r="P6" s="38">
        <v>9.0</v>
      </c>
      <c r="Q6" s="16" t="s">
        <v>56</v>
      </c>
      <c r="R6" s="37" t="s">
        <v>57</v>
      </c>
      <c r="S6" s="2"/>
    </row>
    <row r="7">
      <c r="A7" s="19">
        <v>2.0</v>
      </c>
      <c r="B7" s="42" t="s">
        <v>14</v>
      </c>
      <c r="C7" s="37" t="s">
        <v>58</v>
      </c>
      <c r="D7" s="37">
        <v>221.0</v>
      </c>
      <c r="E7" s="43">
        <v>250.0</v>
      </c>
      <c r="F7" s="37">
        <v>822.0</v>
      </c>
      <c r="G7" s="37">
        <v>28.0</v>
      </c>
      <c r="H7" s="37"/>
      <c r="I7" s="37"/>
      <c r="J7" s="37">
        <v>124.0</v>
      </c>
      <c r="K7" s="37">
        <v>3.0</v>
      </c>
      <c r="L7" s="44"/>
      <c r="M7" s="35" t="s">
        <v>50</v>
      </c>
      <c r="N7" s="40"/>
      <c r="O7" s="44" t="s">
        <v>59</v>
      </c>
      <c r="P7" s="38">
        <v>9.0</v>
      </c>
      <c r="Q7" s="16" t="s">
        <v>56</v>
      </c>
      <c r="R7" s="38" t="s">
        <v>57</v>
      </c>
      <c r="S7" s="2"/>
    </row>
    <row r="8">
      <c r="A8" s="19">
        <v>3.0</v>
      </c>
      <c r="B8" s="45" t="s">
        <v>60</v>
      </c>
      <c r="C8" s="37" t="s">
        <v>61</v>
      </c>
      <c r="D8" s="38">
        <v>227.0</v>
      </c>
      <c r="E8" s="39">
        <v>230.0</v>
      </c>
      <c r="F8" s="38">
        <v>760.0</v>
      </c>
      <c r="G8" s="37">
        <v>35.0</v>
      </c>
      <c r="H8" s="37"/>
      <c r="I8" s="37"/>
      <c r="J8" s="37">
        <v>55.0</v>
      </c>
      <c r="K8" s="37">
        <v>2.0</v>
      </c>
      <c r="L8" s="37"/>
      <c r="M8" s="35" t="s">
        <v>50</v>
      </c>
      <c r="N8" s="40"/>
      <c r="O8" s="44" t="s">
        <v>59</v>
      </c>
      <c r="P8" s="38">
        <v>9.0</v>
      </c>
      <c r="Q8" s="16" t="s">
        <v>62</v>
      </c>
      <c r="R8" s="38" t="s">
        <v>63</v>
      </c>
      <c r="S8" s="2"/>
    </row>
    <row r="9">
      <c r="A9" s="19">
        <v>4.0</v>
      </c>
      <c r="B9" s="45" t="s">
        <v>64</v>
      </c>
      <c r="C9" s="37" t="s">
        <v>65</v>
      </c>
      <c r="D9" s="37">
        <v>254.0</v>
      </c>
      <c r="E9" s="43">
        <v>284.0</v>
      </c>
      <c r="F9" s="37">
        <v>926.0</v>
      </c>
      <c r="G9" s="37">
        <v>22.0</v>
      </c>
      <c r="H9" s="18"/>
      <c r="I9" s="18"/>
      <c r="J9" s="37">
        <v>52.0</v>
      </c>
      <c r="K9" s="37">
        <v>1.0</v>
      </c>
      <c r="L9" s="37" t="s">
        <v>66</v>
      </c>
      <c r="M9" s="38"/>
      <c r="N9" s="40"/>
      <c r="O9" s="37" t="s">
        <v>59</v>
      </c>
      <c r="P9" s="38">
        <v>9.0</v>
      </c>
      <c r="Q9" s="16" t="s">
        <v>56</v>
      </c>
      <c r="R9" s="38" t="s">
        <v>57</v>
      </c>
      <c r="S9" s="2"/>
    </row>
    <row r="10">
      <c r="A10" s="19">
        <v>5.0</v>
      </c>
      <c r="B10" s="45" t="s">
        <v>21</v>
      </c>
      <c r="C10" s="37" t="s">
        <v>67</v>
      </c>
      <c r="D10" s="37">
        <v>413.0</v>
      </c>
      <c r="E10" s="43">
        <v>439.0</v>
      </c>
      <c r="F10" s="37">
        <v>1420.0</v>
      </c>
      <c r="G10" s="37">
        <v>51.0</v>
      </c>
      <c r="H10" s="18"/>
      <c r="I10" s="18"/>
      <c r="J10" s="37">
        <v>28.0</v>
      </c>
      <c r="K10" s="37">
        <v>2.0</v>
      </c>
      <c r="L10" s="37"/>
      <c r="M10" s="35" t="s">
        <v>50</v>
      </c>
      <c r="N10" s="40"/>
      <c r="O10" s="44" t="s">
        <v>59</v>
      </c>
      <c r="P10" s="38">
        <v>9.0</v>
      </c>
      <c r="Q10" s="16" t="s">
        <v>62</v>
      </c>
      <c r="R10" s="38" t="s">
        <v>57</v>
      </c>
      <c r="S10" s="2"/>
    </row>
    <row r="11">
      <c r="A11" s="12"/>
      <c r="B11" s="46"/>
      <c r="C11" s="18"/>
      <c r="D11" s="18"/>
      <c r="E11" s="47"/>
      <c r="F11" s="18"/>
      <c r="G11" s="18"/>
      <c r="H11" s="18"/>
      <c r="I11" s="18"/>
      <c r="J11" s="18"/>
      <c r="K11" s="18"/>
      <c r="L11" s="18"/>
      <c r="M11" s="23"/>
      <c r="N11" s="18"/>
      <c r="O11" s="23"/>
      <c r="P11" s="48"/>
      <c r="Q11" s="49"/>
      <c r="R11" s="18"/>
      <c r="S11" s="2"/>
    </row>
    <row r="12">
      <c r="A12" s="12"/>
      <c r="B12" s="46"/>
      <c r="C12" s="18"/>
      <c r="D12" s="18"/>
      <c r="E12" s="47"/>
      <c r="F12" s="23"/>
      <c r="G12" s="18"/>
      <c r="H12" s="18"/>
      <c r="I12" s="18"/>
      <c r="J12" s="18"/>
      <c r="K12" s="18"/>
      <c r="L12" s="23"/>
      <c r="M12" s="18"/>
      <c r="N12" s="18"/>
      <c r="O12" s="23"/>
      <c r="P12" s="48"/>
      <c r="Q12" s="49"/>
      <c r="R12" s="18"/>
      <c r="S12" s="2"/>
    </row>
    <row r="13">
      <c r="A13" s="12"/>
      <c r="B13" s="46"/>
      <c r="C13" s="18"/>
      <c r="D13" s="18"/>
      <c r="E13" s="47"/>
      <c r="F13" s="18"/>
      <c r="G13" s="18"/>
      <c r="H13" s="18"/>
      <c r="I13" s="18"/>
      <c r="J13" s="18"/>
      <c r="K13" s="18"/>
      <c r="L13" s="18"/>
      <c r="M13" s="23"/>
      <c r="N13" s="18"/>
      <c r="O13" s="23"/>
      <c r="P13" s="48"/>
      <c r="Q13" s="49"/>
      <c r="R13" s="18"/>
      <c r="S13" s="2"/>
    </row>
    <row r="14">
      <c r="A14" s="12"/>
      <c r="B14" s="46"/>
      <c r="C14" s="18"/>
      <c r="D14" s="18"/>
      <c r="E14" s="47"/>
      <c r="F14" s="18"/>
      <c r="G14" s="18"/>
      <c r="H14" s="18"/>
      <c r="I14" s="18"/>
      <c r="J14" s="18"/>
      <c r="K14" s="18"/>
      <c r="L14" s="23"/>
      <c r="M14" s="18"/>
      <c r="N14" s="18"/>
      <c r="O14" s="23"/>
      <c r="P14" s="48"/>
      <c r="Q14" s="49"/>
      <c r="R14" s="18"/>
      <c r="S14" s="2"/>
    </row>
    <row r="15">
      <c r="A15" s="12"/>
      <c r="B15" s="46"/>
      <c r="C15" s="18"/>
      <c r="D15" s="18"/>
      <c r="E15" s="47"/>
      <c r="F15" s="18"/>
      <c r="G15" s="18"/>
      <c r="H15" s="18"/>
      <c r="I15" s="18"/>
      <c r="J15" s="18"/>
      <c r="K15" s="18"/>
      <c r="L15" s="23"/>
      <c r="M15" s="18"/>
      <c r="N15" s="18"/>
      <c r="O15" s="23"/>
      <c r="P15" s="48"/>
      <c r="Q15" s="49"/>
      <c r="R15" s="18"/>
      <c r="S15" s="2"/>
    </row>
    <row r="16">
      <c r="A16" s="12"/>
      <c r="B16" s="46"/>
      <c r="C16" s="18"/>
      <c r="D16" s="18"/>
      <c r="E16" s="47"/>
      <c r="F16" s="18"/>
      <c r="G16" s="18"/>
      <c r="H16" s="18"/>
      <c r="I16" s="18"/>
      <c r="J16" s="18"/>
      <c r="K16" s="23"/>
      <c r="L16" s="23"/>
      <c r="M16" s="18"/>
      <c r="N16" s="23"/>
      <c r="O16" s="18"/>
      <c r="P16" s="48"/>
      <c r="Q16" s="49"/>
      <c r="R16" s="18"/>
      <c r="S16" s="2"/>
    </row>
    <row r="17">
      <c r="A17" s="12"/>
      <c r="B17" s="46"/>
      <c r="C17" s="18"/>
      <c r="D17" s="18"/>
      <c r="E17" s="47"/>
      <c r="F17" s="18"/>
      <c r="G17" s="18"/>
      <c r="H17" s="18"/>
      <c r="I17" s="18"/>
      <c r="J17" s="18"/>
      <c r="K17" s="23"/>
      <c r="L17" s="23"/>
      <c r="M17" s="18"/>
      <c r="N17" s="23"/>
      <c r="O17" s="18"/>
      <c r="P17" s="48"/>
      <c r="Q17" s="49"/>
      <c r="R17" s="18"/>
      <c r="S17" s="2"/>
    </row>
    <row r="18">
      <c r="A18" s="12"/>
      <c r="B18" s="46"/>
      <c r="C18" s="18"/>
      <c r="D18" s="18"/>
      <c r="E18" s="47"/>
      <c r="F18" s="18"/>
      <c r="G18" s="18"/>
      <c r="H18" s="18"/>
      <c r="I18" s="18"/>
      <c r="J18" s="18"/>
      <c r="K18" s="23"/>
      <c r="L18" s="23"/>
      <c r="M18" s="18"/>
      <c r="N18" s="23"/>
      <c r="O18" s="18"/>
      <c r="P18" s="48"/>
      <c r="Q18" s="49"/>
      <c r="R18" s="18"/>
      <c r="S18" s="2"/>
    </row>
    <row r="19">
      <c r="A19" s="12"/>
      <c r="B19" s="46"/>
      <c r="C19" s="18"/>
      <c r="D19" s="18"/>
      <c r="E19" s="47"/>
      <c r="F19" s="18"/>
      <c r="G19" s="18"/>
      <c r="H19" s="18"/>
      <c r="I19" s="18"/>
      <c r="J19" s="18"/>
      <c r="K19" s="23"/>
      <c r="L19" s="18"/>
      <c r="M19" s="23"/>
      <c r="N19" s="23"/>
      <c r="O19" s="18"/>
      <c r="P19" s="48"/>
      <c r="Q19" s="49"/>
      <c r="R19" s="18"/>
      <c r="S19" s="2"/>
    </row>
    <row r="20">
      <c r="A20" s="12"/>
      <c r="B20" s="46"/>
      <c r="C20" s="18"/>
      <c r="D20" s="18"/>
      <c r="E20" s="47"/>
      <c r="F20" s="18"/>
      <c r="G20" s="18"/>
      <c r="H20" s="18"/>
      <c r="I20" s="18"/>
      <c r="J20" s="18"/>
      <c r="K20" s="23"/>
      <c r="L20" s="23"/>
      <c r="M20" s="18"/>
      <c r="N20" s="23"/>
      <c r="O20" s="18"/>
      <c r="P20" s="48"/>
      <c r="Q20" s="49"/>
      <c r="R20" s="18"/>
      <c r="S20" s="2"/>
    </row>
    <row r="21">
      <c r="A21" s="12"/>
      <c r="B21" s="46"/>
      <c r="C21" s="18"/>
      <c r="D21" s="18"/>
      <c r="E21" s="47"/>
      <c r="F21" s="18"/>
      <c r="G21" s="18"/>
      <c r="H21" s="18"/>
      <c r="I21" s="18"/>
      <c r="J21" s="18"/>
      <c r="K21" s="23"/>
      <c r="L21" s="23"/>
      <c r="M21" s="18"/>
      <c r="N21" s="18"/>
      <c r="O21" s="23"/>
      <c r="P21" s="48"/>
      <c r="Q21" s="49"/>
      <c r="R21" s="18"/>
      <c r="S21" s="2"/>
    </row>
    <row r="22">
      <c r="A22" s="12"/>
      <c r="B22" s="46"/>
      <c r="C22" s="18"/>
      <c r="D22" s="18"/>
      <c r="E22" s="47"/>
      <c r="F22" s="18"/>
      <c r="G22" s="18"/>
      <c r="H22" s="18"/>
      <c r="I22" s="18"/>
      <c r="J22" s="18"/>
      <c r="K22" s="23"/>
      <c r="L22" s="18"/>
      <c r="M22" s="23"/>
      <c r="N22" s="18"/>
      <c r="O22" s="23"/>
      <c r="P22" s="48"/>
      <c r="Q22" s="49"/>
      <c r="R22" s="18"/>
      <c r="S22" s="2"/>
    </row>
    <row r="23">
      <c r="A23" s="12"/>
      <c r="B23" s="46"/>
      <c r="C23" s="18"/>
      <c r="D23" s="18"/>
      <c r="E23" s="47"/>
      <c r="F23" s="18"/>
      <c r="G23" s="18"/>
      <c r="H23" s="18"/>
      <c r="I23" s="18"/>
      <c r="J23" s="18"/>
      <c r="K23" s="23"/>
      <c r="L23" s="18"/>
      <c r="M23" s="23"/>
      <c r="N23" s="18"/>
      <c r="O23" s="23"/>
      <c r="P23" s="48"/>
      <c r="Q23" s="49"/>
      <c r="R23" s="18"/>
      <c r="S23" s="2"/>
    </row>
    <row r="24">
      <c r="A24" s="12"/>
      <c r="B24" s="46"/>
      <c r="C24" s="18"/>
      <c r="D24" s="18"/>
      <c r="E24" s="47"/>
      <c r="F24" s="18"/>
      <c r="G24" s="18"/>
      <c r="H24" s="18"/>
      <c r="I24" s="18"/>
      <c r="J24" s="18"/>
      <c r="K24" s="18"/>
      <c r="L24" s="18"/>
      <c r="M24" s="23"/>
      <c r="N24" s="23"/>
      <c r="O24" s="18"/>
      <c r="P24" s="48"/>
      <c r="Q24" s="49"/>
      <c r="R24" s="18"/>
      <c r="S24" s="2"/>
    </row>
    <row r="25">
      <c r="A25" s="12"/>
      <c r="B25" s="46"/>
      <c r="C25" s="18"/>
      <c r="D25" s="18"/>
      <c r="E25" s="47"/>
      <c r="F25" s="18"/>
      <c r="G25" s="18"/>
      <c r="H25" s="18"/>
      <c r="I25" s="18"/>
      <c r="J25" s="18"/>
      <c r="K25" s="18"/>
      <c r="L25" s="18"/>
      <c r="M25" s="23"/>
      <c r="N25" s="18"/>
      <c r="O25" s="23"/>
      <c r="P25" s="48"/>
      <c r="Q25" s="49"/>
      <c r="R25" s="18"/>
      <c r="S25" s="2"/>
    </row>
    <row r="26">
      <c r="A26" s="12"/>
      <c r="B26" s="46"/>
      <c r="C26" s="18"/>
      <c r="D26" s="18"/>
      <c r="E26" s="47"/>
      <c r="F26" s="18"/>
      <c r="G26" s="18"/>
      <c r="H26" s="18"/>
      <c r="I26" s="18"/>
      <c r="J26" s="18"/>
      <c r="K26" s="18"/>
      <c r="L26" s="18"/>
      <c r="M26" s="23"/>
      <c r="N26" s="18"/>
      <c r="O26" s="23"/>
      <c r="P26" s="48"/>
      <c r="Q26" s="49"/>
      <c r="R26" s="18"/>
      <c r="S26" s="2"/>
    </row>
    <row r="27">
      <c r="A27" s="12"/>
      <c r="B27" s="46"/>
      <c r="C27" s="18"/>
      <c r="D27" s="18"/>
      <c r="E27" s="47"/>
      <c r="F27" s="18"/>
      <c r="G27" s="18"/>
      <c r="H27" s="18"/>
      <c r="I27" s="18"/>
      <c r="J27" s="18"/>
      <c r="K27" s="18"/>
      <c r="L27" s="18"/>
      <c r="M27" s="23"/>
      <c r="N27" s="18"/>
      <c r="O27" s="23"/>
      <c r="P27" s="48"/>
      <c r="Q27" s="49"/>
      <c r="R27" s="18"/>
      <c r="S27" s="2"/>
    </row>
    <row r="28">
      <c r="A28" s="12"/>
      <c r="B28" s="46"/>
      <c r="C28" s="18"/>
      <c r="D28" s="18"/>
      <c r="E28" s="47"/>
      <c r="F28" s="18"/>
      <c r="G28" s="18"/>
      <c r="H28" s="18"/>
      <c r="I28" s="18"/>
      <c r="J28" s="18"/>
      <c r="K28" s="18"/>
      <c r="L28" s="18"/>
      <c r="M28" s="23"/>
      <c r="N28" s="18"/>
      <c r="O28" s="23"/>
      <c r="P28" s="48"/>
      <c r="Q28" s="49"/>
      <c r="R28" s="18"/>
      <c r="S28" s="2"/>
    </row>
    <row r="29">
      <c r="A29" s="12"/>
      <c r="B29" s="46"/>
      <c r="C29" s="18"/>
      <c r="D29" s="18"/>
      <c r="E29" s="47"/>
      <c r="F29" s="18"/>
      <c r="G29" s="18"/>
      <c r="H29" s="18"/>
      <c r="I29" s="18"/>
      <c r="J29" s="18"/>
      <c r="K29" s="23"/>
      <c r="L29" s="18"/>
      <c r="M29" s="23"/>
      <c r="N29" s="18"/>
      <c r="O29" s="23"/>
      <c r="P29" s="48"/>
      <c r="Q29" s="49"/>
      <c r="R29" s="18"/>
      <c r="S29" s="2"/>
    </row>
    <row r="30">
      <c r="A30" s="12"/>
      <c r="B30" s="46"/>
      <c r="C30" s="18"/>
      <c r="D30" s="18"/>
      <c r="E30" s="47"/>
      <c r="F30" s="18"/>
      <c r="G30" s="18"/>
      <c r="H30" s="18"/>
      <c r="I30" s="18"/>
      <c r="J30" s="18"/>
      <c r="K30" s="18"/>
      <c r="L30" s="18"/>
      <c r="M30" s="23"/>
      <c r="N30" s="18"/>
      <c r="O30" s="23"/>
      <c r="P30" s="48"/>
      <c r="Q30" s="49"/>
      <c r="R30" s="18"/>
      <c r="S30" s="2"/>
    </row>
    <row r="31">
      <c r="A31" s="50" t="s">
        <v>68</v>
      </c>
      <c r="B31" s="51"/>
      <c r="C31" s="7"/>
      <c r="D31" s="18">
        <f t="shared" ref="D31:H31" si="1">SUM(D6:D30)</f>
        <v>1411</v>
      </c>
      <c r="E31" s="18">
        <f t="shared" si="1"/>
        <v>1511</v>
      </c>
      <c r="F31" s="18">
        <f t="shared" si="1"/>
        <v>4939</v>
      </c>
      <c r="G31" s="18">
        <f t="shared" si="1"/>
        <v>168</v>
      </c>
      <c r="H31" s="18">
        <f t="shared" si="1"/>
        <v>173.5</v>
      </c>
      <c r="I31" s="18"/>
      <c r="J31" s="18"/>
      <c r="K31" s="18">
        <f t="shared" ref="K31:R31" si="2">SUM(K6:K30)</f>
        <v>11</v>
      </c>
      <c r="L31" s="18">
        <f t="shared" si="2"/>
        <v>0</v>
      </c>
      <c r="M31" s="18">
        <f t="shared" si="2"/>
        <v>0</v>
      </c>
      <c r="N31" s="18">
        <f t="shared" si="2"/>
        <v>0</v>
      </c>
      <c r="O31" s="18">
        <f t="shared" si="2"/>
        <v>0</v>
      </c>
      <c r="P31" s="18">
        <f t="shared" si="2"/>
        <v>45</v>
      </c>
      <c r="Q31" s="47">
        <f t="shared" si="2"/>
        <v>0</v>
      </c>
      <c r="R31" s="18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9.75"/>
    <col customWidth="1" min="3" max="3" width="17.38"/>
    <col customWidth="1" min="5" max="5" width="21.13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2" t="s">
        <v>69</v>
      </c>
      <c r="AL1" s="53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2</v>
      </c>
      <c r="C3" s="4" t="s">
        <v>70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4" t="s">
        <v>33</v>
      </c>
      <c r="B4" s="54" t="s">
        <v>71</v>
      </c>
      <c r="C4" s="55" t="s">
        <v>72</v>
      </c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7"/>
      <c r="AA4" s="56" t="s">
        <v>73</v>
      </c>
      <c r="AB4" s="51"/>
      <c r="AC4" s="51"/>
      <c r="AD4" s="51"/>
      <c r="AE4" s="51"/>
      <c r="AF4" s="7"/>
      <c r="AG4" s="56" t="s">
        <v>74</v>
      </c>
      <c r="AH4" s="51"/>
      <c r="AI4" s="51"/>
      <c r="AJ4" s="7"/>
      <c r="AK4" s="57" t="s">
        <v>75</v>
      </c>
      <c r="AL4" s="2"/>
    </row>
    <row r="5">
      <c r="A5" s="58"/>
      <c r="B5" s="58"/>
      <c r="C5" s="59" t="s">
        <v>76</v>
      </c>
      <c r="D5" s="51"/>
      <c r="E5" s="51"/>
      <c r="F5" s="51"/>
      <c r="G5" s="51"/>
      <c r="H5" s="51"/>
      <c r="I5" s="51"/>
      <c r="J5" s="7"/>
      <c r="K5" s="60" t="s">
        <v>77</v>
      </c>
      <c r="L5" s="61"/>
      <c r="M5" s="61"/>
      <c r="N5" s="62"/>
      <c r="O5" s="63" t="s">
        <v>78</v>
      </c>
      <c r="R5" s="64"/>
      <c r="S5" s="63" t="s">
        <v>79</v>
      </c>
      <c r="V5" s="64"/>
      <c r="W5" s="65" t="s">
        <v>80</v>
      </c>
      <c r="X5" s="56" t="s">
        <v>81</v>
      </c>
      <c r="Y5" s="51"/>
      <c r="Z5" s="7"/>
      <c r="AA5" s="54" t="s">
        <v>82</v>
      </c>
      <c r="AB5" s="62"/>
      <c r="AC5" s="54" t="s">
        <v>83</v>
      </c>
      <c r="AD5" s="62"/>
      <c r="AE5" s="54" t="s">
        <v>84</v>
      </c>
      <c r="AF5" s="62"/>
      <c r="AG5" s="54" t="s">
        <v>85</v>
      </c>
      <c r="AH5" s="62"/>
      <c r="AI5" s="54" t="s">
        <v>86</v>
      </c>
      <c r="AJ5" s="62"/>
      <c r="AK5" s="66"/>
      <c r="AL5" s="2"/>
    </row>
    <row r="6">
      <c r="A6" s="58"/>
      <c r="B6" s="58"/>
      <c r="C6" s="59" t="s">
        <v>87</v>
      </c>
      <c r="D6" s="51"/>
      <c r="E6" s="51"/>
      <c r="F6" s="7"/>
      <c r="G6" s="56" t="s">
        <v>88</v>
      </c>
      <c r="H6" s="51"/>
      <c r="I6" s="51"/>
      <c r="J6" s="7"/>
      <c r="K6" s="67"/>
      <c r="L6" s="68"/>
      <c r="M6" s="68"/>
      <c r="N6" s="69"/>
      <c r="O6" s="67"/>
      <c r="P6" s="68"/>
      <c r="Q6" s="68"/>
      <c r="R6" s="69"/>
      <c r="S6" s="67"/>
      <c r="T6" s="68"/>
      <c r="U6" s="68"/>
      <c r="V6" s="69"/>
      <c r="W6" s="66"/>
      <c r="X6" s="65" t="s">
        <v>89</v>
      </c>
      <c r="Y6" s="65" t="s">
        <v>90</v>
      </c>
      <c r="Z6" s="65" t="s">
        <v>91</v>
      </c>
      <c r="AA6" s="58"/>
      <c r="AB6" s="64"/>
      <c r="AC6" s="58"/>
      <c r="AD6" s="64"/>
      <c r="AE6" s="58"/>
      <c r="AF6" s="64"/>
      <c r="AG6" s="58"/>
      <c r="AH6" s="64"/>
      <c r="AI6" s="58"/>
      <c r="AJ6" s="64"/>
      <c r="AK6" s="66"/>
      <c r="AL6" s="2"/>
    </row>
    <row r="7">
      <c r="A7" s="58"/>
      <c r="B7" s="58"/>
      <c r="C7" s="59" t="s">
        <v>92</v>
      </c>
      <c r="D7" s="7"/>
      <c r="E7" s="56" t="s">
        <v>93</v>
      </c>
      <c r="F7" s="7"/>
      <c r="G7" s="56" t="s">
        <v>92</v>
      </c>
      <c r="H7" s="7"/>
      <c r="I7" s="56" t="s">
        <v>93</v>
      </c>
      <c r="J7" s="7"/>
      <c r="K7" s="70" t="s">
        <v>92</v>
      </c>
      <c r="L7" s="69"/>
      <c r="M7" s="70" t="s">
        <v>93</v>
      </c>
      <c r="N7" s="69"/>
      <c r="O7" s="70" t="s">
        <v>92</v>
      </c>
      <c r="P7" s="69"/>
      <c r="Q7" s="70" t="s">
        <v>93</v>
      </c>
      <c r="R7" s="69"/>
      <c r="S7" s="70" t="s">
        <v>92</v>
      </c>
      <c r="T7" s="69"/>
      <c r="U7" s="70" t="s">
        <v>93</v>
      </c>
      <c r="V7" s="69"/>
      <c r="W7" s="66"/>
      <c r="X7" s="66"/>
      <c r="Y7" s="66"/>
      <c r="Z7" s="66"/>
      <c r="AA7" s="67"/>
      <c r="AB7" s="69"/>
      <c r="AC7" s="67"/>
      <c r="AD7" s="69"/>
      <c r="AE7" s="67"/>
      <c r="AF7" s="69"/>
      <c r="AG7" s="67"/>
      <c r="AH7" s="69"/>
      <c r="AI7" s="67"/>
      <c r="AJ7" s="69"/>
      <c r="AK7" s="66"/>
      <c r="AL7" s="2"/>
    </row>
    <row r="8">
      <c r="A8" s="67"/>
      <c r="B8" s="67"/>
      <c r="C8" s="71" t="s">
        <v>94</v>
      </c>
      <c r="D8" s="72" t="s">
        <v>95</v>
      </c>
      <c r="E8" s="72" t="s">
        <v>94</v>
      </c>
      <c r="F8" s="72" t="s">
        <v>95</v>
      </c>
      <c r="G8" s="72" t="s">
        <v>94</v>
      </c>
      <c r="H8" s="72" t="s">
        <v>95</v>
      </c>
      <c r="I8" s="72" t="s">
        <v>94</v>
      </c>
      <c r="J8" s="72" t="s">
        <v>95</v>
      </c>
      <c r="K8" s="73" t="s">
        <v>94</v>
      </c>
      <c r="L8" s="73" t="s">
        <v>95</v>
      </c>
      <c r="M8" s="73" t="s">
        <v>94</v>
      </c>
      <c r="N8" s="73" t="s">
        <v>95</v>
      </c>
      <c r="O8" s="73" t="s">
        <v>94</v>
      </c>
      <c r="P8" s="73" t="s">
        <v>95</v>
      </c>
      <c r="Q8" s="73" t="s">
        <v>94</v>
      </c>
      <c r="R8" s="73" t="s">
        <v>95</v>
      </c>
      <c r="S8" s="73" t="s">
        <v>94</v>
      </c>
      <c r="T8" s="73" t="s">
        <v>95</v>
      </c>
      <c r="U8" s="73" t="s">
        <v>94</v>
      </c>
      <c r="V8" s="73" t="s">
        <v>95</v>
      </c>
      <c r="W8" s="8"/>
      <c r="X8" s="8"/>
      <c r="Y8" s="8"/>
      <c r="Z8" s="8"/>
      <c r="AA8" s="72" t="s">
        <v>94</v>
      </c>
      <c r="AB8" s="72" t="s">
        <v>95</v>
      </c>
      <c r="AC8" s="72" t="s">
        <v>94</v>
      </c>
      <c r="AD8" s="72" t="s">
        <v>95</v>
      </c>
      <c r="AE8" s="72" t="s">
        <v>94</v>
      </c>
      <c r="AF8" s="72" t="s">
        <v>95</v>
      </c>
      <c r="AG8" s="72" t="s">
        <v>94</v>
      </c>
      <c r="AH8" s="72" t="s">
        <v>95</v>
      </c>
      <c r="AI8" s="72" t="s">
        <v>94</v>
      </c>
      <c r="AJ8" s="72" t="s">
        <v>95</v>
      </c>
      <c r="AK8" s="8"/>
      <c r="AL8" s="2"/>
    </row>
    <row r="9">
      <c r="A9" s="74">
        <v>1.0</v>
      </c>
      <c r="B9" s="75">
        <v>2.0</v>
      </c>
      <c r="C9" s="75">
        <v>3.0</v>
      </c>
      <c r="D9" s="75">
        <v>4.0</v>
      </c>
      <c r="E9" s="75">
        <v>5.0</v>
      </c>
      <c r="F9" s="75">
        <v>6.0</v>
      </c>
      <c r="G9" s="75">
        <v>7.0</v>
      </c>
      <c r="H9" s="75">
        <v>8.0</v>
      </c>
      <c r="I9" s="75">
        <v>9.0</v>
      </c>
      <c r="J9" s="75">
        <v>10.0</v>
      </c>
      <c r="K9" s="76">
        <v>11.0</v>
      </c>
      <c r="L9" s="76">
        <v>12.0</v>
      </c>
      <c r="M9" s="76">
        <v>13.0</v>
      </c>
      <c r="N9" s="76">
        <v>14.0</v>
      </c>
      <c r="O9" s="76">
        <v>15.0</v>
      </c>
      <c r="P9" s="76">
        <v>16.0</v>
      </c>
      <c r="Q9" s="76">
        <v>17.0</v>
      </c>
      <c r="R9" s="76">
        <v>18.0</v>
      </c>
      <c r="S9" s="76">
        <v>19.0</v>
      </c>
      <c r="T9" s="76">
        <v>20.0</v>
      </c>
      <c r="U9" s="76">
        <v>21.0</v>
      </c>
      <c r="V9" s="76">
        <v>22.0</v>
      </c>
      <c r="W9" s="76">
        <v>23.0</v>
      </c>
      <c r="X9" s="76">
        <v>24.0</v>
      </c>
      <c r="Y9" s="76">
        <v>25.0</v>
      </c>
      <c r="Z9" s="76">
        <v>26.0</v>
      </c>
      <c r="AA9" s="76">
        <v>27.0</v>
      </c>
      <c r="AB9" s="76">
        <v>28.0</v>
      </c>
      <c r="AC9" s="76">
        <v>29.0</v>
      </c>
      <c r="AD9" s="76">
        <v>30.0</v>
      </c>
      <c r="AE9" s="76">
        <v>31.0</v>
      </c>
      <c r="AF9" s="76">
        <v>32.0</v>
      </c>
      <c r="AG9" s="76">
        <v>33.0</v>
      </c>
      <c r="AH9" s="76">
        <v>34.0</v>
      </c>
      <c r="AI9" s="76">
        <v>35.0</v>
      </c>
      <c r="AJ9" s="76">
        <v>36.0</v>
      </c>
      <c r="AK9" s="76">
        <v>37.0</v>
      </c>
      <c r="AL9" s="2"/>
    </row>
    <row r="10">
      <c r="A10" s="77">
        <v>1.0</v>
      </c>
      <c r="B10" s="78" t="s">
        <v>96</v>
      </c>
      <c r="C10" s="79"/>
      <c r="D10" s="79"/>
      <c r="E10" s="79">
        <v>24.0</v>
      </c>
      <c r="F10" s="79">
        <v>19.0</v>
      </c>
      <c r="G10" s="79"/>
      <c r="H10" s="79"/>
      <c r="I10" s="80">
        <v>77.0</v>
      </c>
      <c r="J10" s="80">
        <v>90.0</v>
      </c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80"/>
      <c r="X10" s="80"/>
      <c r="Y10" s="80">
        <v>30.0</v>
      </c>
      <c r="Z10" s="80"/>
      <c r="AA10" s="79"/>
      <c r="AB10" s="80">
        <v>10.0</v>
      </c>
      <c r="AC10" s="79"/>
      <c r="AD10" s="79">
        <v>0.0</v>
      </c>
      <c r="AE10" s="79"/>
      <c r="AF10" s="80">
        <v>1.0</v>
      </c>
      <c r="AG10" s="80"/>
      <c r="AH10" s="79"/>
      <c r="AI10" s="79">
        <v>0.0</v>
      </c>
      <c r="AJ10" s="79">
        <v>0.0</v>
      </c>
      <c r="AK10" s="23"/>
      <c r="AL10" s="2"/>
    </row>
    <row r="11">
      <c r="A11" s="77">
        <v>2.0</v>
      </c>
      <c r="B11" s="78" t="s">
        <v>97</v>
      </c>
      <c r="C11" s="79"/>
      <c r="D11" s="79"/>
      <c r="E11" s="79">
        <v>24.0</v>
      </c>
      <c r="F11" s="79">
        <v>19.0</v>
      </c>
      <c r="G11" s="79"/>
      <c r="H11" s="79"/>
      <c r="I11" s="80">
        <v>77.0</v>
      </c>
      <c r="J11" s="80">
        <v>90.0</v>
      </c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80"/>
      <c r="X11" s="80"/>
      <c r="Y11" s="80"/>
      <c r="Z11" s="80"/>
      <c r="AA11" s="79"/>
      <c r="AB11" s="80"/>
      <c r="AC11" s="79"/>
      <c r="AD11" s="79"/>
      <c r="AE11" s="79"/>
      <c r="AF11" s="80"/>
      <c r="AG11" s="80"/>
      <c r="AH11" s="79"/>
      <c r="AI11" s="79"/>
      <c r="AJ11" s="79"/>
      <c r="AK11" s="23"/>
      <c r="AL11" s="2"/>
    </row>
    <row r="12">
      <c r="A12" s="77">
        <v>3.0</v>
      </c>
      <c r="B12" s="78" t="s">
        <v>98</v>
      </c>
      <c r="C12" s="79"/>
      <c r="D12" s="79"/>
      <c r="E12" s="79">
        <v>24.0</v>
      </c>
      <c r="F12" s="79">
        <v>19.0</v>
      </c>
      <c r="G12" s="79"/>
      <c r="H12" s="79"/>
      <c r="I12" s="80">
        <v>77.0</v>
      </c>
      <c r="J12" s="80">
        <v>90.0</v>
      </c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80"/>
      <c r="X12" s="80"/>
      <c r="Y12" s="80"/>
      <c r="Z12" s="80"/>
      <c r="AA12" s="79"/>
      <c r="AB12" s="80"/>
      <c r="AC12" s="79"/>
      <c r="AD12" s="79"/>
      <c r="AE12" s="79"/>
      <c r="AF12" s="80"/>
      <c r="AG12" s="79"/>
      <c r="AH12" s="79"/>
      <c r="AI12" s="79"/>
      <c r="AJ12" s="79"/>
      <c r="AK12" s="72"/>
      <c r="AL12" s="2"/>
    </row>
    <row r="13">
      <c r="A13" s="77">
        <v>4.0</v>
      </c>
      <c r="B13" s="78" t="s">
        <v>99</v>
      </c>
      <c r="C13" s="79"/>
      <c r="D13" s="79"/>
      <c r="E13" s="79">
        <v>24.0</v>
      </c>
      <c r="F13" s="79">
        <v>19.0</v>
      </c>
      <c r="G13" s="79"/>
      <c r="H13" s="79"/>
      <c r="I13" s="80">
        <v>77.0</v>
      </c>
      <c r="J13" s="80">
        <v>90.0</v>
      </c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80"/>
      <c r="X13" s="80"/>
      <c r="Y13" s="80"/>
      <c r="Z13" s="80"/>
      <c r="AA13" s="79"/>
      <c r="AB13" s="80"/>
      <c r="AC13" s="79"/>
      <c r="AD13" s="79"/>
      <c r="AE13" s="79"/>
      <c r="AF13" s="80"/>
      <c r="AG13" s="79"/>
      <c r="AH13" s="79"/>
      <c r="AI13" s="79"/>
      <c r="AJ13" s="79"/>
      <c r="AK13" s="72"/>
      <c r="AL13" s="2"/>
    </row>
    <row r="14">
      <c r="A14" s="77">
        <v>5.0</v>
      </c>
      <c r="B14" s="78" t="s">
        <v>100</v>
      </c>
      <c r="C14" s="79"/>
      <c r="D14" s="79"/>
      <c r="E14" s="79">
        <v>24.0</v>
      </c>
      <c r="F14" s="79">
        <v>19.0</v>
      </c>
      <c r="G14" s="79"/>
      <c r="H14" s="79"/>
      <c r="I14" s="80">
        <v>77.0</v>
      </c>
      <c r="J14" s="80">
        <v>90.0</v>
      </c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80"/>
      <c r="X14" s="80"/>
      <c r="Y14" s="80"/>
      <c r="Z14" s="80"/>
      <c r="AA14" s="79"/>
      <c r="AB14" s="80"/>
      <c r="AC14" s="79"/>
      <c r="AD14" s="79"/>
      <c r="AE14" s="79"/>
      <c r="AF14" s="80"/>
      <c r="AG14" s="79"/>
      <c r="AH14" s="80"/>
      <c r="AI14" s="79"/>
      <c r="AJ14" s="79"/>
      <c r="AK14" s="72"/>
      <c r="AL14" s="2"/>
    </row>
    <row r="15">
      <c r="A15" s="77">
        <v>6.0</v>
      </c>
      <c r="B15" s="78" t="s">
        <v>101</v>
      </c>
      <c r="C15" s="79"/>
      <c r="D15" s="80"/>
      <c r="E15" s="80"/>
      <c r="F15" s="80"/>
      <c r="G15" s="79"/>
      <c r="H15" s="79"/>
      <c r="I15" s="80"/>
      <c r="J15" s="80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80"/>
      <c r="X15" s="80"/>
      <c r="Y15" s="80"/>
      <c r="Z15" s="80"/>
      <c r="AA15" s="79"/>
      <c r="AB15" s="80"/>
      <c r="AC15" s="79"/>
      <c r="AD15" s="79"/>
      <c r="AE15" s="79"/>
      <c r="AF15" s="80"/>
      <c r="AG15" s="79"/>
      <c r="AH15" s="80"/>
      <c r="AI15" s="79"/>
      <c r="AJ15" s="79"/>
      <c r="AK15" s="23"/>
      <c r="AL15" s="2"/>
    </row>
    <row r="16">
      <c r="A16" s="77">
        <v>7.0</v>
      </c>
      <c r="B16" s="78" t="s">
        <v>102</v>
      </c>
      <c r="C16" s="79"/>
      <c r="D16" s="80"/>
      <c r="E16" s="80"/>
      <c r="F16" s="80"/>
      <c r="G16" s="79"/>
      <c r="H16" s="79"/>
      <c r="I16" s="80"/>
      <c r="J16" s="80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80"/>
      <c r="X16" s="80"/>
      <c r="Y16" s="80"/>
      <c r="Z16" s="80"/>
      <c r="AA16" s="79"/>
      <c r="AB16" s="80"/>
      <c r="AC16" s="79"/>
      <c r="AD16" s="79"/>
      <c r="AE16" s="79"/>
      <c r="AF16" s="79"/>
      <c r="AG16" s="79"/>
      <c r="AH16" s="79"/>
      <c r="AI16" s="79"/>
      <c r="AJ16" s="79"/>
      <c r="AK16" s="72"/>
      <c r="AL16" s="2"/>
    </row>
    <row r="17">
      <c r="A17" s="77">
        <v>8.0</v>
      </c>
      <c r="B17" s="78" t="s">
        <v>103</v>
      </c>
      <c r="C17" s="79"/>
      <c r="D17" s="79"/>
      <c r="E17" s="40"/>
      <c r="F17" s="40"/>
      <c r="G17" s="79"/>
      <c r="H17" s="79"/>
      <c r="I17" s="40"/>
      <c r="J17" s="40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0"/>
      <c r="X17" s="40"/>
      <c r="Y17" s="40"/>
      <c r="Z17" s="40"/>
      <c r="AA17" s="79"/>
      <c r="AB17" s="40"/>
      <c r="AC17" s="79"/>
      <c r="AD17" s="79"/>
      <c r="AE17" s="79"/>
      <c r="AF17" s="79"/>
      <c r="AG17" s="79"/>
      <c r="AH17" s="79"/>
      <c r="AI17" s="79"/>
      <c r="AJ17" s="79"/>
      <c r="AK17" s="23"/>
      <c r="AL17" s="2"/>
    </row>
    <row r="18">
      <c r="A18" s="77">
        <v>9.0</v>
      </c>
      <c r="B18" s="78" t="s">
        <v>104</v>
      </c>
      <c r="C18" s="79"/>
      <c r="D18" s="79"/>
      <c r="E18" s="80"/>
      <c r="F18" s="80"/>
      <c r="G18" s="79"/>
      <c r="H18" s="79"/>
      <c r="I18" s="80"/>
      <c r="J18" s="80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80"/>
      <c r="X18" s="80"/>
      <c r="Y18" s="80"/>
      <c r="Z18" s="80"/>
      <c r="AA18" s="79"/>
      <c r="AB18" s="80"/>
      <c r="AC18" s="79"/>
      <c r="AD18" s="79"/>
      <c r="AE18" s="79"/>
      <c r="AF18" s="79"/>
      <c r="AG18" s="79"/>
      <c r="AH18" s="79"/>
      <c r="AI18" s="79"/>
      <c r="AJ18" s="79"/>
      <c r="AK18" s="23"/>
      <c r="AL18" s="2"/>
    </row>
    <row r="19">
      <c r="A19" s="77">
        <v>10.0</v>
      </c>
      <c r="B19" s="78" t="s">
        <v>105</v>
      </c>
      <c r="C19" s="81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"/>
    </row>
    <row r="20">
      <c r="A20" s="77">
        <v>11.0</v>
      </c>
      <c r="B20" s="78" t="s">
        <v>106</v>
      </c>
      <c r="C20" s="81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"/>
    </row>
    <row r="21">
      <c r="A21" s="77">
        <v>12.0</v>
      </c>
      <c r="B21" s="78" t="s">
        <v>107</v>
      </c>
      <c r="C21" s="81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"/>
    </row>
    <row r="22">
      <c r="A22" s="8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3" t="s">
        <v>108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4" t="s">
        <v>109</v>
      </c>
      <c r="B25" s="8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4" t="s">
        <v>110</v>
      </c>
      <c r="B26" s="85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4"/>
      <c r="B27" s="8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6" t="s">
        <v>111</v>
      </c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8" t="s">
        <v>33</v>
      </c>
      <c r="B29" s="89" t="s">
        <v>112</v>
      </c>
      <c r="C29" s="61"/>
      <c r="D29" s="61"/>
      <c r="E29" s="55" t="s">
        <v>113</v>
      </c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7"/>
      <c r="Q29" s="90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8"/>
      <c r="B30" s="91" t="s">
        <v>114</v>
      </c>
      <c r="C30" s="91" t="s">
        <v>115</v>
      </c>
      <c r="D30" s="91" t="s">
        <v>116</v>
      </c>
      <c r="E30" s="91" t="s">
        <v>117</v>
      </c>
      <c r="F30" s="91" t="s">
        <v>118</v>
      </c>
      <c r="G30" s="91" t="s">
        <v>119</v>
      </c>
      <c r="H30" s="91" t="s">
        <v>120</v>
      </c>
      <c r="I30" s="91" t="s">
        <v>100</v>
      </c>
      <c r="J30" s="91" t="s">
        <v>121</v>
      </c>
      <c r="K30" s="91" t="s">
        <v>122</v>
      </c>
      <c r="L30" s="91" t="s">
        <v>123</v>
      </c>
      <c r="M30" s="91" t="s">
        <v>124</v>
      </c>
      <c r="N30" s="91" t="s">
        <v>125</v>
      </c>
      <c r="O30" s="91" t="s">
        <v>126</v>
      </c>
      <c r="P30" s="91" t="s">
        <v>127</v>
      </c>
      <c r="Q30" s="90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2">
        <v>1.0</v>
      </c>
      <c r="B31" s="92">
        <v>2.0</v>
      </c>
      <c r="C31" s="92">
        <v>3.0</v>
      </c>
      <c r="D31" s="92">
        <v>4.0</v>
      </c>
      <c r="E31" s="92">
        <v>5.0</v>
      </c>
      <c r="F31" s="92">
        <v>6.0</v>
      </c>
      <c r="G31" s="92">
        <v>7.0</v>
      </c>
      <c r="H31" s="92">
        <v>8.0</v>
      </c>
      <c r="I31" s="92">
        <v>9.0</v>
      </c>
      <c r="J31" s="92">
        <v>10.0</v>
      </c>
      <c r="K31" s="92">
        <v>11.0</v>
      </c>
      <c r="L31" s="92">
        <v>12.0</v>
      </c>
      <c r="M31" s="92">
        <v>13.0</v>
      </c>
      <c r="N31" s="92">
        <v>14.0</v>
      </c>
      <c r="O31" s="92">
        <v>15.0</v>
      </c>
      <c r="P31" s="92">
        <v>16.0</v>
      </c>
      <c r="Q31" s="93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1">
        <v>1.0</v>
      </c>
      <c r="B32" s="94" t="s">
        <v>128</v>
      </c>
      <c r="C32" s="94" t="s">
        <v>129</v>
      </c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6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1">
        <v>2.0</v>
      </c>
      <c r="B33" s="94" t="s">
        <v>130</v>
      </c>
      <c r="C33" s="94" t="s">
        <v>131</v>
      </c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6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1">
        <v>3.0</v>
      </c>
      <c r="B34" s="94" t="s">
        <v>132</v>
      </c>
      <c r="C34" s="94" t="s">
        <v>133</v>
      </c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6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1">
        <v>4.0</v>
      </c>
      <c r="B35" s="94" t="s">
        <v>134</v>
      </c>
      <c r="C35" s="94" t="s">
        <v>135</v>
      </c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6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1">
        <v>5.0</v>
      </c>
      <c r="B36" s="94" t="s">
        <v>136</v>
      </c>
      <c r="C36" s="94" t="s">
        <v>137</v>
      </c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6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1">
        <v>6.0</v>
      </c>
      <c r="B37" s="94" t="s">
        <v>138</v>
      </c>
      <c r="C37" s="94" t="s">
        <v>139</v>
      </c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6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1">
        <v>7.0</v>
      </c>
      <c r="B38" s="94" t="s">
        <v>140</v>
      </c>
      <c r="C38" s="94" t="s">
        <v>141</v>
      </c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6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1">
        <v>8.0</v>
      </c>
      <c r="B39" s="94" t="s">
        <v>142</v>
      </c>
      <c r="C39" s="94" t="s">
        <v>143</v>
      </c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6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1">
        <v>9.0</v>
      </c>
      <c r="B40" s="97" t="s">
        <v>144</v>
      </c>
      <c r="C40" s="94" t="s">
        <v>145</v>
      </c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6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1">
        <v>10.0</v>
      </c>
      <c r="B41" s="94" t="s">
        <v>146</v>
      </c>
      <c r="C41" s="94" t="s">
        <v>147</v>
      </c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6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1">
        <v>11.0</v>
      </c>
      <c r="B42" s="94" t="s">
        <v>148</v>
      </c>
      <c r="C42" s="94" t="s">
        <v>149</v>
      </c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6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1">
        <v>12.0</v>
      </c>
      <c r="B43" s="94" t="s">
        <v>150</v>
      </c>
      <c r="C43" s="94" t="s">
        <v>151</v>
      </c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6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91">
        <v>13.0</v>
      </c>
      <c r="B44" s="94" t="s">
        <v>152</v>
      </c>
      <c r="C44" s="98" t="s">
        <v>153</v>
      </c>
      <c r="D44" s="94" t="s">
        <v>154</v>
      </c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91">
        <v>14.0</v>
      </c>
      <c r="B45" s="94" t="s">
        <v>155</v>
      </c>
      <c r="C45" s="98" t="s">
        <v>156</v>
      </c>
      <c r="D45" s="94" t="s">
        <v>154</v>
      </c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1">
        <v>15.0</v>
      </c>
      <c r="B46" s="94" t="s">
        <v>157</v>
      </c>
      <c r="C46" s="98" t="s">
        <v>158</v>
      </c>
      <c r="D46" s="94" t="s">
        <v>154</v>
      </c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1">
        <v>16.0</v>
      </c>
      <c r="B47" s="94" t="s">
        <v>159</v>
      </c>
      <c r="C47" s="98" t="s">
        <v>160</v>
      </c>
      <c r="D47" s="94" t="s">
        <v>154</v>
      </c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91">
        <v>17.0</v>
      </c>
      <c r="B48" s="94" t="s">
        <v>161</v>
      </c>
      <c r="C48" s="98" t="s">
        <v>162</v>
      </c>
      <c r="D48" s="94" t="s">
        <v>163</v>
      </c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1">
        <v>18.0</v>
      </c>
      <c r="B49" s="94" t="s">
        <v>164</v>
      </c>
      <c r="C49" s="98" t="s">
        <v>165</v>
      </c>
      <c r="D49" s="94" t="s">
        <v>154</v>
      </c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1">
        <v>19.0</v>
      </c>
      <c r="B50" s="94" t="s">
        <v>166</v>
      </c>
      <c r="C50" s="98" t="s">
        <v>167</v>
      </c>
      <c r="D50" s="94" t="s">
        <v>154</v>
      </c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1">
        <v>20.0</v>
      </c>
      <c r="B51" s="94" t="s">
        <v>168</v>
      </c>
      <c r="C51" s="98" t="s">
        <v>169</v>
      </c>
      <c r="D51" s="94" t="s">
        <v>170</v>
      </c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1">
        <v>21.0</v>
      </c>
      <c r="B52" s="94" t="s">
        <v>171</v>
      </c>
      <c r="C52" s="98" t="s">
        <v>172</v>
      </c>
      <c r="D52" s="94" t="s">
        <v>154</v>
      </c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1">
        <v>22.0</v>
      </c>
      <c r="B53" s="94" t="s">
        <v>173</v>
      </c>
      <c r="C53" s="98" t="s">
        <v>174</v>
      </c>
      <c r="D53" s="94" t="s">
        <v>163</v>
      </c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1">
        <v>23.0</v>
      </c>
      <c r="B54" s="94" t="s">
        <v>175</v>
      </c>
      <c r="C54" s="98" t="s">
        <v>176</v>
      </c>
      <c r="D54" s="94" t="s">
        <v>170</v>
      </c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1">
        <v>24.0</v>
      </c>
      <c r="B55" s="94" t="s">
        <v>177</v>
      </c>
      <c r="C55" s="98" t="s">
        <v>178</v>
      </c>
      <c r="D55" s="94" t="s">
        <v>163</v>
      </c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1">
        <v>25.0</v>
      </c>
      <c r="B56" s="94" t="s">
        <v>179</v>
      </c>
      <c r="C56" s="98" t="s">
        <v>180</v>
      </c>
      <c r="D56" s="94" t="s">
        <v>163</v>
      </c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1">
        <v>26.0</v>
      </c>
      <c r="B57" s="94" t="s">
        <v>181</v>
      </c>
      <c r="C57" s="98" t="s">
        <v>182</v>
      </c>
      <c r="D57" s="94" t="s">
        <v>163</v>
      </c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91">
        <v>27.0</v>
      </c>
      <c r="B58" s="97" t="s">
        <v>183</v>
      </c>
      <c r="C58" s="98" t="s">
        <v>184</v>
      </c>
      <c r="D58" s="94" t="s">
        <v>163</v>
      </c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91">
        <v>28.0</v>
      </c>
      <c r="B59" s="99" t="s">
        <v>185</v>
      </c>
      <c r="C59" s="95"/>
      <c r="D59" s="98" t="s">
        <v>186</v>
      </c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91">
        <v>29.0</v>
      </c>
      <c r="B60" s="99" t="s">
        <v>187</v>
      </c>
      <c r="C60" s="98" t="s">
        <v>188</v>
      </c>
      <c r="D60" s="98" t="s">
        <v>186</v>
      </c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1">
        <v>30.0</v>
      </c>
      <c r="B61" s="99" t="s">
        <v>189</v>
      </c>
      <c r="C61" s="98" t="s">
        <v>190</v>
      </c>
      <c r="D61" s="98" t="s">
        <v>186</v>
      </c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1">
        <v>31.0</v>
      </c>
      <c r="B62" s="99" t="s">
        <v>191</v>
      </c>
      <c r="C62" s="95"/>
      <c r="D62" s="98" t="s">
        <v>186</v>
      </c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1">
        <v>32.0</v>
      </c>
      <c r="B63" s="99" t="s">
        <v>192</v>
      </c>
      <c r="C63" s="98" t="s">
        <v>193</v>
      </c>
      <c r="D63" s="98" t="s">
        <v>186</v>
      </c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100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100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86" t="s">
        <v>194</v>
      </c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88" t="s">
        <v>33</v>
      </c>
      <c r="B96" s="101" t="s">
        <v>195</v>
      </c>
      <c r="C96" s="88" t="s">
        <v>196</v>
      </c>
      <c r="D96" s="88" t="s">
        <v>197</v>
      </c>
      <c r="E96" s="55" t="s">
        <v>198</v>
      </c>
      <c r="F96" s="7"/>
      <c r="G96" s="55" t="s">
        <v>199</v>
      </c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7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8"/>
      <c r="B97" s="8"/>
      <c r="C97" s="8"/>
      <c r="D97" s="8"/>
      <c r="E97" s="91" t="s">
        <v>81</v>
      </c>
      <c r="F97" s="91" t="s">
        <v>200</v>
      </c>
      <c r="G97" s="91" t="s">
        <v>117</v>
      </c>
      <c r="H97" s="91" t="s">
        <v>118</v>
      </c>
      <c r="I97" s="91" t="s">
        <v>119</v>
      </c>
      <c r="J97" s="91" t="s">
        <v>120</v>
      </c>
      <c r="K97" s="91" t="s">
        <v>100</v>
      </c>
      <c r="L97" s="91" t="s">
        <v>121</v>
      </c>
      <c r="M97" s="91" t="s">
        <v>122</v>
      </c>
      <c r="N97" s="91" t="s">
        <v>123</v>
      </c>
      <c r="O97" s="91" t="s">
        <v>124</v>
      </c>
      <c r="P97" s="91" t="s">
        <v>125</v>
      </c>
      <c r="Q97" s="91" t="s">
        <v>126</v>
      </c>
      <c r="R97" s="98" t="s">
        <v>127</v>
      </c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92">
        <v>1.0</v>
      </c>
      <c r="B98" s="92">
        <v>2.0</v>
      </c>
      <c r="C98" s="92">
        <v>3.0</v>
      </c>
      <c r="D98" s="92">
        <v>4.0</v>
      </c>
      <c r="E98" s="92">
        <v>5.0</v>
      </c>
      <c r="F98" s="92">
        <v>6.0</v>
      </c>
      <c r="G98" s="92">
        <v>7.0</v>
      </c>
      <c r="H98" s="92">
        <v>8.0</v>
      </c>
      <c r="I98" s="92">
        <v>9.0</v>
      </c>
      <c r="J98" s="92">
        <v>10.0</v>
      </c>
      <c r="K98" s="92">
        <v>11.0</v>
      </c>
      <c r="L98" s="92">
        <v>12.0</v>
      </c>
      <c r="M98" s="92">
        <v>13.0</v>
      </c>
      <c r="N98" s="92">
        <v>14.0</v>
      </c>
      <c r="O98" s="92">
        <v>15.0</v>
      </c>
      <c r="P98" s="92">
        <v>16.0</v>
      </c>
      <c r="Q98" s="92">
        <v>17.0</v>
      </c>
      <c r="R98" s="92">
        <v>18.0</v>
      </c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98">
        <v>1.0</v>
      </c>
      <c r="B99" s="102" t="s">
        <v>201</v>
      </c>
      <c r="C99" s="102" t="s">
        <v>95</v>
      </c>
      <c r="D99" s="103">
        <v>44314.0</v>
      </c>
      <c r="E99" s="102" t="s">
        <v>202</v>
      </c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98">
        <v>2.0</v>
      </c>
      <c r="B100" s="102" t="s">
        <v>203</v>
      </c>
      <c r="C100" s="102" t="s">
        <v>94</v>
      </c>
      <c r="D100" s="103">
        <v>44523.0</v>
      </c>
      <c r="E100" s="102" t="s">
        <v>204</v>
      </c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98">
        <v>3.0</v>
      </c>
      <c r="B101" s="102" t="s">
        <v>205</v>
      </c>
      <c r="C101" s="102" t="s">
        <v>95</v>
      </c>
      <c r="D101" s="103">
        <v>44539.0</v>
      </c>
      <c r="E101" s="102" t="s">
        <v>206</v>
      </c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98">
        <v>4.0</v>
      </c>
      <c r="B102" s="102" t="s">
        <v>207</v>
      </c>
      <c r="C102" s="102" t="s">
        <v>95</v>
      </c>
      <c r="D102" s="103">
        <v>44547.0</v>
      </c>
      <c r="E102" s="102" t="s">
        <v>208</v>
      </c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98">
        <v>5.0</v>
      </c>
      <c r="B103" s="102" t="s">
        <v>209</v>
      </c>
      <c r="C103" s="102" t="s">
        <v>95</v>
      </c>
      <c r="D103" s="103">
        <v>44592.0</v>
      </c>
      <c r="E103" s="102" t="s">
        <v>210</v>
      </c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98">
        <v>6.0</v>
      </c>
      <c r="B104" s="102" t="s">
        <v>211</v>
      </c>
      <c r="C104" s="102" t="s">
        <v>94</v>
      </c>
      <c r="D104" s="103">
        <v>44617.0</v>
      </c>
      <c r="E104" s="102" t="s">
        <v>212</v>
      </c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98">
        <v>7.0</v>
      </c>
      <c r="B105" s="102" t="s">
        <v>213</v>
      </c>
      <c r="C105" s="102" t="s">
        <v>94</v>
      </c>
      <c r="D105" s="103">
        <v>44677.0</v>
      </c>
      <c r="E105" s="102" t="s">
        <v>214</v>
      </c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98">
        <v>8.0</v>
      </c>
      <c r="B106" s="102" t="s">
        <v>215</v>
      </c>
      <c r="C106" s="102" t="s">
        <v>94</v>
      </c>
      <c r="D106" s="103">
        <v>44709.0</v>
      </c>
      <c r="E106" s="102" t="s">
        <v>216</v>
      </c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98">
        <v>9.0</v>
      </c>
      <c r="B107" s="102" t="s">
        <v>217</v>
      </c>
      <c r="C107" s="102" t="s">
        <v>94</v>
      </c>
      <c r="D107" s="103">
        <v>44711.0</v>
      </c>
      <c r="E107" s="102" t="s">
        <v>218</v>
      </c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98">
        <v>10.0</v>
      </c>
      <c r="B108" s="102" t="s">
        <v>219</v>
      </c>
      <c r="C108" s="102" t="s">
        <v>94</v>
      </c>
      <c r="D108" s="103">
        <v>44721.0</v>
      </c>
      <c r="E108" s="102" t="s">
        <v>220</v>
      </c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98">
        <v>11.0</v>
      </c>
      <c r="B109" s="102" t="s">
        <v>221</v>
      </c>
      <c r="C109" s="102" t="s">
        <v>95</v>
      </c>
      <c r="D109" s="103">
        <v>44795.0</v>
      </c>
      <c r="E109" s="102" t="s">
        <v>222</v>
      </c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98">
        <v>12.0</v>
      </c>
      <c r="B110" s="102" t="s">
        <v>223</v>
      </c>
      <c r="C110" s="102" t="s">
        <v>94</v>
      </c>
      <c r="D110" s="103">
        <v>44799.0</v>
      </c>
      <c r="E110" s="102" t="s">
        <v>224</v>
      </c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98">
        <v>13.0</v>
      </c>
      <c r="B111" s="102" t="s">
        <v>225</v>
      </c>
      <c r="C111" s="102" t="s">
        <v>95</v>
      </c>
      <c r="D111" s="103">
        <v>44813.0</v>
      </c>
      <c r="E111" s="102" t="s">
        <v>226</v>
      </c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98">
        <v>14.0</v>
      </c>
      <c r="B112" s="102" t="s">
        <v>227</v>
      </c>
      <c r="C112" s="102" t="s">
        <v>95</v>
      </c>
      <c r="D112" s="103">
        <v>44843.0</v>
      </c>
      <c r="E112" s="102" t="s">
        <v>228</v>
      </c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98">
        <v>15.0</v>
      </c>
      <c r="B113" s="102" t="s">
        <v>229</v>
      </c>
      <c r="C113" s="102" t="s">
        <v>95</v>
      </c>
      <c r="D113" s="103">
        <v>44911.0</v>
      </c>
      <c r="E113" s="102" t="s">
        <v>230</v>
      </c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98">
        <v>16.0</v>
      </c>
      <c r="B114" s="102" t="s">
        <v>231</v>
      </c>
      <c r="C114" s="102" t="s">
        <v>95</v>
      </c>
      <c r="D114" s="103">
        <v>45003.0</v>
      </c>
      <c r="E114" s="102" t="s">
        <v>232</v>
      </c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98">
        <v>17.0</v>
      </c>
      <c r="B115" s="102" t="s">
        <v>233</v>
      </c>
      <c r="C115" s="102" t="s">
        <v>95</v>
      </c>
      <c r="D115" s="103">
        <v>45008.0</v>
      </c>
      <c r="E115" s="102" t="s">
        <v>234</v>
      </c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98">
        <v>18.0</v>
      </c>
      <c r="B116" s="102" t="s">
        <v>235</v>
      </c>
      <c r="C116" s="102" t="s">
        <v>94</v>
      </c>
      <c r="D116" s="103">
        <v>45049.0</v>
      </c>
      <c r="E116" s="102" t="s">
        <v>236</v>
      </c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98">
        <v>19.0</v>
      </c>
      <c r="B117" s="102" t="s">
        <v>237</v>
      </c>
      <c r="C117" s="102" t="s">
        <v>94</v>
      </c>
      <c r="D117" s="103">
        <v>45052.0</v>
      </c>
      <c r="E117" s="102" t="s">
        <v>238</v>
      </c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98">
        <v>20.0</v>
      </c>
      <c r="B118" s="102" t="s">
        <v>239</v>
      </c>
      <c r="C118" s="102" t="s">
        <v>94</v>
      </c>
      <c r="D118" s="103">
        <v>45057.0</v>
      </c>
      <c r="E118" s="102" t="s">
        <v>240</v>
      </c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98">
        <v>21.0</v>
      </c>
      <c r="B119" s="102" t="s">
        <v>241</v>
      </c>
      <c r="C119" s="102" t="s">
        <v>95</v>
      </c>
      <c r="D119" s="103">
        <v>45082.0</v>
      </c>
      <c r="E119" s="102" t="s">
        <v>242</v>
      </c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98">
        <v>22.0</v>
      </c>
      <c r="B120" s="102" t="s">
        <v>243</v>
      </c>
      <c r="C120" s="102" t="s">
        <v>95</v>
      </c>
      <c r="D120" s="103">
        <v>45222.0</v>
      </c>
      <c r="E120" s="102" t="s">
        <v>244</v>
      </c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98">
        <v>23.0</v>
      </c>
      <c r="B121" s="102" t="s">
        <v>245</v>
      </c>
      <c r="C121" s="102" t="s">
        <v>94</v>
      </c>
      <c r="D121" s="103">
        <v>45400.0</v>
      </c>
      <c r="E121" s="102" t="s">
        <v>246</v>
      </c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98">
        <v>24.0</v>
      </c>
      <c r="B122" s="102" t="s">
        <v>247</v>
      </c>
      <c r="C122" s="102" t="s">
        <v>95</v>
      </c>
      <c r="D122" s="103">
        <v>45429.0</v>
      </c>
      <c r="E122" s="102" t="s">
        <v>248</v>
      </c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98">
        <v>25.0</v>
      </c>
      <c r="B123" s="102" t="s">
        <v>249</v>
      </c>
      <c r="C123" s="102" t="s">
        <v>94</v>
      </c>
      <c r="D123" s="103">
        <v>45456.0</v>
      </c>
      <c r="E123" s="102" t="s">
        <v>250</v>
      </c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98">
        <v>26.0</v>
      </c>
      <c r="B124" s="102" t="s">
        <v>251</v>
      </c>
      <c r="C124" s="102" t="s">
        <v>94</v>
      </c>
      <c r="D124" s="103">
        <v>45492.0</v>
      </c>
      <c r="E124" s="102" t="s">
        <v>252</v>
      </c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98">
        <v>27.0</v>
      </c>
      <c r="B125" s="102" t="s">
        <v>253</v>
      </c>
      <c r="C125" s="102" t="s">
        <v>94</v>
      </c>
      <c r="D125" s="103">
        <v>45527.0</v>
      </c>
      <c r="E125" s="102" t="s">
        <v>254</v>
      </c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98">
        <v>28.0</v>
      </c>
      <c r="B126" s="102" t="s">
        <v>255</v>
      </c>
      <c r="C126" s="102" t="s">
        <v>95</v>
      </c>
      <c r="D126" s="103">
        <v>45556.0</v>
      </c>
      <c r="E126" s="102" t="s">
        <v>256</v>
      </c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98">
        <v>29.0</v>
      </c>
      <c r="B127" s="104" t="s">
        <v>257</v>
      </c>
      <c r="C127" s="104" t="s">
        <v>94</v>
      </c>
      <c r="D127" s="105" t="s">
        <v>258</v>
      </c>
      <c r="E127" s="104" t="s">
        <v>259</v>
      </c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98">
        <v>30.0</v>
      </c>
      <c r="B128" s="104" t="s">
        <v>260</v>
      </c>
      <c r="C128" s="104" t="s">
        <v>95</v>
      </c>
      <c r="D128" s="105" t="s">
        <v>261</v>
      </c>
      <c r="E128" s="104" t="s">
        <v>262</v>
      </c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98">
        <v>31.0</v>
      </c>
      <c r="B129" s="104" t="s">
        <v>263</v>
      </c>
      <c r="C129" s="104" t="s">
        <v>94</v>
      </c>
      <c r="D129" s="105" t="s">
        <v>264</v>
      </c>
      <c r="E129" s="104" t="s">
        <v>265</v>
      </c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98">
        <v>32.0</v>
      </c>
      <c r="B130" s="104" t="s">
        <v>266</v>
      </c>
      <c r="C130" s="104" t="s">
        <v>94</v>
      </c>
      <c r="D130" s="105" t="s">
        <v>267</v>
      </c>
      <c r="E130" s="104" t="s">
        <v>268</v>
      </c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98">
        <v>33.0</v>
      </c>
      <c r="B131" s="104" t="s">
        <v>269</v>
      </c>
      <c r="C131" s="104" t="s">
        <v>94</v>
      </c>
      <c r="D131" s="105" t="s">
        <v>270</v>
      </c>
      <c r="E131" s="104" t="s">
        <v>271</v>
      </c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98">
        <v>34.0</v>
      </c>
      <c r="B132" s="104" t="s">
        <v>272</v>
      </c>
      <c r="C132" s="104" t="s">
        <v>94</v>
      </c>
      <c r="D132" s="105" t="s">
        <v>273</v>
      </c>
      <c r="E132" s="104" t="s">
        <v>274</v>
      </c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98">
        <v>35.0</v>
      </c>
      <c r="B133" s="104" t="s">
        <v>275</v>
      </c>
      <c r="C133" s="104" t="s">
        <v>94</v>
      </c>
      <c r="D133" s="105" t="s">
        <v>276</v>
      </c>
      <c r="E133" s="104" t="s">
        <v>277</v>
      </c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98">
        <v>36.0</v>
      </c>
      <c r="B134" s="104" t="s">
        <v>278</v>
      </c>
      <c r="C134" s="104" t="s">
        <v>94</v>
      </c>
      <c r="D134" s="105" t="s">
        <v>279</v>
      </c>
      <c r="E134" s="104" t="s">
        <v>280</v>
      </c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98">
        <v>37.0</v>
      </c>
      <c r="B135" s="104" t="s">
        <v>281</v>
      </c>
      <c r="C135" s="104" t="s">
        <v>94</v>
      </c>
      <c r="D135" s="105" t="s">
        <v>279</v>
      </c>
      <c r="E135" s="104" t="s">
        <v>282</v>
      </c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98">
        <v>38.0</v>
      </c>
      <c r="B136" s="104" t="s">
        <v>283</v>
      </c>
      <c r="C136" s="104" t="s">
        <v>94</v>
      </c>
      <c r="D136" s="105" t="s">
        <v>284</v>
      </c>
      <c r="E136" s="104" t="s">
        <v>285</v>
      </c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98">
        <v>39.0</v>
      </c>
      <c r="B137" s="104" t="s">
        <v>286</v>
      </c>
      <c r="C137" s="104" t="s">
        <v>94</v>
      </c>
      <c r="D137" s="105" t="s">
        <v>287</v>
      </c>
      <c r="E137" s="104" t="s">
        <v>288</v>
      </c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98">
        <v>40.0</v>
      </c>
      <c r="B138" s="104" t="s">
        <v>289</v>
      </c>
      <c r="C138" s="104" t="s">
        <v>95</v>
      </c>
      <c r="D138" s="105" t="s">
        <v>290</v>
      </c>
      <c r="E138" s="104" t="s">
        <v>291</v>
      </c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98">
        <v>41.0</v>
      </c>
      <c r="B139" s="104" t="s">
        <v>292</v>
      </c>
      <c r="C139" s="104" t="s">
        <v>94</v>
      </c>
      <c r="D139" s="105" t="s">
        <v>293</v>
      </c>
      <c r="E139" s="104" t="s">
        <v>294</v>
      </c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98">
        <v>42.0</v>
      </c>
      <c r="B140" s="104" t="s">
        <v>295</v>
      </c>
      <c r="C140" s="104" t="s">
        <v>94</v>
      </c>
      <c r="D140" s="105" t="s">
        <v>296</v>
      </c>
      <c r="E140" s="104" t="s">
        <v>297</v>
      </c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98">
        <v>43.0</v>
      </c>
      <c r="B141" s="104" t="s">
        <v>298</v>
      </c>
      <c r="C141" s="104" t="s">
        <v>95</v>
      </c>
      <c r="D141" s="105" t="s">
        <v>299</v>
      </c>
      <c r="E141" s="104" t="s">
        <v>300</v>
      </c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98">
        <v>44.0</v>
      </c>
      <c r="B142" s="104" t="s">
        <v>301</v>
      </c>
      <c r="C142" s="104" t="s">
        <v>94</v>
      </c>
      <c r="D142" s="105" t="s">
        <v>302</v>
      </c>
      <c r="E142" s="104" t="s">
        <v>303</v>
      </c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98">
        <v>45.0</v>
      </c>
      <c r="B143" s="104" t="s">
        <v>304</v>
      </c>
      <c r="C143" s="104" t="s">
        <v>95</v>
      </c>
      <c r="D143" s="105" t="s">
        <v>305</v>
      </c>
      <c r="E143" s="104" t="s">
        <v>306</v>
      </c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98">
        <v>46.0</v>
      </c>
      <c r="B144" s="104" t="s">
        <v>307</v>
      </c>
      <c r="C144" s="104" t="s">
        <v>94</v>
      </c>
      <c r="D144" s="105" t="s">
        <v>308</v>
      </c>
      <c r="E144" s="104" t="s">
        <v>309</v>
      </c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98">
        <v>47.0</v>
      </c>
      <c r="B145" s="104" t="s">
        <v>310</v>
      </c>
      <c r="C145" s="104" t="s">
        <v>95</v>
      </c>
      <c r="D145" s="105" t="s">
        <v>311</v>
      </c>
      <c r="E145" s="104" t="s">
        <v>312</v>
      </c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98">
        <v>48.0</v>
      </c>
      <c r="B146" s="104" t="s">
        <v>313</v>
      </c>
      <c r="C146" s="104" t="s">
        <v>95</v>
      </c>
      <c r="D146" s="105" t="s">
        <v>314</v>
      </c>
      <c r="E146" s="104" t="s">
        <v>315</v>
      </c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98">
        <v>49.0</v>
      </c>
      <c r="B147" s="49" t="s">
        <v>316</v>
      </c>
      <c r="C147" s="106" t="s">
        <v>95</v>
      </c>
      <c r="D147" s="107">
        <v>44229.0</v>
      </c>
      <c r="E147" s="49" t="s">
        <v>317</v>
      </c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98">
        <v>50.0</v>
      </c>
      <c r="B148" s="102" t="s">
        <v>318</v>
      </c>
      <c r="C148" s="48" t="s">
        <v>94</v>
      </c>
      <c r="D148" s="103">
        <v>44263.0</v>
      </c>
      <c r="E148" s="102" t="s">
        <v>319</v>
      </c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98">
        <v>51.0</v>
      </c>
      <c r="B149" s="102" t="s">
        <v>320</v>
      </c>
      <c r="C149" s="48" t="s">
        <v>94</v>
      </c>
      <c r="D149" s="103">
        <v>44273.0</v>
      </c>
      <c r="E149" s="102" t="s">
        <v>321</v>
      </c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98">
        <v>52.0</v>
      </c>
      <c r="B150" s="102" t="s">
        <v>322</v>
      </c>
      <c r="C150" s="48" t="s">
        <v>95</v>
      </c>
      <c r="D150" s="103">
        <v>44280.0</v>
      </c>
      <c r="E150" s="102" t="s">
        <v>323</v>
      </c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98">
        <v>53.0</v>
      </c>
      <c r="B151" s="102" t="s">
        <v>324</v>
      </c>
      <c r="C151" s="48" t="s">
        <v>95</v>
      </c>
      <c r="D151" s="103">
        <v>44366.0</v>
      </c>
      <c r="E151" s="102" t="s">
        <v>325</v>
      </c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98">
        <v>54.0</v>
      </c>
      <c r="B152" s="102" t="s">
        <v>326</v>
      </c>
      <c r="C152" s="48" t="s">
        <v>95</v>
      </c>
      <c r="D152" s="103">
        <v>44414.0</v>
      </c>
      <c r="E152" s="102" t="s">
        <v>327</v>
      </c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98">
        <v>55.0</v>
      </c>
      <c r="B153" s="102" t="s">
        <v>328</v>
      </c>
      <c r="C153" s="48" t="s">
        <v>95</v>
      </c>
      <c r="D153" s="103">
        <v>44465.0</v>
      </c>
      <c r="E153" s="102" t="s">
        <v>329</v>
      </c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98">
        <v>56.0</v>
      </c>
      <c r="B154" s="102" t="s">
        <v>330</v>
      </c>
      <c r="C154" s="48" t="s">
        <v>95</v>
      </c>
      <c r="D154" s="103">
        <v>44490.0</v>
      </c>
      <c r="E154" s="102" t="s">
        <v>331</v>
      </c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98">
        <v>57.0</v>
      </c>
      <c r="B155" s="102" t="s">
        <v>332</v>
      </c>
      <c r="C155" s="48" t="s">
        <v>94</v>
      </c>
      <c r="D155" s="103">
        <v>44493.0</v>
      </c>
      <c r="E155" s="102" t="s">
        <v>333</v>
      </c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98">
        <v>58.0</v>
      </c>
      <c r="B156" s="102" t="s">
        <v>334</v>
      </c>
      <c r="C156" s="48" t="s">
        <v>95</v>
      </c>
      <c r="D156" s="103">
        <v>44504.0</v>
      </c>
      <c r="E156" s="102" t="s">
        <v>335</v>
      </c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98">
        <v>59.0</v>
      </c>
      <c r="B157" s="102" t="s">
        <v>336</v>
      </c>
      <c r="C157" s="48" t="s">
        <v>94</v>
      </c>
      <c r="D157" s="103">
        <v>44525.0</v>
      </c>
      <c r="E157" s="102" t="s">
        <v>337</v>
      </c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98">
        <v>60.0</v>
      </c>
      <c r="B158" s="102" t="s">
        <v>338</v>
      </c>
      <c r="C158" s="48" t="s">
        <v>95</v>
      </c>
      <c r="D158" s="103">
        <v>44533.0</v>
      </c>
      <c r="E158" s="102" t="s">
        <v>339</v>
      </c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98">
        <v>61.0</v>
      </c>
      <c r="B159" s="102" t="s">
        <v>340</v>
      </c>
      <c r="C159" s="48" t="s">
        <v>94</v>
      </c>
      <c r="D159" s="103">
        <v>44631.0</v>
      </c>
      <c r="E159" s="102" t="s">
        <v>341</v>
      </c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98">
        <v>62.0</v>
      </c>
      <c r="B160" s="102" t="s">
        <v>342</v>
      </c>
      <c r="C160" s="48" t="s">
        <v>95</v>
      </c>
      <c r="D160" s="103">
        <v>44639.0</v>
      </c>
      <c r="E160" s="102" t="s">
        <v>343</v>
      </c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98">
        <v>63.0</v>
      </c>
      <c r="B161" s="102" t="s">
        <v>344</v>
      </c>
      <c r="C161" s="48" t="s">
        <v>94</v>
      </c>
      <c r="D161" s="103">
        <v>44649.0</v>
      </c>
      <c r="E161" s="102" t="s">
        <v>345</v>
      </c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98">
        <v>64.0</v>
      </c>
      <c r="B162" s="102" t="s">
        <v>346</v>
      </c>
      <c r="C162" s="48" t="s">
        <v>94</v>
      </c>
      <c r="D162" s="103">
        <v>44675.0</v>
      </c>
      <c r="E162" s="102" t="s">
        <v>341</v>
      </c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98">
        <v>65.0</v>
      </c>
      <c r="B163" s="102" t="s">
        <v>347</v>
      </c>
      <c r="C163" s="48" t="s">
        <v>94</v>
      </c>
      <c r="D163" s="103">
        <v>44704.0</v>
      </c>
      <c r="E163" s="102" t="s">
        <v>348</v>
      </c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98">
        <v>66.0</v>
      </c>
      <c r="B164" s="102" t="s">
        <v>349</v>
      </c>
      <c r="C164" s="48" t="s">
        <v>95</v>
      </c>
      <c r="D164" s="103">
        <v>44773.0</v>
      </c>
      <c r="E164" s="102" t="s">
        <v>350</v>
      </c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98">
        <v>67.0</v>
      </c>
      <c r="B165" s="102" t="s">
        <v>351</v>
      </c>
      <c r="C165" s="48" t="s">
        <v>94</v>
      </c>
      <c r="D165" s="103">
        <v>44795.0</v>
      </c>
      <c r="E165" s="102" t="s">
        <v>352</v>
      </c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98">
        <v>68.0</v>
      </c>
      <c r="B166" s="102" t="s">
        <v>353</v>
      </c>
      <c r="C166" s="48" t="s">
        <v>95</v>
      </c>
      <c r="D166" s="103">
        <v>44833.0</v>
      </c>
      <c r="E166" s="102" t="s">
        <v>354</v>
      </c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98">
        <v>69.0</v>
      </c>
      <c r="B167" s="102" t="s">
        <v>355</v>
      </c>
      <c r="C167" s="48" t="s">
        <v>94</v>
      </c>
      <c r="D167" s="103">
        <v>45068.0</v>
      </c>
      <c r="E167" s="102" t="s">
        <v>356</v>
      </c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98">
        <v>70.0</v>
      </c>
      <c r="B168" s="102" t="s">
        <v>357</v>
      </c>
      <c r="C168" s="48" t="s">
        <v>94</v>
      </c>
      <c r="D168" s="103">
        <v>45086.0</v>
      </c>
      <c r="E168" s="102" t="s">
        <v>358</v>
      </c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98">
        <v>71.0</v>
      </c>
      <c r="B169" s="102" t="s">
        <v>359</v>
      </c>
      <c r="C169" s="48" t="s">
        <v>95</v>
      </c>
      <c r="D169" s="103">
        <v>45086.0</v>
      </c>
      <c r="E169" s="102" t="s">
        <v>360</v>
      </c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98">
        <v>72.0</v>
      </c>
      <c r="B170" s="102" t="s">
        <v>361</v>
      </c>
      <c r="C170" s="48" t="s">
        <v>94</v>
      </c>
      <c r="D170" s="103">
        <v>45113.0</v>
      </c>
      <c r="E170" s="102" t="s">
        <v>362</v>
      </c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98">
        <v>73.0</v>
      </c>
      <c r="B171" s="102" t="s">
        <v>363</v>
      </c>
      <c r="C171" s="48" t="s">
        <v>95</v>
      </c>
      <c r="D171" s="103">
        <v>45128.0</v>
      </c>
      <c r="E171" s="102" t="s">
        <v>364</v>
      </c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98">
        <v>74.0</v>
      </c>
      <c r="B172" s="102" t="s">
        <v>365</v>
      </c>
      <c r="C172" s="48" t="s">
        <v>95</v>
      </c>
      <c r="D172" s="103">
        <v>45153.0</v>
      </c>
      <c r="E172" s="102" t="s">
        <v>366</v>
      </c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98">
        <v>75.0</v>
      </c>
      <c r="B173" s="102" t="s">
        <v>367</v>
      </c>
      <c r="C173" s="48" t="s">
        <v>94</v>
      </c>
      <c r="D173" s="103">
        <v>45189.0</v>
      </c>
      <c r="E173" s="102" t="s">
        <v>368</v>
      </c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98">
        <v>76.0</v>
      </c>
      <c r="B174" s="102" t="s">
        <v>369</v>
      </c>
      <c r="C174" s="48" t="s">
        <v>95</v>
      </c>
      <c r="D174" s="103">
        <v>45249.0</v>
      </c>
      <c r="E174" s="102" t="s">
        <v>370</v>
      </c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98">
        <v>77.0</v>
      </c>
      <c r="B175" s="102" t="s">
        <v>371</v>
      </c>
      <c r="C175" s="48" t="s">
        <v>94</v>
      </c>
      <c r="D175" s="103">
        <v>45259.0</v>
      </c>
      <c r="E175" s="102" t="s">
        <v>372</v>
      </c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98">
        <v>78.0</v>
      </c>
      <c r="B176" s="102" t="s">
        <v>373</v>
      </c>
      <c r="C176" s="48" t="s">
        <v>95</v>
      </c>
      <c r="D176" s="103">
        <v>45374.0</v>
      </c>
      <c r="E176" s="102" t="s">
        <v>374</v>
      </c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98">
        <v>79.0</v>
      </c>
      <c r="B177" s="102" t="s">
        <v>375</v>
      </c>
      <c r="C177" s="48" t="s">
        <v>94</v>
      </c>
      <c r="D177" s="103">
        <v>45480.0</v>
      </c>
      <c r="E177" s="102" t="s">
        <v>376</v>
      </c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98">
        <v>80.0</v>
      </c>
      <c r="B178" s="102" t="s">
        <v>377</v>
      </c>
      <c r="C178" s="48" t="s">
        <v>95</v>
      </c>
      <c r="D178" s="103">
        <v>45564.0</v>
      </c>
      <c r="E178" s="102" t="s">
        <v>378</v>
      </c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98">
        <v>81.0</v>
      </c>
      <c r="B179" s="102" t="s">
        <v>379</v>
      </c>
      <c r="C179" s="48" t="s">
        <v>95</v>
      </c>
      <c r="D179" s="103">
        <v>45581.0</v>
      </c>
      <c r="E179" s="102" t="s">
        <v>380</v>
      </c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98">
        <v>82.0</v>
      </c>
      <c r="B180" s="102" t="s">
        <v>381</v>
      </c>
      <c r="C180" s="48" t="s">
        <v>94</v>
      </c>
      <c r="D180" s="103">
        <v>45581.0</v>
      </c>
      <c r="E180" s="102" t="s">
        <v>382</v>
      </c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98">
        <v>83.0</v>
      </c>
      <c r="B181" s="102" t="s">
        <v>383</v>
      </c>
      <c r="C181" s="48" t="s">
        <v>94</v>
      </c>
      <c r="D181" s="103">
        <v>45596.0</v>
      </c>
      <c r="E181" s="102" t="s">
        <v>384</v>
      </c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98">
        <v>84.0</v>
      </c>
      <c r="B182" s="104" t="s">
        <v>385</v>
      </c>
      <c r="C182" s="105" t="s">
        <v>95</v>
      </c>
      <c r="D182" s="105" t="s">
        <v>386</v>
      </c>
      <c r="E182" s="104" t="s">
        <v>387</v>
      </c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98">
        <v>85.0</v>
      </c>
      <c r="B183" s="104" t="s">
        <v>388</v>
      </c>
      <c r="C183" s="105" t="s">
        <v>94</v>
      </c>
      <c r="D183" s="105" t="s">
        <v>389</v>
      </c>
      <c r="E183" s="104" t="s">
        <v>390</v>
      </c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98">
        <v>86.0</v>
      </c>
      <c r="B184" s="104" t="s">
        <v>391</v>
      </c>
      <c r="C184" s="105" t="s">
        <v>94</v>
      </c>
      <c r="D184" s="105" t="s">
        <v>392</v>
      </c>
      <c r="E184" s="104" t="s">
        <v>393</v>
      </c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98">
        <v>87.0</v>
      </c>
      <c r="B185" s="104" t="s">
        <v>394</v>
      </c>
      <c r="C185" s="105" t="s">
        <v>94</v>
      </c>
      <c r="D185" s="105" t="s">
        <v>395</v>
      </c>
      <c r="E185" s="104" t="s">
        <v>396</v>
      </c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98">
        <v>88.0</v>
      </c>
      <c r="B186" s="104" t="s">
        <v>397</v>
      </c>
      <c r="C186" s="105" t="s">
        <v>94</v>
      </c>
      <c r="D186" s="105" t="s">
        <v>398</v>
      </c>
      <c r="E186" s="104" t="s">
        <v>399</v>
      </c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98">
        <v>89.0</v>
      </c>
      <c r="B187" s="49" t="s">
        <v>400</v>
      </c>
      <c r="C187" s="106" t="s">
        <v>94</v>
      </c>
      <c r="D187" s="107">
        <v>44230.0</v>
      </c>
      <c r="E187" s="49" t="s">
        <v>401</v>
      </c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98">
        <v>90.0</v>
      </c>
      <c r="B188" s="102" t="s">
        <v>402</v>
      </c>
      <c r="C188" s="48" t="s">
        <v>94</v>
      </c>
      <c r="D188" s="103">
        <v>44268.0</v>
      </c>
      <c r="E188" s="102" t="s">
        <v>403</v>
      </c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98">
        <v>91.0</v>
      </c>
      <c r="B189" s="102" t="s">
        <v>404</v>
      </c>
      <c r="C189" s="48" t="s">
        <v>94</v>
      </c>
      <c r="D189" s="103">
        <v>44270.0</v>
      </c>
      <c r="E189" s="102" t="s">
        <v>405</v>
      </c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98">
        <v>92.0</v>
      </c>
      <c r="B190" s="102" t="s">
        <v>406</v>
      </c>
      <c r="C190" s="48" t="s">
        <v>94</v>
      </c>
      <c r="D190" s="103">
        <v>44270.0</v>
      </c>
      <c r="E190" s="102" t="s">
        <v>407</v>
      </c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98">
        <v>93.0</v>
      </c>
      <c r="B191" s="102" t="s">
        <v>408</v>
      </c>
      <c r="C191" s="48" t="s">
        <v>95</v>
      </c>
      <c r="D191" s="103">
        <v>44278.0</v>
      </c>
      <c r="E191" s="102" t="s">
        <v>409</v>
      </c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98">
        <v>94.0</v>
      </c>
      <c r="B192" s="102" t="s">
        <v>410</v>
      </c>
      <c r="C192" s="48" t="s">
        <v>94</v>
      </c>
      <c r="D192" s="103">
        <v>44305.0</v>
      </c>
      <c r="E192" s="102" t="s">
        <v>411</v>
      </c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98">
        <v>95.0</v>
      </c>
      <c r="B193" s="102" t="s">
        <v>412</v>
      </c>
      <c r="C193" s="48" t="s">
        <v>94</v>
      </c>
      <c r="D193" s="103">
        <v>44316.0</v>
      </c>
      <c r="E193" s="102" t="s">
        <v>413</v>
      </c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98">
        <v>96.0</v>
      </c>
      <c r="B194" s="102" t="s">
        <v>414</v>
      </c>
      <c r="C194" s="48" t="s">
        <v>94</v>
      </c>
      <c r="D194" s="103">
        <v>44319.0</v>
      </c>
      <c r="E194" s="102" t="s">
        <v>415</v>
      </c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98">
        <v>97.0</v>
      </c>
      <c r="B195" s="102" t="s">
        <v>416</v>
      </c>
      <c r="C195" s="48" t="s">
        <v>95</v>
      </c>
      <c r="D195" s="103">
        <v>44353.0</v>
      </c>
      <c r="E195" s="102" t="s">
        <v>417</v>
      </c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98">
        <v>98.0</v>
      </c>
      <c r="B196" s="102" t="s">
        <v>418</v>
      </c>
      <c r="C196" s="48" t="s">
        <v>95</v>
      </c>
      <c r="D196" s="103">
        <v>44368.0</v>
      </c>
      <c r="E196" s="102" t="s">
        <v>419</v>
      </c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98">
        <v>99.0</v>
      </c>
      <c r="B197" s="102" t="s">
        <v>420</v>
      </c>
      <c r="C197" s="48" t="s">
        <v>95</v>
      </c>
      <c r="D197" s="103">
        <v>44393.0</v>
      </c>
      <c r="E197" s="102" t="s">
        <v>421</v>
      </c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98">
        <v>100.0</v>
      </c>
      <c r="B198" s="102" t="s">
        <v>422</v>
      </c>
      <c r="C198" s="48" t="s">
        <v>95</v>
      </c>
      <c r="D198" s="103">
        <v>44393.0</v>
      </c>
      <c r="E198" s="102" t="s">
        <v>423</v>
      </c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98">
        <v>101.0</v>
      </c>
      <c r="B199" s="102" t="s">
        <v>424</v>
      </c>
      <c r="C199" s="48" t="s">
        <v>94</v>
      </c>
      <c r="D199" s="103">
        <v>44405.0</v>
      </c>
      <c r="E199" s="102" t="s">
        <v>425</v>
      </c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98">
        <v>102.0</v>
      </c>
      <c r="B200" s="102" t="s">
        <v>426</v>
      </c>
      <c r="C200" s="48" t="s">
        <v>94</v>
      </c>
      <c r="D200" s="103">
        <v>44405.0</v>
      </c>
      <c r="E200" s="102" t="s">
        <v>427</v>
      </c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98">
        <v>103.0</v>
      </c>
      <c r="B201" s="102" t="s">
        <v>428</v>
      </c>
      <c r="C201" s="48" t="s">
        <v>94</v>
      </c>
      <c r="D201" s="103">
        <v>44406.0</v>
      </c>
      <c r="E201" s="102" t="s">
        <v>429</v>
      </c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98">
        <v>104.0</v>
      </c>
      <c r="B202" s="102" t="s">
        <v>430</v>
      </c>
      <c r="C202" s="48" t="s">
        <v>94</v>
      </c>
      <c r="D202" s="103">
        <v>44465.0</v>
      </c>
      <c r="E202" s="102" t="s">
        <v>431</v>
      </c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98">
        <v>105.0</v>
      </c>
      <c r="B203" s="102" t="s">
        <v>432</v>
      </c>
      <c r="C203" s="48" t="s">
        <v>94</v>
      </c>
      <c r="D203" s="103">
        <v>44473.0</v>
      </c>
      <c r="E203" s="102" t="s">
        <v>433</v>
      </c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98">
        <v>106.0</v>
      </c>
      <c r="B204" s="102" t="s">
        <v>434</v>
      </c>
      <c r="C204" s="48" t="s">
        <v>94</v>
      </c>
      <c r="D204" s="103">
        <v>44523.0</v>
      </c>
      <c r="E204" s="102" t="s">
        <v>435</v>
      </c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98">
        <v>107.0</v>
      </c>
      <c r="B205" s="102" t="s">
        <v>436</v>
      </c>
      <c r="C205" s="48" t="s">
        <v>95</v>
      </c>
      <c r="D205" s="103">
        <v>44534.0</v>
      </c>
      <c r="E205" s="102" t="s">
        <v>437</v>
      </c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98">
        <v>108.0</v>
      </c>
      <c r="B206" s="102" t="s">
        <v>438</v>
      </c>
      <c r="C206" s="48" t="s">
        <v>94</v>
      </c>
      <c r="D206" s="103">
        <v>44567.0</v>
      </c>
      <c r="E206" s="102" t="s">
        <v>439</v>
      </c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98">
        <v>109.0</v>
      </c>
      <c r="B207" s="102" t="s">
        <v>440</v>
      </c>
      <c r="C207" s="48" t="s">
        <v>95</v>
      </c>
      <c r="D207" s="103">
        <v>44575.0</v>
      </c>
      <c r="E207" s="102" t="s">
        <v>441</v>
      </c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98">
        <v>110.0</v>
      </c>
      <c r="B208" s="102" t="s">
        <v>442</v>
      </c>
      <c r="C208" s="48" t="s">
        <v>95</v>
      </c>
      <c r="D208" s="103">
        <v>44589.0</v>
      </c>
      <c r="E208" s="102" t="s">
        <v>443</v>
      </c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98">
        <v>111.0</v>
      </c>
      <c r="B209" s="102" t="s">
        <v>444</v>
      </c>
      <c r="C209" s="48" t="s">
        <v>95</v>
      </c>
      <c r="D209" s="103">
        <v>44608.0</v>
      </c>
      <c r="E209" s="102" t="s">
        <v>445</v>
      </c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98">
        <v>112.0</v>
      </c>
      <c r="B210" s="102" t="s">
        <v>446</v>
      </c>
      <c r="C210" s="48" t="s">
        <v>95</v>
      </c>
      <c r="D210" s="103">
        <v>44655.0</v>
      </c>
      <c r="E210" s="102" t="s">
        <v>447</v>
      </c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98">
        <v>113.0</v>
      </c>
      <c r="B211" s="102" t="s">
        <v>448</v>
      </c>
      <c r="C211" s="48" t="s">
        <v>94</v>
      </c>
      <c r="D211" s="103">
        <v>44661.0</v>
      </c>
      <c r="E211" s="102" t="s">
        <v>449</v>
      </c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98">
        <v>114.0</v>
      </c>
      <c r="B212" s="102" t="s">
        <v>450</v>
      </c>
      <c r="C212" s="48" t="s">
        <v>94</v>
      </c>
      <c r="D212" s="103">
        <v>44706.0</v>
      </c>
      <c r="E212" s="102" t="s">
        <v>451</v>
      </c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98">
        <v>115.0</v>
      </c>
      <c r="B213" s="102" t="s">
        <v>452</v>
      </c>
      <c r="C213" s="48" t="s">
        <v>95</v>
      </c>
      <c r="D213" s="103">
        <v>44821.0</v>
      </c>
      <c r="E213" s="102" t="s">
        <v>453</v>
      </c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98">
        <v>116.0</v>
      </c>
      <c r="B214" s="102" t="s">
        <v>454</v>
      </c>
      <c r="C214" s="48" t="s">
        <v>94</v>
      </c>
      <c r="D214" s="103">
        <v>44822.0</v>
      </c>
      <c r="E214" s="102" t="s">
        <v>455</v>
      </c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98">
        <v>117.0</v>
      </c>
      <c r="B215" s="102" t="s">
        <v>456</v>
      </c>
      <c r="C215" s="48" t="s">
        <v>94</v>
      </c>
      <c r="D215" s="103">
        <v>44871.0</v>
      </c>
      <c r="E215" s="102" t="s">
        <v>457</v>
      </c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98">
        <v>118.0</v>
      </c>
      <c r="B216" s="102" t="s">
        <v>458</v>
      </c>
      <c r="C216" s="48" t="s">
        <v>94</v>
      </c>
      <c r="D216" s="103">
        <v>44872.0</v>
      </c>
      <c r="E216" s="102" t="s">
        <v>459</v>
      </c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98">
        <v>119.0</v>
      </c>
      <c r="B217" s="102" t="s">
        <v>460</v>
      </c>
      <c r="C217" s="48" t="s">
        <v>94</v>
      </c>
      <c r="D217" s="103">
        <v>44872.0</v>
      </c>
      <c r="E217" s="102" t="s">
        <v>461</v>
      </c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98">
        <v>120.0</v>
      </c>
      <c r="B218" s="102" t="s">
        <v>462</v>
      </c>
      <c r="C218" s="48" t="s">
        <v>95</v>
      </c>
      <c r="D218" s="103">
        <v>44887.0</v>
      </c>
      <c r="E218" s="102" t="s">
        <v>463</v>
      </c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98">
        <v>121.0</v>
      </c>
      <c r="B219" s="102" t="s">
        <v>464</v>
      </c>
      <c r="C219" s="48" t="s">
        <v>94</v>
      </c>
      <c r="D219" s="103">
        <v>44891.0</v>
      </c>
      <c r="E219" s="102" t="s">
        <v>465</v>
      </c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98">
        <v>122.0</v>
      </c>
      <c r="B220" s="102" t="s">
        <v>466</v>
      </c>
      <c r="C220" s="48" t="s">
        <v>95</v>
      </c>
      <c r="D220" s="103">
        <v>44900.0</v>
      </c>
      <c r="E220" s="102" t="s">
        <v>467</v>
      </c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98">
        <v>123.0</v>
      </c>
      <c r="B221" s="102" t="s">
        <v>468</v>
      </c>
      <c r="C221" s="48" t="s">
        <v>95</v>
      </c>
      <c r="D221" s="103">
        <v>44902.0</v>
      </c>
      <c r="E221" s="102" t="s">
        <v>469</v>
      </c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98">
        <v>124.0</v>
      </c>
      <c r="B222" s="102" t="s">
        <v>470</v>
      </c>
      <c r="C222" s="48" t="s">
        <v>95</v>
      </c>
      <c r="D222" s="103">
        <v>44909.0</v>
      </c>
      <c r="E222" s="102" t="s">
        <v>471</v>
      </c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98">
        <v>125.0</v>
      </c>
      <c r="B223" s="102" t="s">
        <v>472</v>
      </c>
      <c r="C223" s="48" t="s">
        <v>95</v>
      </c>
      <c r="D223" s="103">
        <v>44911.0</v>
      </c>
      <c r="E223" s="102" t="s">
        <v>473</v>
      </c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98">
        <v>126.0</v>
      </c>
      <c r="B224" s="102" t="s">
        <v>474</v>
      </c>
      <c r="C224" s="48" t="s">
        <v>94</v>
      </c>
      <c r="D224" s="103">
        <v>44939.0</v>
      </c>
      <c r="E224" s="102" t="s">
        <v>475</v>
      </c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98">
        <v>127.0</v>
      </c>
      <c r="B225" s="102" t="s">
        <v>476</v>
      </c>
      <c r="C225" s="48" t="s">
        <v>95</v>
      </c>
      <c r="D225" s="103">
        <v>44971.0</v>
      </c>
      <c r="E225" s="102" t="s">
        <v>477</v>
      </c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98">
        <v>128.0</v>
      </c>
      <c r="B226" s="102" t="s">
        <v>478</v>
      </c>
      <c r="C226" s="48" t="s">
        <v>95</v>
      </c>
      <c r="D226" s="103">
        <v>44975.0</v>
      </c>
      <c r="E226" s="102" t="s">
        <v>479</v>
      </c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98">
        <v>129.0</v>
      </c>
      <c r="B227" s="102" t="s">
        <v>480</v>
      </c>
      <c r="C227" s="48" t="s">
        <v>94</v>
      </c>
      <c r="D227" s="103">
        <v>44995.0</v>
      </c>
      <c r="E227" s="102" t="s">
        <v>481</v>
      </c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98">
        <v>130.0</v>
      </c>
      <c r="B228" s="102" t="s">
        <v>482</v>
      </c>
      <c r="C228" s="48" t="s">
        <v>94</v>
      </c>
      <c r="D228" s="103">
        <v>45004.0</v>
      </c>
      <c r="E228" s="102" t="s">
        <v>483</v>
      </c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98">
        <v>131.0</v>
      </c>
      <c r="B229" s="102" t="s">
        <v>484</v>
      </c>
      <c r="C229" s="48" t="s">
        <v>94</v>
      </c>
      <c r="D229" s="103">
        <v>45013.0</v>
      </c>
      <c r="E229" s="102" t="s">
        <v>485</v>
      </c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98">
        <v>132.0</v>
      </c>
      <c r="B230" s="102" t="s">
        <v>486</v>
      </c>
      <c r="C230" s="48" t="s">
        <v>95</v>
      </c>
      <c r="D230" s="103">
        <v>45021.0</v>
      </c>
      <c r="E230" s="102" t="s">
        <v>487</v>
      </c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98">
        <v>133.0</v>
      </c>
      <c r="B231" s="102" t="s">
        <v>488</v>
      </c>
      <c r="C231" s="48" t="s">
        <v>95</v>
      </c>
      <c r="D231" s="103">
        <v>45051.0</v>
      </c>
      <c r="E231" s="102" t="s">
        <v>489</v>
      </c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98">
        <v>134.0</v>
      </c>
      <c r="B232" s="102" t="s">
        <v>490</v>
      </c>
      <c r="C232" s="48" t="s">
        <v>94</v>
      </c>
      <c r="D232" s="103">
        <v>45077.0</v>
      </c>
      <c r="E232" s="102" t="s">
        <v>491</v>
      </c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98">
        <v>135.0</v>
      </c>
      <c r="B233" s="102" t="s">
        <v>492</v>
      </c>
      <c r="C233" s="48" t="s">
        <v>94</v>
      </c>
      <c r="D233" s="103">
        <v>45107.0</v>
      </c>
      <c r="E233" s="102" t="s">
        <v>493</v>
      </c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98">
        <v>136.0</v>
      </c>
      <c r="B234" s="102" t="s">
        <v>494</v>
      </c>
      <c r="C234" s="48" t="s">
        <v>95</v>
      </c>
      <c r="D234" s="103">
        <v>45130.0</v>
      </c>
      <c r="E234" s="102" t="s">
        <v>495</v>
      </c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98">
        <v>137.0</v>
      </c>
      <c r="B235" s="102" t="s">
        <v>496</v>
      </c>
      <c r="C235" s="48" t="s">
        <v>94</v>
      </c>
      <c r="D235" s="103">
        <v>45139.0</v>
      </c>
      <c r="E235" s="102" t="s">
        <v>497</v>
      </c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98">
        <v>138.0</v>
      </c>
      <c r="B236" s="102" t="s">
        <v>498</v>
      </c>
      <c r="C236" s="48" t="s">
        <v>94</v>
      </c>
      <c r="D236" s="103">
        <v>45154.0</v>
      </c>
      <c r="E236" s="102" t="s">
        <v>499</v>
      </c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98">
        <v>139.0</v>
      </c>
      <c r="B237" s="102" t="s">
        <v>500</v>
      </c>
      <c r="C237" s="48" t="s">
        <v>95</v>
      </c>
      <c r="D237" s="103">
        <v>45187.0</v>
      </c>
      <c r="E237" s="102" t="s">
        <v>501</v>
      </c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98">
        <v>140.0</v>
      </c>
      <c r="B238" s="102" t="s">
        <v>502</v>
      </c>
      <c r="C238" s="48" t="s">
        <v>94</v>
      </c>
      <c r="D238" s="103">
        <v>45223.0</v>
      </c>
      <c r="E238" s="102" t="s">
        <v>503</v>
      </c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98">
        <v>141.0</v>
      </c>
      <c r="B239" s="102" t="s">
        <v>504</v>
      </c>
      <c r="C239" s="48" t="s">
        <v>94</v>
      </c>
      <c r="D239" s="103">
        <v>45223.0</v>
      </c>
      <c r="E239" s="102" t="s">
        <v>505</v>
      </c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98">
        <v>142.0</v>
      </c>
      <c r="B240" s="102" t="s">
        <v>506</v>
      </c>
      <c r="C240" s="48" t="s">
        <v>94</v>
      </c>
      <c r="D240" s="103">
        <v>45243.0</v>
      </c>
      <c r="E240" s="102" t="s">
        <v>507</v>
      </c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98">
        <v>143.0</v>
      </c>
      <c r="B241" s="102" t="s">
        <v>508</v>
      </c>
      <c r="C241" s="48" t="s">
        <v>94</v>
      </c>
      <c r="D241" s="103">
        <v>45266.0</v>
      </c>
      <c r="E241" s="102" t="s">
        <v>509</v>
      </c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98">
        <v>144.0</v>
      </c>
      <c r="B242" s="102" t="s">
        <v>510</v>
      </c>
      <c r="C242" s="48" t="s">
        <v>94</v>
      </c>
      <c r="D242" s="103">
        <v>45266.0</v>
      </c>
      <c r="E242" s="102" t="s">
        <v>511</v>
      </c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98">
        <v>145.0</v>
      </c>
      <c r="B243" s="102" t="s">
        <v>512</v>
      </c>
      <c r="C243" s="48" t="s">
        <v>94</v>
      </c>
      <c r="D243" s="103">
        <v>45273.0</v>
      </c>
      <c r="E243" s="102" t="s">
        <v>513</v>
      </c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98">
        <v>146.0</v>
      </c>
      <c r="B244" s="102" t="s">
        <v>514</v>
      </c>
      <c r="C244" s="48" t="s">
        <v>94</v>
      </c>
      <c r="D244" s="103">
        <v>45281.0</v>
      </c>
      <c r="E244" s="102" t="s">
        <v>515</v>
      </c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98">
        <v>147.0</v>
      </c>
      <c r="B245" s="102" t="s">
        <v>516</v>
      </c>
      <c r="C245" s="48" t="s">
        <v>94</v>
      </c>
      <c r="D245" s="103">
        <v>45283.0</v>
      </c>
      <c r="E245" s="102" t="s">
        <v>517</v>
      </c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98">
        <v>148.0</v>
      </c>
      <c r="B246" s="102" t="s">
        <v>518</v>
      </c>
      <c r="C246" s="48" t="s">
        <v>94</v>
      </c>
      <c r="D246" s="103">
        <v>45318.0</v>
      </c>
      <c r="E246" s="102" t="s">
        <v>519</v>
      </c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98">
        <v>149.0</v>
      </c>
      <c r="B247" s="102" t="s">
        <v>520</v>
      </c>
      <c r="C247" s="48" t="s">
        <v>94</v>
      </c>
      <c r="D247" s="103">
        <v>45354.0</v>
      </c>
      <c r="E247" s="102" t="s">
        <v>521</v>
      </c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98">
        <v>150.0</v>
      </c>
      <c r="B248" s="102" t="s">
        <v>522</v>
      </c>
      <c r="C248" s="48" t="s">
        <v>94</v>
      </c>
      <c r="D248" s="103">
        <v>45378.0</v>
      </c>
      <c r="E248" s="102" t="s">
        <v>523</v>
      </c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98">
        <v>151.0</v>
      </c>
      <c r="B249" s="108" t="s">
        <v>524</v>
      </c>
      <c r="C249" s="48" t="s">
        <v>95</v>
      </c>
      <c r="D249" s="103">
        <v>45399.0</v>
      </c>
      <c r="E249" s="102" t="s">
        <v>525</v>
      </c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98">
        <v>152.0</v>
      </c>
      <c r="B250" s="102" t="s">
        <v>526</v>
      </c>
      <c r="C250" s="48" t="s">
        <v>95</v>
      </c>
      <c r="D250" s="103">
        <v>45427.0</v>
      </c>
      <c r="E250" s="102" t="s">
        <v>527</v>
      </c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98">
        <v>153.0</v>
      </c>
      <c r="B251" s="102" t="s">
        <v>528</v>
      </c>
      <c r="C251" s="48" t="s">
        <v>94</v>
      </c>
      <c r="D251" s="103">
        <v>45436.0</v>
      </c>
      <c r="E251" s="102" t="s">
        <v>529</v>
      </c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98">
        <v>154.0</v>
      </c>
      <c r="B252" s="102" t="s">
        <v>530</v>
      </c>
      <c r="C252" s="48" t="s">
        <v>94</v>
      </c>
      <c r="D252" s="103">
        <v>45448.0</v>
      </c>
      <c r="E252" s="102" t="s">
        <v>531</v>
      </c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98">
        <v>155.0</v>
      </c>
      <c r="B253" s="102" t="s">
        <v>532</v>
      </c>
      <c r="C253" s="48" t="s">
        <v>95</v>
      </c>
      <c r="D253" s="103">
        <v>45505.0</v>
      </c>
      <c r="E253" s="102" t="s">
        <v>533</v>
      </c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98">
        <v>156.0</v>
      </c>
      <c r="B254" s="102" t="s">
        <v>534</v>
      </c>
      <c r="C254" s="48" t="s">
        <v>94</v>
      </c>
      <c r="D254" s="103">
        <v>45584.0</v>
      </c>
      <c r="E254" s="102" t="s">
        <v>535</v>
      </c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98">
        <v>157.0</v>
      </c>
      <c r="B255" s="102" t="s">
        <v>536</v>
      </c>
      <c r="C255" s="48" t="s">
        <v>94</v>
      </c>
      <c r="D255" s="103">
        <v>45609.0</v>
      </c>
      <c r="E255" s="102" t="s">
        <v>537</v>
      </c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98">
        <v>158.0</v>
      </c>
      <c r="B256" s="102" t="s">
        <v>538</v>
      </c>
      <c r="C256" s="48" t="s">
        <v>94</v>
      </c>
      <c r="D256" s="103">
        <v>45629.0</v>
      </c>
      <c r="E256" s="102" t="s">
        <v>539</v>
      </c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98">
        <v>159.0</v>
      </c>
      <c r="B257" s="102" t="s">
        <v>540</v>
      </c>
      <c r="C257" s="48" t="s">
        <v>95</v>
      </c>
      <c r="D257" s="103">
        <v>45639.0</v>
      </c>
      <c r="E257" s="102" t="s">
        <v>541</v>
      </c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98">
        <v>160.0</v>
      </c>
      <c r="B258" s="102" t="s">
        <v>542</v>
      </c>
      <c r="C258" s="48" t="s">
        <v>95</v>
      </c>
      <c r="D258" s="103">
        <v>45640.0</v>
      </c>
      <c r="E258" s="102" t="s">
        <v>543</v>
      </c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98">
        <v>161.0</v>
      </c>
      <c r="B259" s="102" t="s">
        <v>544</v>
      </c>
      <c r="C259" s="48" t="s">
        <v>95</v>
      </c>
      <c r="D259" s="103">
        <v>45646.0</v>
      </c>
      <c r="E259" s="102" t="s">
        <v>545</v>
      </c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98">
        <v>162.0</v>
      </c>
      <c r="B260" s="109" t="s">
        <v>546</v>
      </c>
      <c r="C260" s="110" t="s">
        <v>95</v>
      </c>
      <c r="D260" s="110" t="s">
        <v>547</v>
      </c>
      <c r="E260" s="109" t="s">
        <v>548</v>
      </c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98">
        <v>163.0</v>
      </c>
      <c r="B261" s="104" t="s">
        <v>549</v>
      </c>
      <c r="C261" s="105" t="s">
        <v>94</v>
      </c>
      <c r="D261" s="105" t="s">
        <v>550</v>
      </c>
      <c r="E261" s="104" t="s">
        <v>551</v>
      </c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98">
        <v>164.0</v>
      </c>
      <c r="B262" s="104" t="s">
        <v>552</v>
      </c>
      <c r="C262" s="105" t="s">
        <v>94</v>
      </c>
      <c r="D262" s="105" t="s">
        <v>553</v>
      </c>
      <c r="E262" s="104" t="s">
        <v>554</v>
      </c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98">
        <v>165.0</v>
      </c>
      <c r="B263" s="104" t="s">
        <v>555</v>
      </c>
      <c r="C263" s="105" t="s">
        <v>95</v>
      </c>
      <c r="D263" s="105" t="s">
        <v>556</v>
      </c>
      <c r="E263" s="104" t="s">
        <v>557</v>
      </c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98">
        <v>166.0</v>
      </c>
      <c r="B264" s="104" t="s">
        <v>558</v>
      </c>
      <c r="C264" s="105" t="s">
        <v>95</v>
      </c>
      <c r="D264" s="105" t="s">
        <v>559</v>
      </c>
      <c r="E264" s="104" t="s">
        <v>560</v>
      </c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98">
        <v>167.0</v>
      </c>
      <c r="B265" s="104" t="s">
        <v>561</v>
      </c>
      <c r="C265" s="105" t="s">
        <v>95</v>
      </c>
      <c r="D265" s="105" t="s">
        <v>562</v>
      </c>
      <c r="E265" s="104" t="s">
        <v>563</v>
      </c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98">
        <v>168.0</v>
      </c>
      <c r="B266" s="104" t="s">
        <v>564</v>
      </c>
      <c r="C266" s="105" t="s">
        <v>95</v>
      </c>
      <c r="D266" s="105" t="s">
        <v>565</v>
      </c>
      <c r="E266" s="104" t="s">
        <v>566</v>
      </c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98">
        <v>169.0</v>
      </c>
      <c r="B267" s="104" t="s">
        <v>567</v>
      </c>
      <c r="C267" s="105" t="s">
        <v>95</v>
      </c>
      <c r="D267" s="105" t="s">
        <v>568</v>
      </c>
      <c r="E267" s="104" t="s">
        <v>569</v>
      </c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98">
        <v>170.0</v>
      </c>
      <c r="B268" s="104" t="s">
        <v>570</v>
      </c>
      <c r="C268" s="104" t="s">
        <v>95</v>
      </c>
      <c r="D268" s="104" t="s">
        <v>571</v>
      </c>
      <c r="E268" s="104" t="s">
        <v>572</v>
      </c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98">
        <v>171.0</v>
      </c>
      <c r="B269" s="104" t="s">
        <v>573</v>
      </c>
      <c r="C269" s="104" t="s">
        <v>95</v>
      </c>
      <c r="D269" s="104" t="s">
        <v>574</v>
      </c>
      <c r="E269" s="104" t="s">
        <v>575</v>
      </c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98">
        <v>172.0</v>
      </c>
      <c r="B270" s="104" t="s">
        <v>576</v>
      </c>
      <c r="C270" s="104" t="s">
        <v>94</v>
      </c>
      <c r="D270" s="104" t="s">
        <v>577</v>
      </c>
      <c r="E270" s="104" t="s">
        <v>578</v>
      </c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98">
        <v>173.0</v>
      </c>
      <c r="B271" s="111" t="s">
        <v>579</v>
      </c>
      <c r="C271" s="111" t="s">
        <v>95</v>
      </c>
      <c r="D271" s="111" t="s">
        <v>580</v>
      </c>
      <c r="E271" s="111" t="s">
        <v>581</v>
      </c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98">
        <v>174.0</v>
      </c>
      <c r="B272" s="104" t="s">
        <v>582</v>
      </c>
      <c r="C272" s="104" t="s">
        <v>95</v>
      </c>
      <c r="D272" s="104" t="s">
        <v>583</v>
      </c>
      <c r="E272" s="104" t="s">
        <v>584</v>
      </c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98">
        <v>175.0</v>
      </c>
      <c r="B273" s="104" t="s">
        <v>585</v>
      </c>
      <c r="C273" s="104" t="s">
        <v>94</v>
      </c>
      <c r="D273" s="104" t="s">
        <v>586</v>
      </c>
      <c r="E273" s="104" t="s">
        <v>587</v>
      </c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98">
        <v>176.0</v>
      </c>
      <c r="B274" s="112" t="s">
        <v>588</v>
      </c>
      <c r="C274" s="112" t="s">
        <v>94</v>
      </c>
      <c r="D274" s="112" t="s">
        <v>580</v>
      </c>
      <c r="E274" s="112" t="s">
        <v>589</v>
      </c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98">
        <v>177.0</v>
      </c>
      <c r="B275" s="104" t="s">
        <v>590</v>
      </c>
      <c r="C275" s="104" t="s">
        <v>95</v>
      </c>
      <c r="D275" s="104" t="s">
        <v>591</v>
      </c>
      <c r="E275" s="104" t="s">
        <v>592</v>
      </c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98">
        <v>178.0</v>
      </c>
      <c r="B276" s="104" t="s">
        <v>593</v>
      </c>
      <c r="C276" s="104" t="s">
        <v>94</v>
      </c>
      <c r="D276" s="104" t="s">
        <v>594</v>
      </c>
      <c r="E276" s="104" t="s">
        <v>595</v>
      </c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98">
        <v>179.0</v>
      </c>
      <c r="B277" s="104" t="s">
        <v>596</v>
      </c>
      <c r="C277" s="104" t="s">
        <v>95</v>
      </c>
      <c r="D277" s="104" t="s">
        <v>597</v>
      </c>
      <c r="E277" s="104" t="s">
        <v>598</v>
      </c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98">
        <v>180.0</v>
      </c>
      <c r="B278" s="49" t="s">
        <v>599</v>
      </c>
      <c r="C278" s="106" t="s">
        <v>94</v>
      </c>
      <c r="D278" s="107">
        <v>44281.0</v>
      </c>
      <c r="E278" s="49" t="s">
        <v>600</v>
      </c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98">
        <v>181.0</v>
      </c>
      <c r="B279" s="102" t="s">
        <v>601</v>
      </c>
      <c r="C279" s="48" t="s">
        <v>94</v>
      </c>
      <c r="D279" s="103">
        <v>44305.0</v>
      </c>
      <c r="E279" s="102" t="s">
        <v>602</v>
      </c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98">
        <v>182.0</v>
      </c>
      <c r="B280" s="102" t="s">
        <v>603</v>
      </c>
      <c r="C280" s="48" t="s">
        <v>94</v>
      </c>
      <c r="D280" s="103">
        <v>44332.0</v>
      </c>
      <c r="E280" s="102" t="s">
        <v>604</v>
      </c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98">
        <v>183.0</v>
      </c>
      <c r="B281" s="102" t="s">
        <v>605</v>
      </c>
      <c r="C281" s="48" t="s">
        <v>95</v>
      </c>
      <c r="D281" s="103">
        <v>44365.0</v>
      </c>
      <c r="E281" s="102" t="s">
        <v>606</v>
      </c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98">
        <v>184.0</v>
      </c>
      <c r="B282" s="102" t="s">
        <v>607</v>
      </c>
      <c r="C282" s="48" t="s">
        <v>95</v>
      </c>
      <c r="D282" s="103">
        <v>44388.0</v>
      </c>
      <c r="E282" s="102" t="s">
        <v>608</v>
      </c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98">
        <v>185.0</v>
      </c>
      <c r="B283" s="102" t="s">
        <v>609</v>
      </c>
      <c r="C283" s="48" t="s">
        <v>95</v>
      </c>
      <c r="D283" s="103">
        <v>44426.0</v>
      </c>
      <c r="E283" s="102" t="s">
        <v>610</v>
      </c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98">
        <v>186.0</v>
      </c>
      <c r="B284" s="102" t="s">
        <v>611</v>
      </c>
      <c r="C284" s="48" t="s">
        <v>94</v>
      </c>
      <c r="D284" s="103">
        <v>44431.0</v>
      </c>
      <c r="E284" s="102" t="s">
        <v>612</v>
      </c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98">
        <v>187.0</v>
      </c>
      <c r="B285" s="102" t="s">
        <v>613</v>
      </c>
      <c r="C285" s="48" t="s">
        <v>94</v>
      </c>
      <c r="D285" s="103">
        <v>44439.0</v>
      </c>
      <c r="E285" s="102" t="s">
        <v>614</v>
      </c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98">
        <v>188.0</v>
      </c>
      <c r="B286" s="102" t="s">
        <v>615</v>
      </c>
      <c r="C286" s="48" t="s">
        <v>95</v>
      </c>
      <c r="D286" s="103">
        <v>44481.0</v>
      </c>
      <c r="E286" s="102" t="s">
        <v>616</v>
      </c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98">
        <v>189.0</v>
      </c>
      <c r="B287" s="102" t="s">
        <v>617</v>
      </c>
      <c r="C287" s="48" t="s">
        <v>94</v>
      </c>
      <c r="D287" s="103">
        <v>44504.0</v>
      </c>
      <c r="E287" s="102" t="s">
        <v>618</v>
      </c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98">
        <v>190.0</v>
      </c>
      <c r="B288" s="102" t="s">
        <v>619</v>
      </c>
      <c r="C288" s="48" t="s">
        <v>94</v>
      </c>
      <c r="D288" s="103">
        <v>44575.0</v>
      </c>
      <c r="E288" s="102" t="s">
        <v>620</v>
      </c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98">
        <v>191.0</v>
      </c>
      <c r="B289" s="102" t="s">
        <v>621</v>
      </c>
      <c r="C289" s="48" t="s">
        <v>94</v>
      </c>
      <c r="D289" s="103">
        <v>44595.0</v>
      </c>
      <c r="E289" s="102" t="s">
        <v>622</v>
      </c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98">
        <v>192.0</v>
      </c>
      <c r="B290" s="102" t="s">
        <v>623</v>
      </c>
      <c r="C290" s="48" t="s">
        <v>95</v>
      </c>
      <c r="D290" s="103">
        <v>44608.0</v>
      </c>
      <c r="E290" s="102" t="s">
        <v>624</v>
      </c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98">
        <v>193.0</v>
      </c>
      <c r="B291" s="102" t="s">
        <v>625</v>
      </c>
      <c r="C291" s="48" t="s">
        <v>95</v>
      </c>
      <c r="D291" s="103">
        <v>44678.0</v>
      </c>
      <c r="E291" s="102" t="s">
        <v>626</v>
      </c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98">
        <v>194.0</v>
      </c>
      <c r="B292" s="102" t="s">
        <v>627</v>
      </c>
      <c r="C292" s="48" t="s">
        <v>95</v>
      </c>
      <c r="D292" s="103">
        <v>44703.0</v>
      </c>
      <c r="E292" s="102" t="s">
        <v>628</v>
      </c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98">
        <v>195.0</v>
      </c>
      <c r="B293" s="102" t="s">
        <v>629</v>
      </c>
      <c r="C293" s="48" t="s">
        <v>94</v>
      </c>
      <c r="D293" s="103">
        <v>44735.0</v>
      </c>
      <c r="E293" s="102" t="s">
        <v>630</v>
      </c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98">
        <v>196.0</v>
      </c>
      <c r="B294" s="102" t="s">
        <v>631</v>
      </c>
      <c r="C294" s="48" t="s">
        <v>95</v>
      </c>
      <c r="D294" s="103">
        <v>44744.0</v>
      </c>
      <c r="E294" s="102" t="s">
        <v>632</v>
      </c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98">
        <v>197.0</v>
      </c>
      <c r="B295" s="102" t="s">
        <v>633</v>
      </c>
      <c r="C295" s="48" t="s">
        <v>95</v>
      </c>
      <c r="D295" s="103">
        <v>44750.0</v>
      </c>
      <c r="E295" s="102" t="s">
        <v>634</v>
      </c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98">
        <v>198.0</v>
      </c>
      <c r="B296" s="102" t="s">
        <v>635</v>
      </c>
      <c r="C296" s="48" t="s">
        <v>95</v>
      </c>
      <c r="D296" s="103">
        <v>44770.0</v>
      </c>
      <c r="E296" s="102" t="s">
        <v>636</v>
      </c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98">
        <v>199.0</v>
      </c>
      <c r="B297" s="102" t="s">
        <v>637</v>
      </c>
      <c r="C297" s="48" t="s">
        <v>94</v>
      </c>
      <c r="D297" s="103">
        <v>44774.0</v>
      </c>
      <c r="E297" s="102" t="s">
        <v>638</v>
      </c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98">
        <v>200.0</v>
      </c>
      <c r="B298" s="102" t="s">
        <v>639</v>
      </c>
      <c r="C298" s="48" t="s">
        <v>95</v>
      </c>
      <c r="D298" s="103">
        <v>44792.0</v>
      </c>
      <c r="E298" s="102" t="s">
        <v>640</v>
      </c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98">
        <v>201.0</v>
      </c>
      <c r="B299" s="102" t="s">
        <v>641</v>
      </c>
      <c r="C299" s="48" t="s">
        <v>95</v>
      </c>
      <c r="D299" s="103">
        <v>44817.0</v>
      </c>
      <c r="E299" s="102" t="s">
        <v>642</v>
      </c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98">
        <v>202.0</v>
      </c>
      <c r="B300" s="102" t="s">
        <v>643</v>
      </c>
      <c r="C300" s="48" t="s">
        <v>95</v>
      </c>
      <c r="D300" s="103">
        <v>44823.0</v>
      </c>
      <c r="E300" s="102" t="s">
        <v>644</v>
      </c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98">
        <v>203.0</v>
      </c>
      <c r="B301" s="102" t="s">
        <v>645</v>
      </c>
      <c r="C301" s="48" t="s">
        <v>94</v>
      </c>
      <c r="D301" s="103">
        <v>44838.0</v>
      </c>
      <c r="E301" s="102" t="s">
        <v>646</v>
      </c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98">
        <v>204.0</v>
      </c>
      <c r="B302" s="102" t="s">
        <v>647</v>
      </c>
      <c r="C302" s="48" t="s">
        <v>94</v>
      </c>
      <c r="D302" s="103">
        <v>44861.0</v>
      </c>
      <c r="E302" s="102" t="s">
        <v>648</v>
      </c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98">
        <v>205.0</v>
      </c>
      <c r="B303" s="102" t="s">
        <v>649</v>
      </c>
      <c r="C303" s="48" t="s">
        <v>95</v>
      </c>
      <c r="D303" s="103">
        <v>44892.0</v>
      </c>
      <c r="E303" s="102" t="s">
        <v>650</v>
      </c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98">
        <v>206.0</v>
      </c>
      <c r="B304" s="102" t="s">
        <v>651</v>
      </c>
      <c r="C304" s="48" t="s">
        <v>95</v>
      </c>
      <c r="D304" s="103">
        <v>44962.0</v>
      </c>
      <c r="E304" s="102" t="s">
        <v>652</v>
      </c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98">
        <v>207.0</v>
      </c>
      <c r="B305" s="102" t="s">
        <v>653</v>
      </c>
      <c r="C305" s="48" t="s">
        <v>95</v>
      </c>
      <c r="D305" s="103">
        <v>45008.0</v>
      </c>
      <c r="E305" s="102" t="s">
        <v>654</v>
      </c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98">
        <v>208.0</v>
      </c>
      <c r="B306" s="102" t="s">
        <v>655</v>
      </c>
      <c r="C306" s="48" t="s">
        <v>94</v>
      </c>
      <c r="D306" s="103">
        <v>45057.0</v>
      </c>
      <c r="E306" s="102" t="s">
        <v>656</v>
      </c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98">
        <v>209.0</v>
      </c>
      <c r="B307" s="102" t="s">
        <v>657</v>
      </c>
      <c r="C307" s="48" t="s">
        <v>95</v>
      </c>
      <c r="D307" s="103">
        <v>45099.0</v>
      </c>
      <c r="E307" s="102" t="s">
        <v>658</v>
      </c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98">
        <v>210.0</v>
      </c>
      <c r="B308" s="102" t="s">
        <v>659</v>
      </c>
      <c r="C308" s="48" t="s">
        <v>94</v>
      </c>
      <c r="D308" s="103">
        <v>45161.0</v>
      </c>
      <c r="E308" s="102" t="s">
        <v>660</v>
      </c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98">
        <v>211.0</v>
      </c>
      <c r="B309" s="102" t="s">
        <v>661</v>
      </c>
      <c r="C309" s="48" t="s">
        <v>94</v>
      </c>
      <c r="D309" s="103">
        <v>45196.0</v>
      </c>
      <c r="E309" s="102" t="s">
        <v>662</v>
      </c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98">
        <v>212.0</v>
      </c>
      <c r="B310" s="102" t="s">
        <v>663</v>
      </c>
      <c r="C310" s="48" t="s">
        <v>95</v>
      </c>
      <c r="D310" s="103">
        <v>45197.0</v>
      </c>
      <c r="E310" s="102" t="s">
        <v>664</v>
      </c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98">
        <v>213.0</v>
      </c>
      <c r="B311" s="102" t="s">
        <v>665</v>
      </c>
      <c r="C311" s="48" t="s">
        <v>94</v>
      </c>
      <c r="D311" s="103">
        <v>45210.0</v>
      </c>
      <c r="E311" s="102" t="s">
        <v>666</v>
      </c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98">
        <v>214.0</v>
      </c>
      <c r="B312" s="102" t="s">
        <v>667</v>
      </c>
      <c r="C312" s="48" t="s">
        <v>94</v>
      </c>
      <c r="D312" s="103">
        <v>45222.0</v>
      </c>
      <c r="E312" s="102" t="s">
        <v>668</v>
      </c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98">
        <v>215.0</v>
      </c>
      <c r="B313" s="102" t="s">
        <v>669</v>
      </c>
      <c r="C313" s="48" t="s">
        <v>95</v>
      </c>
      <c r="D313" s="103">
        <v>45324.0</v>
      </c>
      <c r="E313" s="102" t="s">
        <v>670</v>
      </c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98">
        <v>216.0</v>
      </c>
      <c r="B314" s="102" t="s">
        <v>671</v>
      </c>
      <c r="C314" s="48" t="s">
        <v>94</v>
      </c>
      <c r="D314" s="103">
        <v>45379.0</v>
      </c>
      <c r="E314" s="102" t="s">
        <v>672</v>
      </c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98">
        <v>217.0</v>
      </c>
      <c r="B315" s="102" t="s">
        <v>673</v>
      </c>
      <c r="C315" s="48" t="s">
        <v>94</v>
      </c>
      <c r="D315" s="103">
        <v>45379.0</v>
      </c>
      <c r="E315" s="102" t="s">
        <v>674</v>
      </c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98">
        <v>218.0</v>
      </c>
      <c r="B316" s="102" t="s">
        <v>675</v>
      </c>
      <c r="C316" s="48" t="s">
        <v>95</v>
      </c>
      <c r="D316" s="103">
        <v>45440.0</v>
      </c>
      <c r="E316" s="102" t="s">
        <v>676</v>
      </c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98">
        <v>219.0</v>
      </c>
      <c r="B317" s="102" t="s">
        <v>677</v>
      </c>
      <c r="C317" s="48" t="s">
        <v>95</v>
      </c>
      <c r="D317" s="103">
        <v>45441.0</v>
      </c>
      <c r="E317" s="102" t="s">
        <v>678</v>
      </c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98">
        <v>220.0</v>
      </c>
      <c r="B318" s="102" t="s">
        <v>679</v>
      </c>
      <c r="C318" s="48" t="s">
        <v>95</v>
      </c>
      <c r="D318" s="103">
        <v>45497.0</v>
      </c>
      <c r="E318" s="102" t="s">
        <v>680</v>
      </c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98">
        <v>221.0</v>
      </c>
      <c r="B319" s="102" t="s">
        <v>681</v>
      </c>
      <c r="C319" s="48" t="s">
        <v>94</v>
      </c>
      <c r="D319" s="103">
        <v>45520.0</v>
      </c>
      <c r="E319" s="102" t="s">
        <v>682</v>
      </c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98">
        <v>222.0</v>
      </c>
      <c r="B320" s="104" t="s">
        <v>683</v>
      </c>
      <c r="C320" s="105" t="s">
        <v>95</v>
      </c>
      <c r="D320" s="105" t="s">
        <v>684</v>
      </c>
      <c r="E320" s="104" t="s">
        <v>685</v>
      </c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98">
        <v>223.0</v>
      </c>
      <c r="B321" s="104" t="s">
        <v>686</v>
      </c>
      <c r="C321" s="105" t="s">
        <v>95</v>
      </c>
      <c r="D321" s="105" t="s">
        <v>687</v>
      </c>
      <c r="E321" s="104" t="s">
        <v>688</v>
      </c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98">
        <v>224.0</v>
      </c>
      <c r="B322" s="104" t="s">
        <v>689</v>
      </c>
      <c r="C322" s="105" t="s">
        <v>94</v>
      </c>
      <c r="D322" s="105" t="s">
        <v>690</v>
      </c>
      <c r="E322" s="104" t="s">
        <v>691</v>
      </c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98">
        <v>225.0</v>
      </c>
      <c r="B323" s="104" t="s">
        <v>692</v>
      </c>
      <c r="C323" s="105" t="s">
        <v>95</v>
      </c>
      <c r="D323" s="105" t="s">
        <v>693</v>
      </c>
      <c r="E323" s="104" t="s">
        <v>694</v>
      </c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98">
        <v>226.0</v>
      </c>
      <c r="B324" s="104" t="s">
        <v>695</v>
      </c>
      <c r="C324" s="105" t="s">
        <v>94</v>
      </c>
      <c r="D324" s="105" t="s">
        <v>696</v>
      </c>
      <c r="E324" s="104" t="s">
        <v>697</v>
      </c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98">
        <v>227.0</v>
      </c>
      <c r="B325" s="104" t="s">
        <v>698</v>
      </c>
      <c r="C325" s="105" t="s">
        <v>95</v>
      </c>
      <c r="D325" s="105" t="s">
        <v>699</v>
      </c>
      <c r="E325" s="104" t="s">
        <v>700</v>
      </c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98">
        <v>228.0</v>
      </c>
      <c r="B326" s="104" t="s">
        <v>701</v>
      </c>
      <c r="C326" s="105" t="s">
        <v>94</v>
      </c>
      <c r="D326" s="105" t="s">
        <v>550</v>
      </c>
      <c r="E326" s="104" t="s">
        <v>702</v>
      </c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98">
        <v>229.0</v>
      </c>
      <c r="B327" s="104" t="s">
        <v>703</v>
      </c>
      <c r="C327" s="105" t="s">
        <v>94</v>
      </c>
      <c r="D327" s="105" t="s">
        <v>704</v>
      </c>
      <c r="E327" s="104" t="s">
        <v>705</v>
      </c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98">
        <v>230.0</v>
      </c>
      <c r="B328" s="104" t="s">
        <v>706</v>
      </c>
      <c r="C328" s="105" t="s">
        <v>94</v>
      </c>
      <c r="D328" s="105" t="s">
        <v>270</v>
      </c>
      <c r="E328" s="104" t="s">
        <v>707</v>
      </c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98">
        <v>231.0</v>
      </c>
      <c r="B329" s="104" t="s">
        <v>708</v>
      </c>
      <c r="C329" s="105" t="s">
        <v>95</v>
      </c>
      <c r="D329" s="105" t="s">
        <v>709</v>
      </c>
      <c r="E329" s="104" t="s">
        <v>710</v>
      </c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98">
        <v>232.0</v>
      </c>
      <c r="B330" s="104" t="s">
        <v>711</v>
      </c>
      <c r="C330" s="105" t="s">
        <v>95</v>
      </c>
      <c r="D330" s="105" t="s">
        <v>712</v>
      </c>
      <c r="E330" s="104" t="s">
        <v>713</v>
      </c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98">
        <v>233.0</v>
      </c>
      <c r="B331" s="104" t="s">
        <v>714</v>
      </c>
      <c r="C331" s="105" t="s">
        <v>95</v>
      </c>
      <c r="D331" s="105" t="s">
        <v>712</v>
      </c>
      <c r="E331" s="104" t="s">
        <v>713</v>
      </c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98">
        <v>234.0</v>
      </c>
      <c r="B332" s="104" t="s">
        <v>715</v>
      </c>
      <c r="C332" s="105" t="s">
        <v>94</v>
      </c>
      <c r="D332" s="105" t="s">
        <v>716</v>
      </c>
      <c r="E332" s="104" t="s">
        <v>717</v>
      </c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98">
        <v>235.0</v>
      </c>
      <c r="B333" s="104" t="s">
        <v>718</v>
      </c>
      <c r="C333" s="105" t="s">
        <v>94</v>
      </c>
      <c r="D333" s="105" t="s">
        <v>719</v>
      </c>
      <c r="E333" s="104" t="s">
        <v>720</v>
      </c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98">
        <v>236.0</v>
      </c>
      <c r="B334" s="104" t="s">
        <v>721</v>
      </c>
      <c r="C334" s="105" t="s">
        <v>95</v>
      </c>
      <c r="D334" s="105" t="s">
        <v>722</v>
      </c>
      <c r="E334" s="104" t="s">
        <v>723</v>
      </c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98">
        <v>237.0</v>
      </c>
      <c r="B335" s="104" t="s">
        <v>724</v>
      </c>
      <c r="C335" s="105" t="s">
        <v>95</v>
      </c>
      <c r="D335" s="105" t="s">
        <v>725</v>
      </c>
      <c r="E335" s="104" t="s">
        <v>726</v>
      </c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98">
        <v>238.0</v>
      </c>
      <c r="B336" s="104" t="s">
        <v>727</v>
      </c>
      <c r="C336" s="105" t="s">
        <v>95</v>
      </c>
      <c r="D336" s="105" t="s">
        <v>728</v>
      </c>
      <c r="E336" s="104" t="s">
        <v>729</v>
      </c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98">
        <v>239.0</v>
      </c>
      <c r="B337" s="104" t="s">
        <v>730</v>
      </c>
      <c r="C337" s="105" t="s">
        <v>95</v>
      </c>
      <c r="D337" s="105" t="s">
        <v>731</v>
      </c>
      <c r="E337" s="104" t="s">
        <v>732</v>
      </c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98">
        <v>240.0</v>
      </c>
      <c r="B338" s="104" t="s">
        <v>733</v>
      </c>
      <c r="C338" s="105" t="s">
        <v>95</v>
      </c>
      <c r="D338" s="105" t="s">
        <v>734</v>
      </c>
      <c r="E338" s="104" t="s">
        <v>735</v>
      </c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98">
        <v>241.0</v>
      </c>
      <c r="B339" s="104" t="s">
        <v>736</v>
      </c>
      <c r="C339" s="105" t="s">
        <v>94</v>
      </c>
      <c r="D339" s="105" t="s">
        <v>737</v>
      </c>
      <c r="E339" s="104" t="s">
        <v>738</v>
      </c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98">
        <v>242.0</v>
      </c>
      <c r="B340" s="104" t="s">
        <v>739</v>
      </c>
      <c r="C340" s="105" t="s">
        <v>740</v>
      </c>
      <c r="D340" s="105" t="s">
        <v>741</v>
      </c>
      <c r="E340" s="104" t="s">
        <v>742</v>
      </c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98">
        <v>243.0</v>
      </c>
      <c r="B341" s="104" t="s">
        <v>743</v>
      </c>
      <c r="C341" s="105" t="s">
        <v>740</v>
      </c>
      <c r="D341" s="105" t="s">
        <v>744</v>
      </c>
      <c r="E341" s="104" t="s">
        <v>745</v>
      </c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98">
        <v>244.0</v>
      </c>
      <c r="B342" s="104" t="s">
        <v>746</v>
      </c>
      <c r="C342" s="105" t="s">
        <v>94</v>
      </c>
      <c r="D342" s="105" t="s">
        <v>747</v>
      </c>
      <c r="E342" s="104" t="s">
        <v>748</v>
      </c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98">
        <v>245.0</v>
      </c>
      <c r="B343" s="104" t="s">
        <v>749</v>
      </c>
      <c r="C343" s="105" t="s">
        <v>94</v>
      </c>
      <c r="D343" s="105" t="s">
        <v>750</v>
      </c>
      <c r="E343" s="104" t="s">
        <v>751</v>
      </c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98">
        <v>246.0</v>
      </c>
      <c r="B344" s="104" t="s">
        <v>752</v>
      </c>
      <c r="C344" s="105" t="s">
        <v>94</v>
      </c>
      <c r="D344" s="105" t="s">
        <v>753</v>
      </c>
      <c r="E344" s="104" t="s">
        <v>754</v>
      </c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98">
        <v>247.0</v>
      </c>
      <c r="B345" s="104" t="s">
        <v>755</v>
      </c>
      <c r="C345" s="105" t="s">
        <v>95</v>
      </c>
      <c r="D345" s="105" t="s">
        <v>756</v>
      </c>
      <c r="E345" s="104" t="s">
        <v>757</v>
      </c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98">
        <v>248.0</v>
      </c>
      <c r="B346" s="104" t="s">
        <v>758</v>
      </c>
      <c r="C346" s="105" t="s">
        <v>94</v>
      </c>
      <c r="D346" s="105" t="s">
        <v>759</v>
      </c>
      <c r="E346" s="104" t="s">
        <v>760</v>
      </c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98">
        <v>249.0</v>
      </c>
      <c r="B347" s="49" t="s">
        <v>761</v>
      </c>
      <c r="C347" s="49" t="s">
        <v>94</v>
      </c>
      <c r="D347" s="113">
        <v>44247.0</v>
      </c>
      <c r="E347" s="49" t="s">
        <v>762</v>
      </c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98">
        <v>250.0</v>
      </c>
      <c r="B348" s="102" t="s">
        <v>763</v>
      </c>
      <c r="C348" s="102" t="s">
        <v>94</v>
      </c>
      <c r="D348" s="114">
        <v>44250.0</v>
      </c>
      <c r="E348" s="102" t="s">
        <v>764</v>
      </c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98">
        <v>251.0</v>
      </c>
      <c r="B349" s="102" t="s">
        <v>765</v>
      </c>
      <c r="C349" s="102" t="s">
        <v>94</v>
      </c>
      <c r="D349" s="114">
        <v>44252.0</v>
      </c>
      <c r="E349" s="102" t="s">
        <v>766</v>
      </c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98">
        <v>252.0</v>
      </c>
      <c r="B350" s="102" t="s">
        <v>767</v>
      </c>
      <c r="C350" s="102" t="s">
        <v>95</v>
      </c>
      <c r="D350" s="114">
        <v>44256.0</v>
      </c>
      <c r="E350" s="102" t="s">
        <v>768</v>
      </c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98">
        <v>253.0</v>
      </c>
      <c r="B351" s="102" t="s">
        <v>769</v>
      </c>
      <c r="C351" s="102" t="s">
        <v>95</v>
      </c>
      <c r="D351" s="114">
        <v>44313.0</v>
      </c>
      <c r="E351" s="102" t="s">
        <v>770</v>
      </c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98">
        <v>254.0</v>
      </c>
      <c r="B352" s="102" t="s">
        <v>769</v>
      </c>
      <c r="C352" s="102" t="s">
        <v>95</v>
      </c>
      <c r="D352" s="114">
        <v>44313.0</v>
      </c>
      <c r="E352" s="102" t="s">
        <v>770</v>
      </c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98">
        <v>255.0</v>
      </c>
      <c r="B353" s="102" t="s">
        <v>771</v>
      </c>
      <c r="C353" s="102" t="s">
        <v>94</v>
      </c>
      <c r="D353" s="114">
        <v>44328.0</v>
      </c>
      <c r="E353" s="102" t="s">
        <v>772</v>
      </c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98">
        <v>256.0</v>
      </c>
      <c r="B354" s="102" t="s">
        <v>773</v>
      </c>
      <c r="C354" s="102" t="s">
        <v>94</v>
      </c>
      <c r="D354" s="114">
        <v>44426.0</v>
      </c>
      <c r="E354" s="102" t="s">
        <v>774</v>
      </c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98">
        <v>257.0</v>
      </c>
      <c r="B355" s="102" t="s">
        <v>775</v>
      </c>
      <c r="C355" s="102" t="s">
        <v>94</v>
      </c>
      <c r="D355" s="114">
        <v>44426.0</v>
      </c>
      <c r="E355" s="102" t="s">
        <v>776</v>
      </c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98">
        <v>258.0</v>
      </c>
      <c r="B356" s="102" t="s">
        <v>777</v>
      </c>
      <c r="C356" s="102" t="s">
        <v>94</v>
      </c>
      <c r="D356" s="114">
        <v>44518.0</v>
      </c>
      <c r="E356" s="102" t="s">
        <v>778</v>
      </c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98">
        <v>259.0</v>
      </c>
      <c r="B357" s="102" t="s">
        <v>779</v>
      </c>
      <c r="C357" s="102" t="s">
        <v>95</v>
      </c>
      <c r="D357" s="114">
        <v>44608.0</v>
      </c>
      <c r="E357" s="102" t="s">
        <v>780</v>
      </c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98">
        <v>260.0</v>
      </c>
      <c r="B358" s="102" t="s">
        <v>779</v>
      </c>
      <c r="C358" s="102" t="s">
        <v>95</v>
      </c>
      <c r="D358" s="114">
        <v>44608.0</v>
      </c>
      <c r="E358" s="102" t="s">
        <v>780</v>
      </c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98">
        <v>261.0</v>
      </c>
      <c r="B359" s="102" t="s">
        <v>781</v>
      </c>
      <c r="C359" s="102" t="s">
        <v>95</v>
      </c>
      <c r="D359" s="114">
        <v>44608.0</v>
      </c>
      <c r="E359" s="102" t="s">
        <v>782</v>
      </c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98">
        <v>262.0</v>
      </c>
      <c r="B360" s="102" t="s">
        <v>783</v>
      </c>
      <c r="C360" s="102" t="s">
        <v>94</v>
      </c>
      <c r="D360" s="114">
        <v>44651.0</v>
      </c>
      <c r="E360" s="102" t="s">
        <v>784</v>
      </c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98">
        <v>263.0</v>
      </c>
      <c r="B361" s="102" t="s">
        <v>785</v>
      </c>
      <c r="C361" s="102" t="s">
        <v>95</v>
      </c>
      <c r="D361" s="114">
        <v>44652.0</v>
      </c>
      <c r="E361" s="102" t="s">
        <v>786</v>
      </c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98">
        <v>264.0</v>
      </c>
      <c r="B362" s="102" t="s">
        <v>787</v>
      </c>
      <c r="C362" s="102" t="s">
        <v>94</v>
      </c>
      <c r="D362" s="114">
        <v>44659.0</v>
      </c>
      <c r="E362" s="102" t="s">
        <v>788</v>
      </c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98">
        <v>265.0</v>
      </c>
      <c r="B363" s="102" t="s">
        <v>789</v>
      </c>
      <c r="C363" s="102" t="s">
        <v>95</v>
      </c>
      <c r="D363" s="114">
        <v>44674.0</v>
      </c>
      <c r="E363" s="102" t="s">
        <v>790</v>
      </c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98">
        <v>266.0</v>
      </c>
      <c r="B364" s="102" t="s">
        <v>791</v>
      </c>
      <c r="C364" s="102" t="s">
        <v>94</v>
      </c>
      <c r="D364" s="114">
        <v>44695.0</v>
      </c>
      <c r="E364" s="102" t="s">
        <v>792</v>
      </c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98">
        <v>267.0</v>
      </c>
      <c r="B365" s="102" t="s">
        <v>793</v>
      </c>
      <c r="C365" s="102" t="s">
        <v>94</v>
      </c>
      <c r="D365" s="114">
        <v>44701.0</v>
      </c>
      <c r="E365" s="102" t="s">
        <v>794</v>
      </c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98">
        <v>268.0</v>
      </c>
      <c r="B366" s="102" t="s">
        <v>795</v>
      </c>
      <c r="C366" s="102" t="s">
        <v>94</v>
      </c>
      <c r="D366" s="114">
        <v>44726.0</v>
      </c>
      <c r="E366" s="102" t="s">
        <v>796</v>
      </c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98">
        <v>269.0</v>
      </c>
      <c r="B367" s="102" t="s">
        <v>797</v>
      </c>
      <c r="C367" s="102" t="s">
        <v>95</v>
      </c>
      <c r="D367" s="114">
        <v>44729.0</v>
      </c>
      <c r="E367" s="102" t="s">
        <v>798</v>
      </c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98">
        <v>270.0</v>
      </c>
      <c r="B368" s="102" t="s">
        <v>799</v>
      </c>
      <c r="C368" s="102" t="s">
        <v>94</v>
      </c>
      <c r="D368" s="114">
        <v>44768.0</v>
      </c>
      <c r="E368" s="102" t="s">
        <v>800</v>
      </c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98">
        <v>271.0</v>
      </c>
      <c r="B369" s="102" t="s">
        <v>801</v>
      </c>
      <c r="C369" s="102" t="s">
        <v>94</v>
      </c>
      <c r="D369" s="114">
        <v>44888.0</v>
      </c>
      <c r="E369" s="102" t="s">
        <v>802</v>
      </c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98">
        <v>272.0</v>
      </c>
      <c r="B370" s="102" t="s">
        <v>803</v>
      </c>
      <c r="C370" s="102" t="s">
        <v>95</v>
      </c>
      <c r="D370" s="114">
        <v>44938.0</v>
      </c>
      <c r="E370" s="102" t="s">
        <v>804</v>
      </c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98">
        <v>273.0</v>
      </c>
      <c r="B371" s="102" t="s">
        <v>805</v>
      </c>
      <c r="C371" s="102" t="s">
        <v>95</v>
      </c>
      <c r="D371" s="114">
        <v>44969.0</v>
      </c>
      <c r="E371" s="102" t="s">
        <v>806</v>
      </c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98">
        <v>274.0</v>
      </c>
      <c r="B372" s="102" t="s">
        <v>807</v>
      </c>
      <c r="C372" s="102" t="s">
        <v>95</v>
      </c>
      <c r="D372" s="114">
        <v>44985.0</v>
      </c>
      <c r="E372" s="102" t="s">
        <v>808</v>
      </c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98">
        <v>275.0</v>
      </c>
      <c r="B373" s="102" t="s">
        <v>809</v>
      </c>
      <c r="C373" s="102" t="s">
        <v>95</v>
      </c>
      <c r="D373" s="114">
        <v>45031.0</v>
      </c>
      <c r="E373" s="102" t="s">
        <v>810</v>
      </c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98">
        <v>276.0</v>
      </c>
      <c r="B374" s="102" t="s">
        <v>811</v>
      </c>
      <c r="C374" s="102" t="s">
        <v>95</v>
      </c>
      <c r="D374" s="114">
        <v>45060.0</v>
      </c>
      <c r="E374" s="102" t="s">
        <v>812</v>
      </c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98">
        <v>277.0</v>
      </c>
      <c r="B375" s="102" t="s">
        <v>813</v>
      </c>
      <c r="C375" s="102" t="s">
        <v>94</v>
      </c>
      <c r="D375" s="114">
        <v>45135.0</v>
      </c>
      <c r="E375" s="102" t="s">
        <v>814</v>
      </c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98">
        <v>278.0</v>
      </c>
      <c r="B376" s="102" t="s">
        <v>815</v>
      </c>
      <c r="C376" s="102" t="s">
        <v>95</v>
      </c>
      <c r="D376" s="114">
        <v>45156.0</v>
      </c>
      <c r="E376" s="102" t="s">
        <v>816</v>
      </c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98">
        <v>279.0</v>
      </c>
      <c r="B377" s="102" t="s">
        <v>817</v>
      </c>
      <c r="C377" s="102" t="s">
        <v>94</v>
      </c>
      <c r="D377" s="114">
        <v>45249.0</v>
      </c>
      <c r="E377" s="102" t="s">
        <v>818</v>
      </c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98">
        <v>280.0</v>
      </c>
      <c r="B378" s="102" t="s">
        <v>819</v>
      </c>
      <c r="C378" s="102" t="s">
        <v>94</v>
      </c>
      <c r="D378" s="114">
        <v>45262.0</v>
      </c>
      <c r="E378" s="102" t="s">
        <v>820</v>
      </c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98">
        <v>281.0</v>
      </c>
      <c r="B379" s="102" t="s">
        <v>821</v>
      </c>
      <c r="C379" s="102" t="s">
        <v>94</v>
      </c>
      <c r="D379" s="114">
        <v>45299.0</v>
      </c>
      <c r="E379" s="102" t="s">
        <v>822</v>
      </c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98">
        <v>282.0</v>
      </c>
      <c r="B380" s="102" t="s">
        <v>823</v>
      </c>
      <c r="C380" s="102" t="s">
        <v>94</v>
      </c>
      <c r="D380" s="114">
        <v>45301.0</v>
      </c>
      <c r="E380" s="102" t="s">
        <v>824</v>
      </c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98">
        <v>283.0</v>
      </c>
      <c r="B381" s="102" t="s">
        <v>825</v>
      </c>
      <c r="C381" s="102" t="s">
        <v>95</v>
      </c>
      <c r="D381" s="114">
        <v>45318.0</v>
      </c>
      <c r="E381" s="102" t="s">
        <v>826</v>
      </c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98">
        <v>284.0</v>
      </c>
      <c r="B382" s="102" t="s">
        <v>827</v>
      </c>
      <c r="C382" s="102" t="s">
        <v>94</v>
      </c>
      <c r="D382" s="114">
        <v>45352.0</v>
      </c>
      <c r="E382" s="102" t="s">
        <v>828</v>
      </c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98">
        <v>285.0</v>
      </c>
      <c r="B383" s="102" t="s">
        <v>829</v>
      </c>
      <c r="C383" s="102" t="s">
        <v>95</v>
      </c>
      <c r="D383" s="114">
        <v>45397.0</v>
      </c>
      <c r="E383" s="102" t="s">
        <v>830</v>
      </c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98">
        <v>286.0</v>
      </c>
      <c r="B384" s="102" t="s">
        <v>831</v>
      </c>
      <c r="C384" s="102" t="s">
        <v>94</v>
      </c>
      <c r="D384" s="114">
        <v>45489.0</v>
      </c>
      <c r="E384" s="102" t="s">
        <v>832</v>
      </c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98">
        <v>287.0</v>
      </c>
      <c r="B385" s="102" t="s">
        <v>833</v>
      </c>
      <c r="C385" s="102" t="s">
        <v>94</v>
      </c>
      <c r="D385" s="114">
        <v>45507.0</v>
      </c>
      <c r="E385" s="102" t="s">
        <v>834</v>
      </c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98">
        <v>288.0</v>
      </c>
      <c r="B386" s="102" t="s">
        <v>835</v>
      </c>
      <c r="C386" s="102" t="s">
        <v>94</v>
      </c>
      <c r="D386" s="114">
        <v>45660.0</v>
      </c>
      <c r="E386" s="102" t="s">
        <v>836</v>
      </c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98">
        <v>289.0</v>
      </c>
      <c r="B387" s="102" t="s">
        <v>837</v>
      </c>
      <c r="C387" s="102" t="s">
        <v>94</v>
      </c>
      <c r="D387" s="114">
        <v>45713.0</v>
      </c>
      <c r="E387" s="102" t="s">
        <v>838</v>
      </c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98">
        <v>290.0</v>
      </c>
      <c r="B388" s="102" t="s">
        <v>839</v>
      </c>
      <c r="C388" s="102" t="s">
        <v>95</v>
      </c>
      <c r="D388" s="114">
        <v>45744.0</v>
      </c>
      <c r="E388" s="102" t="s">
        <v>840</v>
      </c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98">
        <v>291.0</v>
      </c>
      <c r="B389" s="102" t="s">
        <v>841</v>
      </c>
      <c r="C389" s="102" t="s">
        <v>95</v>
      </c>
      <c r="D389" s="114">
        <v>45744.0</v>
      </c>
      <c r="E389" s="102" t="s">
        <v>842</v>
      </c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98">
        <v>292.0</v>
      </c>
      <c r="B390" s="102" t="s">
        <v>843</v>
      </c>
      <c r="C390" s="102" t="s">
        <v>95</v>
      </c>
      <c r="D390" s="114">
        <v>45772.0</v>
      </c>
      <c r="E390" s="102" t="s">
        <v>844</v>
      </c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98">
        <v>293.0</v>
      </c>
      <c r="B391" s="102" t="s">
        <v>845</v>
      </c>
      <c r="C391" s="102" t="s">
        <v>94</v>
      </c>
      <c r="D391" s="114">
        <v>45827.0</v>
      </c>
      <c r="E391" s="102" t="s">
        <v>846</v>
      </c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98">
        <v>294.0</v>
      </c>
      <c r="B392" s="109" t="s">
        <v>847</v>
      </c>
      <c r="C392" s="109" t="s">
        <v>94</v>
      </c>
      <c r="D392" s="109" t="s">
        <v>848</v>
      </c>
      <c r="E392" s="109" t="s">
        <v>509</v>
      </c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98">
        <v>295.0</v>
      </c>
      <c r="B393" s="104" t="s">
        <v>849</v>
      </c>
      <c r="C393" s="104" t="s">
        <v>95</v>
      </c>
      <c r="D393" s="104" t="s">
        <v>850</v>
      </c>
      <c r="E393" s="104" t="s">
        <v>851</v>
      </c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98">
        <v>296.0</v>
      </c>
      <c r="B394" s="104" t="s">
        <v>852</v>
      </c>
      <c r="C394" s="104" t="s">
        <v>94</v>
      </c>
      <c r="D394" s="104" t="s">
        <v>853</v>
      </c>
      <c r="E394" s="104" t="s">
        <v>854</v>
      </c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98">
        <v>297.0</v>
      </c>
      <c r="B395" s="104" t="s">
        <v>855</v>
      </c>
      <c r="C395" s="104" t="s">
        <v>95</v>
      </c>
      <c r="D395" s="104" t="s">
        <v>856</v>
      </c>
      <c r="E395" s="104" t="s">
        <v>857</v>
      </c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98">
        <v>298.0</v>
      </c>
      <c r="B396" s="104" t="s">
        <v>855</v>
      </c>
      <c r="C396" s="104" t="s">
        <v>95</v>
      </c>
      <c r="D396" s="104" t="s">
        <v>856</v>
      </c>
      <c r="E396" s="104" t="s">
        <v>858</v>
      </c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98">
        <v>299.0</v>
      </c>
      <c r="B397" s="104" t="s">
        <v>859</v>
      </c>
      <c r="C397" s="104" t="s">
        <v>94</v>
      </c>
      <c r="D397" s="104" t="s">
        <v>860</v>
      </c>
      <c r="E397" s="104" t="s">
        <v>861</v>
      </c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86" t="s">
        <v>862</v>
      </c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88" t="s">
        <v>33</v>
      </c>
      <c r="B401" s="88" t="s">
        <v>863</v>
      </c>
      <c r="C401" s="88" t="s">
        <v>196</v>
      </c>
      <c r="D401" s="88" t="s">
        <v>197</v>
      </c>
      <c r="E401" s="55" t="s">
        <v>198</v>
      </c>
      <c r="F401" s="7"/>
      <c r="G401" s="55" t="s">
        <v>864</v>
      </c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7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8"/>
      <c r="B402" s="8"/>
      <c r="C402" s="8"/>
      <c r="D402" s="8"/>
      <c r="E402" s="91" t="s">
        <v>81</v>
      </c>
      <c r="F402" s="91" t="s">
        <v>200</v>
      </c>
      <c r="G402" s="91" t="s">
        <v>117</v>
      </c>
      <c r="H402" s="91" t="s">
        <v>118</v>
      </c>
      <c r="I402" s="91" t="s">
        <v>119</v>
      </c>
      <c r="J402" s="91" t="s">
        <v>120</v>
      </c>
      <c r="K402" s="91" t="s">
        <v>100</v>
      </c>
      <c r="L402" s="91" t="s">
        <v>121</v>
      </c>
      <c r="M402" s="91" t="s">
        <v>122</v>
      </c>
      <c r="N402" s="91" t="s">
        <v>123</v>
      </c>
      <c r="O402" s="91" t="s">
        <v>124</v>
      </c>
      <c r="P402" s="91" t="s">
        <v>125</v>
      </c>
      <c r="Q402" s="91" t="s">
        <v>126</v>
      </c>
      <c r="R402" s="98" t="s">
        <v>127</v>
      </c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92">
        <v>1.0</v>
      </c>
      <c r="B403" s="92">
        <v>2.0</v>
      </c>
      <c r="C403" s="92">
        <v>3.0</v>
      </c>
      <c r="D403" s="92">
        <v>4.0</v>
      </c>
      <c r="E403" s="92">
        <v>5.0</v>
      </c>
      <c r="F403" s="92">
        <v>6.0</v>
      </c>
      <c r="G403" s="92">
        <v>7.0</v>
      </c>
      <c r="H403" s="92">
        <v>8.0</v>
      </c>
      <c r="I403" s="92">
        <v>9.0</v>
      </c>
      <c r="J403" s="92">
        <v>10.0</v>
      </c>
      <c r="K403" s="92">
        <v>11.0</v>
      </c>
      <c r="L403" s="92">
        <v>12.0</v>
      </c>
      <c r="M403" s="92">
        <v>13.0</v>
      </c>
      <c r="N403" s="92">
        <v>14.0</v>
      </c>
      <c r="O403" s="92">
        <v>15.0</v>
      </c>
      <c r="P403" s="92">
        <v>16.0</v>
      </c>
      <c r="Q403" s="92">
        <v>17.0</v>
      </c>
      <c r="R403" s="92">
        <v>18.0</v>
      </c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98">
        <v>1.0</v>
      </c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98">
        <v>2.0</v>
      </c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98">
        <v>3.0</v>
      </c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98">
        <v>4.0</v>
      </c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98">
        <v>5.0</v>
      </c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98">
        <v>6.0</v>
      </c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98">
        <v>7.0</v>
      </c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98">
        <v>8.0</v>
      </c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98">
        <v>9.0</v>
      </c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86" t="s">
        <v>865</v>
      </c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88" t="s">
        <v>33</v>
      </c>
      <c r="B415" s="88" t="s">
        <v>198</v>
      </c>
      <c r="C415" s="88" t="s">
        <v>196</v>
      </c>
      <c r="D415" s="88" t="s">
        <v>197</v>
      </c>
      <c r="E415" s="55" t="s">
        <v>198</v>
      </c>
      <c r="F415" s="7"/>
      <c r="G415" s="55" t="s">
        <v>866</v>
      </c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7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8"/>
      <c r="B416" s="8"/>
      <c r="C416" s="8"/>
      <c r="D416" s="8"/>
      <c r="E416" s="91" t="s">
        <v>81</v>
      </c>
      <c r="F416" s="91" t="s">
        <v>200</v>
      </c>
      <c r="G416" s="91" t="s">
        <v>117</v>
      </c>
      <c r="H416" s="91" t="s">
        <v>118</v>
      </c>
      <c r="I416" s="91" t="s">
        <v>119</v>
      </c>
      <c r="J416" s="91" t="s">
        <v>120</v>
      </c>
      <c r="K416" s="91" t="s">
        <v>100</v>
      </c>
      <c r="L416" s="91" t="s">
        <v>121</v>
      </c>
      <c r="M416" s="91" t="s">
        <v>122</v>
      </c>
      <c r="N416" s="91" t="s">
        <v>123</v>
      </c>
      <c r="O416" s="91" t="s">
        <v>124</v>
      </c>
      <c r="P416" s="91" t="s">
        <v>125</v>
      </c>
      <c r="Q416" s="91" t="s">
        <v>126</v>
      </c>
      <c r="R416" s="98" t="s">
        <v>127</v>
      </c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92">
        <v>1.0</v>
      </c>
      <c r="B417" s="92">
        <v>2.0</v>
      </c>
      <c r="C417" s="92">
        <v>3.0</v>
      </c>
      <c r="D417" s="92">
        <v>4.0</v>
      </c>
      <c r="E417" s="92">
        <v>5.0</v>
      </c>
      <c r="F417" s="92">
        <v>6.0</v>
      </c>
      <c r="G417" s="92">
        <v>7.0</v>
      </c>
      <c r="H417" s="92">
        <v>8.0</v>
      </c>
      <c r="I417" s="92">
        <v>9.0</v>
      </c>
      <c r="J417" s="92">
        <v>10.0</v>
      </c>
      <c r="K417" s="92">
        <v>11.0</v>
      </c>
      <c r="L417" s="92">
        <v>12.0</v>
      </c>
      <c r="M417" s="92">
        <v>13.0</v>
      </c>
      <c r="N417" s="92">
        <v>14.0</v>
      </c>
      <c r="O417" s="92">
        <v>15.0</v>
      </c>
      <c r="P417" s="92">
        <v>16.0</v>
      </c>
      <c r="Q417" s="92">
        <v>17.0</v>
      </c>
      <c r="R417" s="92">
        <v>18.0</v>
      </c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98">
        <v>1.0</v>
      </c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98">
        <v>2.0</v>
      </c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98">
        <v>3.0</v>
      </c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98">
        <v>4.0</v>
      </c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98">
        <v>5.0</v>
      </c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98">
        <v>6.0</v>
      </c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98">
        <v>7.0</v>
      </c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98">
        <v>8.0</v>
      </c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98">
        <v>9.0</v>
      </c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98">
        <v>10.0</v>
      </c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98">
        <v>11.0</v>
      </c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98">
        <v>12.0</v>
      </c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98">
        <v>13.0</v>
      </c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98">
        <v>14.0</v>
      </c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98">
        <v>15.0</v>
      </c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98">
        <v>16.0</v>
      </c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98">
        <v>17.0</v>
      </c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98">
        <v>18.0</v>
      </c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98">
        <v>19.0</v>
      </c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98">
        <v>20.0</v>
      </c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98">
        <v>21.0</v>
      </c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98">
        <v>22.0</v>
      </c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98">
        <v>23.0</v>
      </c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</row>
    <row r="125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</row>
    <row r="125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</row>
    <row r="125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</row>
    <row r="125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</row>
    <row r="1257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</row>
    <row r="125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</row>
    <row r="1259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</row>
    <row r="1260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</row>
    <row r="126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</row>
    <row r="126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</row>
    <row r="126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</row>
    <row r="1264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</row>
    <row r="126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</row>
    <row r="126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</row>
    <row r="1267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</row>
    <row r="126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</row>
    <row r="1269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</row>
    <row r="1270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</row>
    <row r="127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</row>
    <row r="127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</row>
    <row r="127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</row>
    <row r="1274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</row>
    <row r="127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</row>
    <row r="127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</row>
    <row r="1277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</row>
    <row r="127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</row>
    <row r="1279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</row>
    <row r="1280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</row>
    <row r="128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</row>
    <row r="128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</row>
    <row r="128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</row>
    <row r="1284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</row>
    <row r="128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</row>
    <row r="128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</row>
    <row r="1287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</row>
    <row r="128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</row>
    <row r="1289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</row>
    <row r="1290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</row>
    <row r="129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</row>
    <row r="129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</row>
    <row r="129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</row>
    <row r="1294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</row>
    <row r="129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</row>
    <row r="129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</row>
    <row r="1297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</row>
    <row r="129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</row>
    <row r="1299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</row>
    <row r="1300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</row>
    <row r="130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</row>
  </sheetData>
  <autoFilter ref="$A$31:$P$63">
    <sortState ref="A31:P63">
      <sortCondition ref="A31:A63"/>
      <sortCondition ref="B31:B63"/>
    </sortState>
  </autoFilter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E7:F7"/>
    <mergeCell ref="G7:H7"/>
    <mergeCell ref="B4:B8"/>
    <mergeCell ref="C7:D7"/>
    <mergeCell ref="A24:C24"/>
    <mergeCell ref="A28:D28"/>
    <mergeCell ref="A29:A30"/>
    <mergeCell ref="B29:D29"/>
    <mergeCell ref="A95:C95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I7:J7"/>
    <mergeCell ref="K7:L7"/>
    <mergeCell ref="E29:P29"/>
    <mergeCell ref="A96:A97"/>
    <mergeCell ref="B96:B97"/>
    <mergeCell ref="C96:C97"/>
    <mergeCell ref="D96:D97"/>
    <mergeCell ref="E96:F96"/>
    <mergeCell ref="G96:R96"/>
    <mergeCell ref="A414:C414"/>
    <mergeCell ref="A415:A416"/>
    <mergeCell ref="B415:B416"/>
    <mergeCell ref="C415:C416"/>
    <mergeCell ref="D415:D416"/>
    <mergeCell ref="E415:F415"/>
    <mergeCell ref="G415:R415"/>
    <mergeCell ref="A400:C400"/>
    <mergeCell ref="A401:A402"/>
    <mergeCell ref="B401:B402"/>
    <mergeCell ref="C401:C402"/>
    <mergeCell ref="D401:D402"/>
    <mergeCell ref="E401:F401"/>
    <mergeCell ref="G401:R40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5.63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867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7" t="s">
        <v>33</v>
      </c>
      <c r="B4" s="57" t="s">
        <v>71</v>
      </c>
      <c r="C4" s="56" t="s">
        <v>868</v>
      </c>
      <c r="D4" s="51"/>
      <c r="E4" s="7"/>
      <c r="F4" s="115" t="s">
        <v>869</v>
      </c>
      <c r="G4" s="56" t="s">
        <v>870</v>
      </c>
      <c r="H4" s="51"/>
      <c r="I4" s="51"/>
      <c r="J4" s="51"/>
      <c r="K4" s="51"/>
      <c r="L4" s="51"/>
      <c r="M4" s="51"/>
      <c r="N4" s="7"/>
      <c r="O4" s="56" t="s">
        <v>871</v>
      </c>
      <c r="P4" s="51"/>
      <c r="Q4" s="51"/>
      <c r="R4" s="51"/>
      <c r="S4" s="51"/>
      <c r="T4" s="51"/>
      <c r="U4" s="51"/>
      <c r="V4" s="51"/>
      <c r="W4" s="51"/>
      <c r="X4" s="51"/>
      <c r="Y4" s="51"/>
      <c r="Z4" s="7"/>
      <c r="AA4" s="116" t="s">
        <v>872</v>
      </c>
      <c r="AB4" s="117" t="s">
        <v>873</v>
      </c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9" t="s">
        <v>874</v>
      </c>
      <c r="BA4" s="51"/>
      <c r="BB4" s="51"/>
      <c r="BC4" s="7"/>
      <c r="BD4" s="57" t="s">
        <v>875</v>
      </c>
    </row>
    <row r="5">
      <c r="A5" s="66"/>
      <c r="B5" s="66"/>
      <c r="C5" s="118" t="s">
        <v>68</v>
      </c>
      <c r="D5" s="118" t="s">
        <v>876</v>
      </c>
      <c r="E5" s="118" t="s">
        <v>877</v>
      </c>
      <c r="F5" s="66"/>
      <c r="G5" s="118" t="s">
        <v>878</v>
      </c>
      <c r="H5" s="118" t="s">
        <v>879</v>
      </c>
      <c r="I5" s="118" t="s">
        <v>880</v>
      </c>
      <c r="J5" s="118" t="s">
        <v>881</v>
      </c>
      <c r="K5" s="118" t="s">
        <v>882</v>
      </c>
      <c r="L5" s="118" t="s">
        <v>883</v>
      </c>
      <c r="M5" s="118" t="s">
        <v>884</v>
      </c>
      <c r="N5" s="118" t="s">
        <v>885</v>
      </c>
      <c r="O5" s="119" t="s">
        <v>886</v>
      </c>
      <c r="P5" s="62"/>
      <c r="Q5" s="119" t="s">
        <v>887</v>
      </c>
      <c r="R5" s="62"/>
      <c r="S5" s="119" t="s">
        <v>888</v>
      </c>
      <c r="T5" s="62"/>
      <c r="U5" s="119" t="s">
        <v>889</v>
      </c>
      <c r="V5" s="62"/>
      <c r="W5" s="119" t="s">
        <v>890</v>
      </c>
      <c r="X5" s="62"/>
      <c r="Y5" s="119" t="s">
        <v>891</v>
      </c>
      <c r="Z5" s="62"/>
      <c r="AA5" s="66"/>
      <c r="AB5" s="119" t="s">
        <v>892</v>
      </c>
      <c r="AC5" s="62"/>
      <c r="AD5" s="119" t="s">
        <v>893</v>
      </c>
      <c r="AE5" s="61"/>
      <c r="AF5" s="61"/>
      <c r="AG5" s="61"/>
      <c r="AH5" s="61"/>
      <c r="AI5" s="62"/>
      <c r="AJ5" s="119" t="s">
        <v>894</v>
      </c>
      <c r="AK5" s="61"/>
      <c r="AL5" s="61"/>
      <c r="AM5" s="61"/>
      <c r="AN5" s="61"/>
      <c r="AO5" s="61"/>
      <c r="AP5" s="61"/>
      <c r="AQ5" s="62"/>
      <c r="AR5" s="119" t="s">
        <v>895</v>
      </c>
      <c r="AS5" s="62"/>
      <c r="AT5" s="119" t="s">
        <v>896</v>
      </c>
      <c r="AU5" s="61"/>
      <c r="AV5" s="61"/>
      <c r="AW5" s="61"/>
      <c r="AX5" s="61"/>
      <c r="AY5" s="62"/>
      <c r="AZ5" s="119" t="s">
        <v>68</v>
      </c>
      <c r="BA5" s="62"/>
      <c r="BB5" s="119" t="s">
        <v>897</v>
      </c>
      <c r="BC5" s="62"/>
      <c r="BD5" s="66"/>
    </row>
    <row r="6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58"/>
      <c r="P6" s="64"/>
      <c r="Q6" s="58"/>
      <c r="R6" s="64"/>
      <c r="S6" s="58"/>
      <c r="T6" s="64"/>
      <c r="U6" s="58"/>
      <c r="V6" s="64"/>
      <c r="W6" s="58"/>
      <c r="X6" s="64"/>
      <c r="Y6" s="58"/>
      <c r="Z6" s="64"/>
      <c r="AA6" s="66"/>
      <c r="AB6" s="58"/>
      <c r="AC6" s="64"/>
      <c r="AD6" s="67"/>
      <c r="AE6" s="68"/>
      <c r="AF6" s="68"/>
      <c r="AG6" s="68"/>
      <c r="AH6" s="68"/>
      <c r="AI6" s="69"/>
      <c r="AJ6" s="67"/>
      <c r="AK6" s="68"/>
      <c r="AL6" s="68"/>
      <c r="AM6" s="68"/>
      <c r="AN6" s="68"/>
      <c r="AO6" s="68"/>
      <c r="AP6" s="68"/>
      <c r="AQ6" s="69"/>
      <c r="AR6" s="58"/>
      <c r="AS6" s="64"/>
      <c r="AT6" s="67"/>
      <c r="AU6" s="68"/>
      <c r="AV6" s="68"/>
      <c r="AW6" s="68"/>
      <c r="AX6" s="68"/>
      <c r="AY6" s="69"/>
      <c r="AZ6" s="58"/>
      <c r="BA6" s="64"/>
      <c r="BB6" s="58"/>
      <c r="BC6" s="64"/>
      <c r="BD6" s="66"/>
    </row>
    <row r="7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58"/>
      <c r="P7" s="64"/>
      <c r="Q7" s="58"/>
      <c r="R7" s="64"/>
      <c r="S7" s="58"/>
      <c r="T7" s="64"/>
      <c r="U7" s="58"/>
      <c r="V7" s="64"/>
      <c r="W7" s="58"/>
      <c r="X7" s="64"/>
      <c r="Y7" s="58"/>
      <c r="Z7" s="64"/>
      <c r="AA7" s="66"/>
      <c r="AB7" s="58"/>
      <c r="AC7" s="64"/>
      <c r="AD7" s="119" t="s">
        <v>898</v>
      </c>
      <c r="AE7" s="62"/>
      <c r="AF7" s="119" t="s">
        <v>899</v>
      </c>
      <c r="AG7" s="62"/>
      <c r="AH7" s="119" t="s">
        <v>900</v>
      </c>
      <c r="AI7" s="62"/>
      <c r="AJ7" s="119" t="s">
        <v>898</v>
      </c>
      <c r="AK7" s="62"/>
      <c r="AL7" s="119" t="s">
        <v>899</v>
      </c>
      <c r="AM7" s="62"/>
      <c r="AN7" s="119" t="s">
        <v>900</v>
      </c>
      <c r="AO7" s="62"/>
      <c r="AP7" s="119" t="s">
        <v>901</v>
      </c>
      <c r="AQ7" s="62"/>
      <c r="AR7" s="58"/>
      <c r="AS7" s="64"/>
      <c r="AT7" s="119" t="s">
        <v>898</v>
      </c>
      <c r="AU7" s="62"/>
      <c r="AV7" s="119" t="s">
        <v>899</v>
      </c>
      <c r="AW7" s="62"/>
      <c r="AX7" s="119" t="s">
        <v>900</v>
      </c>
      <c r="AY7" s="62"/>
      <c r="AZ7" s="58"/>
      <c r="BA7" s="64"/>
      <c r="BB7" s="58"/>
      <c r="BC7" s="64"/>
      <c r="BD7" s="66"/>
    </row>
    <row r="8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58"/>
      <c r="P8" s="64"/>
      <c r="Q8" s="67"/>
      <c r="R8" s="69"/>
      <c r="S8" s="67"/>
      <c r="T8" s="69"/>
      <c r="U8" s="67"/>
      <c r="V8" s="69"/>
      <c r="W8" s="67"/>
      <c r="X8" s="69"/>
      <c r="Y8" s="67"/>
      <c r="Z8" s="69"/>
      <c r="AA8" s="8"/>
      <c r="AB8" s="67"/>
      <c r="AC8" s="69"/>
      <c r="AD8" s="67"/>
      <c r="AE8" s="69"/>
      <c r="AF8" s="67"/>
      <c r="AG8" s="69"/>
      <c r="AH8" s="67"/>
      <c r="AI8" s="69"/>
      <c r="AJ8" s="67"/>
      <c r="AK8" s="69"/>
      <c r="AL8" s="67"/>
      <c r="AM8" s="69"/>
      <c r="AN8" s="67"/>
      <c r="AO8" s="69"/>
      <c r="AP8" s="67"/>
      <c r="AQ8" s="69"/>
      <c r="AR8" s="67"/>
      <c r="AS8" s="69"/>
      <c r="AT8" s="67"/>
      <c r="AU8" s="69"/>
      <c r="AV8" s="67"/>
      <c r="AW8" s="69"/>
      <c r="AX8" s="67"/>
      <c r="AY8" s="69"/>
      <c r="AZ8" s="67"/>
      <c r="BA8" s="69"/>
      <c r="BB8" s="67"/>
      <c r="BC8" s="69"/>
      <c r="BD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120" t="s">
        <v>94</v>
      </c>
      <c r="P9" s="120" t="s">
        <v>95</v>
      </c>
      <c r="Q9" s="121" t="s">
        <v>94</v>
      </c>
      <c r="R9" s="121" t="s">
        <v>95</v>
      </c>
      <c r="S9" s="121" t="s">
        <v>94</v>
      </c>
      <c r="T9" s="121" t="s">
        <v>95</v>
      </c>
      <c r="U9" s="121" t="s">
        <v>94</v>
      </c>
      <c r="V9" s="121" t="s">
        <v>95</v>
      </c>
      <c r="W9" s="121" t="s">
        <v>94</v>
      </c>
      <c r="X9" s="121" t="s">
        <v>95</v>
      </c>
      <c r="Y9" s="121" t="s">
        <v>94</v>
      </c>
      <c r="Z9" s="121" t="s">
        <v>95</v>
      </c>
      <c r="AA9" s="23"/>
      <c r="AB9" s="121" t="s">
        <v>94</v>
      </c>
      <c r="AC9" s="121" t="s">
        <v>95</v>
      </c>
      <c r="AD9" s="121" t="s">
        <v>94</v>
      </c>
      <c r="AE9" s="121" t="s">
        <v>95</v>
      </c>
      <c r="AF9" s="121" t="s">
        <v>94</v>
      </c>
      <c r="AG9" s="121" t="s">
        <v>95</v>
      </c>
      <c r="AH9" s="121" t="s">
        <v>94</v>
      </c>
      <c r="AI9" s="121" t="s">
        <v>95</v>
      </c>
      <c r="AJ9" s="121" t="s">
        <v>94</v>
      </c>
      <c r="AK9" s="121" t="s">
        <v>95</v>
      </c>
      <c r="AL9" s="121" t="s">
        <v>94</v>
      </c>
      <c r="AM9" s="121" t="s">
        <v>95</v>
      </c>
      <c r="AN9" s="121" t="s">
        <v>94</v>
      </c>
      <c r="AO9" s="121" t="s">
        <v>95</v>
      </c>
      <c r="AP9" s="121" t="s">
        <v>94</v>
      </c>
      <c r="AQ9" s="121" t="s">
        <v>95</v>
      </c>
      <c r="AR9" s="121" t="s">
        <v>94</v>
      </c>
      <c r="AS9" s="121" t="s">
        <v>95</v>
      </c>
      <c r="AT9" s="121" t="s">
        <v>94</v>
      </c>
      <c r="AU9" s="121" t="s">
        <v>95</v>
      </c>
      <c r="AV9" s="121" t="s">
        <v>94</v>
      </c>
      <c r="AW9" s="121" t="s">
        <v>95</v>
      </c>
      <c r="AX9" s="121" t="s">
        <v>94</v>
      </c>
      <c r="AY9" s="121" t="s">
        <v>95</v>
      </c>
      <c r="AZ9" s="121" t="s">
        <v>94</v>
      </c>
      <c r="BA9" s="121" t="s">
        <v>95</v>
      </c>
      <c r="BB9" s="121" t="s">
        <v>94</v>
      </c>
      <c r="BC9" s="121" t="s">
        <v>95</v>
      </c>
      <c r="BD9" s="23"/>
    </row>
    <row r="10">
      <c r="A10" s="74">
        <v>1.0</v>
      </c>
      <c r="B10" s="75">
        <v>2.0</v>
      </c>
      <c r="C10" s="75">
        <v>3.0</v>
      </c>
      <c r="D10" s="75">
        <v>4.0</v>
      </c>
      <c r="E10" s="75">
        <v>5.0</v>
      </c>
      <c r="F10" s="75">
        <v>6.0</v>
      </c>
      <c r="G10" s="75">
        <v>7.0</v>
      </c>
      <c r="H10" s="75">
        <v>8.0</v>
      </c>
      <c r="I10" s="75">
        <v>9.0</v>
      </c>
      <c r="J10" s="75">
        <v>10.0</v>
      </c>
      <c r="K10" s="75">
        <v>11.0</v>
      </c>
      <c r="L10" s="75">
        <v>12.0</v>
      </c>
      <c r="M10" s="75">
        <v>13.0</v>
      </c>
      <c r="N10" s="75">
        <v>14.0</v>
      </c>
      <c r="O10" s="75">
        <v>15.0</v>
      </c>
      <c r="P10" s="75">
        <v>16.0</v>
      </c>
      <c r="Q10" s="75">
        <v>17.0</v>
      </c>
      <c r="R10" s="75">
        <v>18.0</v>
      </c>
      <c r="S10" s="75">
        <v>19.0</v>
      </c>
      <c r="T10" s="75">
        <v>20.0</v>
      </c>
      <c r="U10" s="75">
        <v>21.0</v>
      </c>
      <c r="V10" s="75">
        <v>22.0</v>
      </c>
      <c r="W10" s="75">
        <v>23.0</v>
      </c>
      <c r="X10" s="75">
        <v>24.0</v>
      </c>
      <c r="Y10" s="75">
        <v>25.0</v>
      </c>
      <c r="Z10" s="75">
        <v>26.0</v>
      </c>
      <c r="AA10" s="75">
        <v>27.0</v>
      </c>
      <c r="AB10" s="75">
        <v>28.0</v>
      </c>
      <c r="AC10" s="75">
        <v>29.0</v>
      </c>
      <c r="AD10" s="75">
        <v>30.0</v>
      </c>
      <c r="AE10" s="75">
        <v>31.0</v>
      </c>
      <c r="AF10" s="75">
        <v>32.0</v>
      </c>
      <c r="AG10" s="75">
        <v>33.0</v>
      </c>
      <c r="AH10" s="75">
        <v>34.0</v>
      </c>
      <c r="AI10" s="75">
        <v>35.0</v>
      </c>
      <c r="AJ10" s="75">
        <v>36.0</v>
      </c>
      <c r="AK10" s="75">
        <v>37.0</v>
      </c>
      <c r="AL10" s="75">
        <v>38.0</v>
      </c>
      <c r="AM10" s="75">
        <v>39.0</v>
      </c>
      <c r="AN10" s="75">
        <v>40.0</v>
      </c>
      <c r="AO10" s="75">
        <v>41.0</v>
      </c>
      <c r="AP10" s="75">
        <v>42.0</v>
      </c>
      <c r="AQ10" s="75">
        <v>43.0</v>
      </c>
      <c r="AR10" s="75">
        <v>44.0</v>
      </c>
      <c r="AS10" s="75">
        <v>45.0</v>
      </c>
      <c r="AT10" s="75">
        <v>46.0</v>
      </c>
      <c r="AU10" s="75">
        <v>47.0</v>
      </c>
      <c r="AV10" s="75">
        <v>48.0</v>
      </c>
      <c r="AW10" s="75">
        <v>49.0</v>
      </c>
      <c r="AX10" s="75">
        <v>50.0</v>
      </c>
      <c r="AY10" s="75">
        <v>51.0</v>
      </c>
      <c r="AZ10" s="75">
        <v>52.0</v>
      </c>
      <c r="BA10" s="75">
        <v>53.0</v>
      </c>
      <c r="BB10" s="75">
        <v>54.0</v>
      </c>
      <c r="BC10" s="75">
        <v>55.0</v>
      </c>
      <c r="BD10" s="75">
        <v>56.0</v>
      </c>
    </row>
    <row r="11">
      <c r="A11" s="71">
        <v>1.0</v>
      </c>
      <c r="B11" s="122" t="s">
        <v>96</v>
      </c>
      <c r="C11" s="80">
        <v>21.0</v>
      </c>
      <c r="D11" s="80">
        <v>21.0</v>
      </c>
      <c r="E11" s="80">
        <v>21.0</v>
      </c>
      <c r="F11" s="80">
        <v>8.0</v>
      </c>
      <c r="G11" s="79">
        <v>24.0</v>
      </c>
      <c r="H11" s="79">
        <v>126.0</v>
      </c>
      <c r="I11" s="79">
        <v>145.0</v>
      </c>
      <c r="J11" s="80">
        <v>0.0</v>
      </c>
      <c r="K11" s="80">
        <v>21.0</v>
      </c>
      <c r="L11" s="80">
        <v>80.0</v>
      </c>
      <c r="M11" s="80">
        <v>190.0</v>
      </c>
      <c r="N11" s="80">
        <v>204.0</v>
      </c>
      <c r="O11" s="80">
        <v>160.0</v>
      </c>
      <c r="P11" s="80">
        <v>139.0</v>
      </c>
      <c r="Q11" s="80">
        <v>160.0</v>
      </c>
      <c r="R11" s="80">
        <v>139.0</v>
      </c>
      <c r="S11" s="80">
        <v>160.0</v>
      </c>
      <c r="T11" s="80">
        <v>139.0</v>
      </c>
      <c r="U11" s="80"/>
      <c r="V11" s="80"/>
      <c r="W11" s="80">
        <v>160.0</v>
      </c>
      <c r="X11" s="80">
        <v>139.0</v>
      </c>
      <c r="Y11" s="80"/>
      <c r="Z11" s="80"/>
      <c r="AA11" s="8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23"/>
    </row>
    <row r="12">
      <c r="A12" s="71">
        <v>2.0</v>
      </c>
      <c r="B12" s="122" t="s">
        <v>97</v>
      </c>
      <c r="C12" s="80">
        <v>21.0</v>
      </c>
      <c r="D12" s="80">
        <v>21.0</v>
      </c>
      <c r="E12" s="80">
        <v>21.0</v>
      </c>
      <c r="F12" s="80">
        <v>8.0</v>
      </c>
      <c r="G12" s="79">
        <v>24.0</v>
      </c>
      <c r="H12" s="79">
        <v>126.0</v>
      </c>
      <c r="I12" s="79">
        <v>145.0</v>
      </c>
      <c r="J12" s="80">
        <v>0.0</v>
      </c>
      <c r="K12" s="80">
        <v>21.0</v>
      </c>
      <c r="L12" s="80">
        <v>80.0</v>
      </c>
      <c r="M12" s="80">
        <v>190.0</v>
      </c>
      <c r="N12" s="80">
        <v>204.0</v>
      </c>
      <c r="O12" s="80">
        <v>160.0</v>
      </c>
      <c r="P12" s="80">
        <v>139.0</v>
      </c>
      <c r="Q12" s="80">
        <v>160.0</v>
      </c>
      <c r="R12" s="80">
        <v>139.0</v>
      </c>
      <c r="S12" s="80">
        <v>160.0</v>
      </c>
      <c r="T12" s="80">
        <v>139.0</v>
      </c>
      <c r="U12" s="80"/>
      <c r="V12" s="80"/>
      <c r="W12" s="80">
        <v>160.0</v>
      </c>
      <c r="X12" s="80">
        <v>139.0</v>
      </c>
      <c r="Y12" s="80"/>
      <c r="Z12" s="80"/>
      <c r="AA12" s="8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23"/>
    </row>
    <row r="13">
      <c r="A13" s="71">
        <v>3.0</v>
      </c>
      <c r="B13" s="122" t="s">
        <v>98</v>
      </c>
      <c r="C13" s="80">
        <v>21.0</v>
      </c>
      <c r="D13" s="80">
        <v>21.0</v>
      </c>
      <c r="E13" s="80">
        <v>21.0</v>
      </c>
      <c r="F13" s="80">
        <v>8.0</v>
      </c>
      <c r="G13" s="79">
        <v>24.0</v>
      </c>
      <c r="H13" s="79">
        <v>126.0</v>
      </c>
      <c r="I13" s="79">
        <v>145.0</v>
      </c>
      <c r="J13" s="80">
        <v>0.0</v>
      </c>
      <c r="K13" s="80">
        <v>21.0</v>
      </c>
      <c r="L13" s="80">
        <v>80.0</v>
      </c>
      <c r="M13" s="80">
        <v>190.0</v>
      </c>
      <c r="N13" s="80">
        <v>204.0</v>
      </c>
      <c r="O13" s="80">
        <v>160.0</v>
      </c>
      <c r="P13" s="80">
        <v>139.0</v>
      </c>
      <c r="Q13" s="80">
        <v>160.0</v>
      </c>
      <c r="R13" s="80">
        <v>139.0</v>
      </c>
      <c r="S13" s="80">
        <v>160.0</v>
      </c>
      <c r="T13" s="80">
        <v>139.0</v>
      </c>
      <c r="U13" s="80"/>
      <c r="V13" s="80"/>
      <c r="W13" s="80">
        <v>160.0</v>
      </c>
      <c r="X13" s="80">
        <v>139.0</v>
      </c>
      <c r="Y13" s="80"/>
      <c r="Z13" s="80"/>
      <c r="AA13" s="8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23"/>
    </row>
    <row r="14">
      <c r="A14" s="71">
        <v>4.0</v>
      </c>
      <c r="B14" s="122" t="s">
        <v>99</v>
      </c>
      <c r="C14" s="80">
        <v>21.0</v>
      </c>
      <c r="D14" s="80">
        <v>21.0</v>
      </c>
      <c r="E14" s="80">
        <v>21.0</v>
      </c>
      <c r="F14" s="80">
        <v>8.0</v>
      </c>
      <c r="G14" s="79">
        <v>24.0</v>
      </c>
      <c r="H14" s="79">
        <v>126.0</v>
      </c>
      <c r="I14" s="79">
        <v>145.0</v>
      </c>
      <c r="J14" s="80">
        <v>0.0</v>
      </c>
      <c r="K14" s="80">
        <v>21.0</v>
      </c>
      <c r="L14" s="80">
        <v>80.0</v>
      </c>
      <c r="M14" s="80">
        <v>190.0</v>
      </c>
      <c r="N14" s="80">
        <v>204.0</v>
      </c>
      <c r="O14" s="80">
        <v>160.0</v>
      </c>
      <c r="P14" s="80">
        <v>139.0</v>
      </c>
      <c r="Q14" s="80">
        <v>160.0</v>
      </c>
      <c r="R14" s="80">
        <v>139.0</v>
      </c>
      <c r="S14" s="80">
        <v>160.0</v>
      </c>
      <c r="T14" s="80">
        <v>139.0</v>
      </c>
      <c r="U14" s="80"/>
      <c r="V14" s="80"/>
      <c r="W14" s="80">
        <v>160.0</v>
      </c>
      <c r="X14" s="80">
        <v>139.0</v>
      </c>
      <c r="Y14" s="80"/>
      <c r="Z14" s="80"/>
      <c r="AA14" s="8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23"/>
    </row>
    <row r="15">
      <c r="A15" s="71">
        <v>5.0</v>
      </c>
      <c r="B15" s="122" t="s">
        <v>100</v>
      </c>
      <c r="C15" s="80">
        <v>21.0</v>
      </c>
      <c r="D15" s="80">
        <v>21.0</v>
      </c>
      <c r="E15" s="80">
        <v>21.0</v>
      </c>
      <c r="F15" s="80">
        <v>8.0</v>
      </c>
      <c r="G15" s="79">
        <v>24.0</v>
      </c>
      <c r="H15" s="79">
        <v>126.0</v>
      </c>
      <c r="I15" s="79">
        <v>145.0</v>
      </c>
      <c r="J15" s="80">
        <v>0.0</v>
      </c>
      <c r="K15" s="80">
        <v>21.0</v>
      </c>
      <c r="L15" s="80">
        <v>80.0</v>
      </c>
      <c r="M15" s="80">
        <v>190.0</v>
      </c>
      <c r="N15" s="80">
        <v>204.0</v>
      </c>
      <c r="O15" s="80">
        <v>160.0</v>
      </c>
      <c r="P15" s="80">
        <v>139.0</v>
      </c>
      <c r="Q15" s="80">
        <v>160.0</v>
      </c>
      <c r="R15" s="80">
        <v>139.0</v>
      </c>
      <c r="S15" s="80">
        <v>160.0</v>
      </c>
      <c r="T15" s="80">
        <v>139.0</v>
      </c>
      <c r="U15" s="80"/>
      <c r="V15" s="80"/>
      <c r="W15" s="80">
        <v>160.0</v>
      </c>
      <c r="X15" s="80">
        <v>139.0</v>
      </c>
      <c r="Y15" s="80"/>
      <c r="Z15" s="80"/>
      <c r="AA15" s="8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23"/>
    </row>
    <row r="16">
      <c r="A16" s="71">
        <v>6.0</v>
      </c>
      <c r="B16" s="122" t="s">
        <v>101</v>
      </c>
      <c r="C16" s="80"/>
      <c r="D16" s="80"/>
      <c r="E16" s="80"/>
      <c r="F16" s="79"/>
      <c r="G16" s="80"/>
      <c r="H16" s="79"/>
      <c r="I16" s="79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23"/>
    </row>
    <row r="17">
      <c r="A17" s="71">
        <v>7.0</v>
      </c>
      <c r="B17" s="122" t="s">
        <v>102</v>
      </c>
      <c r="C17" s="80"/>
      <c r="D17" s="80"/>
      <c r="E17" s="80"/>
      <c r="F17" s="79"/>
      <c r="G17" s="79"/>
      <c r="H17" s="79"/>
      <c r="I17" s="79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23"/>
    </row>
    <row r="18">
      <c r="A18" s="71">
        <v>8.0</v>
      </c>
      <c r="B18" s="122" t="s">
        <v>103</v>
      </c>
      <c r="C18" s="40"/>
      <c r="D18" s="40"/>
      <c r="E18" s="40"/>
      <c r="F18" s="79"/>
      <c r="G18" s="79"/>
      <c r="H18" s="79"/>
      <c r="I18" s="79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23"/>
    </row>
    <row r="19">
      <c r="A19" s="71">
        <v>9.0</v>
      </c>
      <c r="B19" s="122" t="s">
        <v>104</v>
      </c>
      <c r="C19" s="80"/>
      <c r="D19" s="80"/>
      <c r="E19" s="80"/>
      <c r="F19" s="79"/>
      <c r="G19" s="79"/>
      <c r="H19" s="79"/>
      <c r="I19" s="79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40"/>
      <c r="AK19" s="40"/>
      <c r="AL19" s="40"/>
      <c r="AM19" s="40"/>
      <c r="AN19" s="80"/>
      <c r="AO19" s="40"/>
      <c r="AP19" s="40"/>
      <c r="AQ19" s="40"/>
      <c r="AR19" s="4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23"/>
    </row>
    <row r="20">
      <c r="A20" s="71">
        <v>10.0</v>
      </c>
      <c r="B20" s="122" t="s">
        <v>105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</row>
    <row r="21">
      <c r="A21" s="71">
        <v>11.0</v>
      </c>
      <c r="B21" s="122" t="s">
        <v>106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</row>
    <row r="22">
      <c r="A22" s="71">
        <v>12.0</v>
      </c>
      <c r="B22" s="122" t="s">
        <v>107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68</v>
      </c>
      <c r="C24" s="82">
        <f t="shared" ref="C24:BD24" si="1">SUM(C11:C22)</f>
        <v>105</v>
      </c>
      <c r="D24" s="82">
        <f t="shared" si="1"/>
        <v>105</v>
      </c>
      <c r="E24" s="82">
        <f t="shared" si="1"/>
        <v>105</v>
      </c>
      <c r="F24" s="82">
        <f t="shared" si="1"/>
        <v>40</v>
      </c>
      <c r="G24" s="82">
        <f t="shared" si="1"/>
        <v>120</v>
      </c>
      <c r="H24" s="82">
        <f t="shared" si="1"/>
        <v>630</v>
      </c>
      <c r="I24" s="82">
        <f t="shared" si="1"/>
        <v>725</v>
      </c>
      <c r="J24" s="82">
        <f t="shared" si="1"/>
        <v>0</v>
      </c>
      <c r="K24" s="82">
        <f t="shared" si="1"/>
        <v>105</v>
      </c>
      <c r="L24" s="82">
        <f t="shared" si="1"/>
        <v>400</v>
      </c>
      <c r="M24" s="82">
        <f t="shared" si="1"/>
        <v>950</v>
      </c>
      <c r="N24" s="82">
        <f t="shared" si="1"/>
        <v>1020</v>
      </c>
      <c r="O24" s="82">
        <f t="shared" si="1"/>
        <v>800</v>
      </c>
      <c r="P24" s="82">
        <f t="shared" si="1"/>
        <v>695</v>
      </c>
      <c r="Q24" s="82">
        <f t="shared" si="1"/>
        <v>800</v>
      </c>
      <c r="R24" s="82">
        <f t="shared" si="1"/>
        <v>695</v>
      </c>
      <c r="S24" s="82">
        <f t="shared" si="1"/>
        <v>800</v>
      </c>
      <c r="T24" s="82">
        <f t="shared" si="1"/>
        <v>695</v>
      </c>
      <c r="U24" s="82">
        <f t="shared" si="1"/>
        <v>0</v>
      </c>
      <c r="V24" s="82">
        <f t="shared" si="1"/>
        <v>0</v>
      </c>
      <c r="W24" s="82">
        <f t="shared" si="1"/>
        <v>800</v>
      </c>
      <c r="X24" s="82">
        <f t="shared" si="1"/>
        <v>695</v>
      </c>
      <c r="Y24" s="82">
        <f t="shared" si="1"/>
        <v>0</v>
      </c>
      <c r="Z24" s="82">
        <f t="shared" si="1"/>
        <v>0</v>
      </c>
      <c r="AA24" s="82">
        <f t="shared" si="1"/>
        <v>0</v>
      </c>
      <c r="AB24" s="82">
        <f t="shared" si="1"/>
        <v>0</v>
      </c>
      <c r="AC24" s="82">
        <f t="shared" si="1"/>
        <v>0</v>
      </c>
      <c r="AD24" s="82">
        <f t="shared" si="1"/>
        <v>0</v>
      </c>
      <c r="AE24" s="82">
        <f t="shared" si="1"/>
        <v>0</v>
      </c>
      <c r="AF24" s="82">
        <f t="shared" si="1"/>
        <v>0</v>
      </c>
      <c r="AG24" s="82">
        <f t="shared" si="1"/>
        <v>0</v>
      </c>
      <c r="AH24" s="82">
        <f t="shared" si="1"/>
        <v>0</v>
      </c>
      <c r="AI24" s="82">
        <f t="shared" si="1"/>
        <v>0</v>
      </c>
      <c r="AJ24" s="82">
        <f t="shared" si="1"/>
        <v>0</v>
      </c>
      <c r="AK24" s="82">
        <f t="shared" si="1"/>
        <v>0</v>
      </c>
      <c r="AL24" s="82">
        <f t="shared" si="1"/>
        <v>0</v>
      </c>
      <c r="AM24" s="82">
        <f t="shared" si="1"/>
        <v>0</v>
      </c>
      <c r="AN24" s="82">
        <f t="shared" si="1"/>
        <v>0</v>
      </c>
      <c r="AO24" s="82">
        <f t="shared" si="1"/>
        <v>0</v>
      </c>
      <c r="AP24" s="82">
        <f t="shared" si="1"/>
        <v>0</v>
      </c>
      <c r="AQ24" s="82">
        <f t="shared" si="1"/>
        <v>0</v>
      </c>
      <c r="AR24" s="82">
        <f t="shared" si="1"/>
        <v>0</v>
      </c>
      <c r="AS24" s="82">
        <f t="shared" si="1"/>
        <v>0</v>
      </c>
      <c r="AT24" s="82">
        <f t="shared" si="1"/>
        <v>0</v>
      </c>
      <c r="AU24" s="82">
        <f t="shared" si="1"/>
        <v>0</v>
      </c>
      <c r="AV24" s="82">
        <f t="shared" si="1"/>
        <v>0</v>
      </c>
      <c r="AW24" s="82">
        <f t="shared" si="1"/>
        <v>0</v>
      </c>
      <c r="AX24" s="82">
        <f t="shared" si="1"/>
        <v>0</v>
      </c>
      <c r="AY24" s="82">
        <f t="shared" si="1"/>
        <v>0</v>
      </c>
      <c r="AZ24" s="82">
        <f t="shared" si="1"/>
        <v>0</v>
      </c>
      <c r="BA24" s="82">
        <f t="shared" si="1"/>
        <v>0</v>
      </c>
      <c r="BB24" s="82">
        <f t="shared" si="1"/>
        <v>0</v>
      </c>
      <c r="BC24" s="82">
        <f t="shared" si="1"/>
        <v>0</v>
      </c>
      <c r="BD24" s="82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3" t="s">
        <v>902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24" t="s">
        <v>903</v>
      </c>
      <c r="B30" s="87"/>
      <c r="C30" s="87"/>
      <c r="D30" s="87"/>
      <c r="E30" s="87"/>
      <c r="F30" s="87"/>
      <c r="G30" s="87"/>
      <c r="H30" s="8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8" t="s">
        <v>904</v>
      </c>
      <c r="B31" s="125" t="s">
        <v>905</v>
      </c>
      <c r="C31" s="125" t="s">
        <v>906</v>
      </c>
      <c r="D31" s="55" t="s">
        <v>907</v>
      </c>
      <c r="E31" s="51"/>
      <c r="F31" s="51"/>
      <c r="G31" s="7"/>
      <c r="H31" s="55" t="s">
        <v>908</v>
      </c>
      <c r="I31" s="51"/>
      <c r="J31" s="51"/>
      <c r="K31" s="51"/>
      <c r="L31" s="51"/>
      <c r="M31" s="51"/>
      <c r="N31" s="7"/>
      <c r="O31" s="55" t="s">
        <v>909</v>
      </c>
      <c r="P31" s="51"/>
      <c r="Q31" s="7"/>
      <c r="R31" s="55" t="s">
        <v>910</v>
      </c>
      <c r="S31" s="51"/>
      <c r="T31" s="7"/>
      <c r="U31" s="89" t="s">
        <v>911</v>
      </c>
      <c r="V31" s="62"/>
      <c r="W31" s="89" t="s">
        <v>912</v>
      </c>
      <c r="X31" s="62"/>
      <c r="Y31" s="126" t="s">
        <v>913</v>
      </c>
      <c r="Z31" s="62"/>
      <c r="AA31" s="127" t="s">
        <v>914</v>
      </c>
      <c r="AB31" s="128" t="s">
        <v>915</v>
      </c>
      <c r="AC31" s="62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6"/>
      <c r="B32" s="66"/>
      <c r="C32" s="66"/>
      <c r="D32" s="55" t="s">
        <v>916</v>
      </c>
      <c r="E32" s="7"/>
      <c r="F32" s="55" t="s">
        <v>917</v>
      </c>
      <c r="G32" s="7"/>
      <c r="H32" s="55" t="s">
        <v>918</v>
      </c>
      <c r="I32" s="7"/>
      <c r="J32" s="55" t="s">
        <v>919</v>
      </c>
      <c r="K32" s="7"/>
      <c r="L32" s="55" t="s">
        <v>920</v>
      </c>
      <c r="M32" s="7"/>
      <c r="N32" s="88" t="s">
        <v>921</v>
      </c>
      <c r="O32" s="127" t="s">
        <v>922</v>
      </c>
      <c r="P32" s="55" t="s">
        <v>923</v>
      </c>
      <c r="Q32" s="7"/>
      <c r="R32" s="127" t="s">
        <v>922</v>
      </c>
      <c r="S32" s="55" t="s">
        <v>924</v>
      </c>
      <c r="T32" s="7"/>
      <c r="U32" s="67"/>
      <c r="V32" s="69"/>
      <c r="W32" s="67"/>
      <c r="X32" s="69"/>
      <c r="Y32" s="129" t="s">
        <v>925</v>
      </c>
      <c r="Z32" s="130"/>
      <c r="AA32" s="131" t="s">
        <v>926</v>
      </c>
      <c r="AB32" s="68"/>
      <c r="AC32" s="69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8"/>
      <c r="B33" s="8"/>
      <c r="C33" s="8"/>
      <c r="D33" s="91" t="s">
        <v>905</v>
      </c>
      <c r="E33" s="91" t="s">
        <v>906</v>
      </c>
      <c r="F33" s="91" t="s">
        <v>905</v>
      </c>
      <c r="G33" s="91" t="s">
        <v>906</v>
      </c>
      <c r="H33" s="91" t="s">
        <v>927</v>
      </c>
      <c r="I33" s="91" t="s">
        <v>928</v>
      </c>
      <c r="J33" s="91" t="s">
        <v>927</v>
      </c>
      <c r="K33" s="91" t="s">
        <v>929</v>
      </c>
      <c r="L33" s="91" t="s">
        <v>927</v>
      </c>
      <c r="M33" s="91" t="s">
        <v>928</v>
      </c>
      <c r="N33" s="8"/>
      <c r="O33" s="132" t="s">
        <v>930</v>
      </c>
      <c r="P33" s="91" t="s">
        <v>931</v>
      </c>
      <c r="Q33" s="91" t="s">
        <v>932</v>
      </c>
      <c r="R33" s="132" t="s">
        <v>933</v>
      </c>
      <c r="S33" s="91" t="s">
        <v>931</v>
      </c>
      <c r="T33" s="91" t="s">
        <v>932</v>
      </c>
      <c r="U33" s="91" t="s">
        <v>934</v>
      </c>
      <c r="V33" s="91" t="s">
        <v>932</v>
      </c>
      <c r="W33" s="91" t="s">
        <v>934</v>
      </c>
      <c r="X33" s="91" t="s">
        <v>932</v>
      </c>
      <c r="Y33" s="91" t="s">
        <v>934</v>
      </c>
      <c r="Z33" s="55" t="s">
        <v>932</v>
      </c>
      <c r="AA33" s="133"/>
      <c r="AB33" s="134" t="s">
        <v>905</v>
      </c>
      <c r="AC33" s="91" t="s">
        <v>935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35">
        <v>1.0</v>
      </c>
      <c r="B34" s="135">
        <v>2.0</v>
      </c>
      <c r="C34" s="136">
        <v>3.0</v>
      </c>
      <c r="D34" s="135">
        <v>4.0</v>
      </c>
      <c r="E34" s="135">
        <v>5.0</v>
      </c>
      <c r="F34" s="135">
        <v>6.0</v>
      </c>
      <c r="G34" s="135">
        <v>7.0</v>
      </c>
      <c r="H34" s="135">
        <v>8.0</v>
      </c>
      <c r="I34" s="137">
        <v>9.0</v>
      </c>
      <c r="J34" s="137">
        <v>10.0</v>
      </c>
      <c r="K34" s="137">
        <v>11.0</v>
      </c>
      <c r="L34" s="137">
        <v>12.0</v>
      </c>
      <c r="M34" s="137">
        <v>13.0</v>
      </c>
      <c r="N34" s="137">
        <v>14.0</v>
      </c>
      <c r="O34" s="138">
        <v>15.0</v>
      </c>
      <c r="P34" s="137">
        <v>16.0</v>
      </c>
      <c r="Q34" s="137">
        <v>17.0</v>
      </c>
      <c r="R34" s="138">
        <v>18.0</v>
      </c>
      <c r="S34" s="137">
        <v>19.0</v>
      </c>
      <c r="T34" s="137">
        <v>20.0</v>
      </c>
      <c r="U34" s="135">
        <v>21.0</v>
      </c>
      <c r="V34" s="135">
        <v>22.0</v>
      </c>
      <c r="W34" s="135">
        <v>23.0</v>
      </c>
      <c r="X34" s="135">
        <v>24.0</v>
      </c>
      <c r="Y34" s="135">
        <v>25.0</v>
      </c>
      <c r="Z34" s="139">
        <v>26.0</v>
      </c>
      <c r="AA34" s="140">
        <v>27.0</v>
      </c>
      <c r="AB34" s="141">
        <v>28.0</v>
      </c>
      <c r="AC34" s="13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42">
        <v>45658.0</v>
      </c>
      <c r="B35" s="143">
        <v>21.0</v>
      </c>
      <c r="C35" s="144">
        <v>299.0</v>
      </c>
      <c r="D35" s="143">
        <v>91.0</v>
      </c>
      <c r="E35" s="143">
        <v>299.0</v>
      </c>
      <c r="F35" s="143">
        <v>21.0</v>
      </c>
      <c r="G35" s="143">
        <v>299.0</v>
      </c>
      <c r="H35" s="102"/>
      <c r="I35" s="145"/>
      <c r="J35" s="145"/>
      <c r="K35" s="145"/>
      <c r="L35" s="145"/>
      <c r="M35" s="145"/>
      <c r="N35" s="145"/>
      <c r="O35" s="95"/>
      <c r="P35" s="95"/>
      <c r="Q35" s="95"/>
      <c r="R35" s="95"/>
      <c r="S35" s="95"/>
      <c r="T35" s="95"/>
      <c r="U35" s="146"/>
      <c r="V35" s="146"/>
      <c r="W35" s="146"/>
      <c r="X35" s="146"/>
      <c r="Y35" s="146"/>
      <c r="Z35" s="146"/>
      <c r="AA35" s="143"/>
      <c r="AB35" s="146"/>
      <c r="AC35" s="146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42">
        <v>45689.0</v>
      </c>
      <c r="B36" s="143">
        <v>21.0</v>
      </c>
      <c r="C36" s="144">
        <v>299.0</v>
      </c>
      <c r="D36" s="143">
        <v>91.0</v>
      </c>
      <c r="E36" s="143">
        <v>299.0</v>
      </c>
      <c r="F36" s="143">
        <v>21.0</v>
      </c>
      <c r="G36" s="143">
        <v>299.0</v>
      </c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42">
        <v>45717.0</v>
      </c>
      <c r="B37" s="143">
        <v>21.0</v>
      </c>
      <c r="C37" s="144">
        <v>299.0</v>
      </c>
      <c r="D37" s="143">
        <v>91.0</v>
      </c>
      <c r="E37" s="143">
        <v>299.0</v>
      </c>
      <c r="F37" s="143">
        <v>21.0</v>
      </c>
      <c r="G37" s="143">
        <v>299.0</v>
      </c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42">
        <v>45748.0</v>
      </c>
      <c r="B38" s="143">
        <v>21.0</v>
      </c>
      <c r="C38" s="144">
        <v>299.0</v>
      </c>
      <c r="D38" s="143">
        <v>91.0</v>
      </c>
      <c r="E38" s="143">
        <v>299.0</v>
      </c>
      <c r="F38" s="143">
        <v>21.0</v>
      </c>
      <c r="G38" s="143">
        <v>299.0</v>
      </c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42">
        <v>45778.0</v>
      </c>
      <c r="B39" s="143">
        <v>21.0</v>
      </c>
      <c r="C39" s="144">
        <v>299.0</v>
      </c>
      <c r="D39" s="143">
        <v>91.0</v>
      </c>
      <c r="E39" s="143">
        <v>299.0</v>
      </c>
      <c r="F39" s="143">
        <v>21.0</v>
      </c>
      <c r="G39" s="143">
        <v>299.0</v>
      </c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42">
        <v>45809.0</v>
      </c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42">
        <v>45839.0</v>
      </c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42">
        <v>45870.0</v>
      </c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42">
        <v>45901.0</v>
      </c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42">
        <v>45931.0</v>
      </c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42">
        <v>45962.0</v>
      </c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42">
        <v>45992.0</v>
      </c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24" t="s">
        <v>936</v>
      </c>
      <c r="B50" s="87"/>
      <c r="C50" s="87"/>
      <c r="D50" s="87"/>
      <c r="E50" s="87"/>
      <c r="F50" s="87"/>
      <c r="G50" s="87"/>
      <c r="H50" s="8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8" t="s">
        <v>904</v>
      </c>
      <c r="B51" s="88" t="s">
        <v>937</v>
      </c>
      <c r="C51" s="88" t="s">
        <v>938</v>
      </c>
      <c r="D51" s="55" t="s">
        <v>907</v>
      </c>
      <c r="E51" s="51"/>
      <c r="F51" s="51"/>
      <c r="G51" s="7"/>
      <c r="H51" s="55" t="s">
        <v>939</v>
      </c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7"/>
      <c r="W51" s="89" t="s">
        <v>940</v>
      </c>
      <c r="X51" s="61"/>
      <c r="Y51" s="61"/>
      <c r="Z51" s="61"/>
      <c r="AA51" s="61"/>
      <c r="AB51" s="61"/>
      <c r="AC51" s="62"/>
      <c r="AD51" s="88" t="s">
        <v>941</v>
      </c>
      <c r="AE51" s="55" t="s">
        <v>942</v>
      </c>
      <c r="AF51" s="7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6"/>
      <c r="B52" s="147" t="s">
        <v>943</v>
      </c>
      <c r="C52" s="147" t="s">
        <v>944</v>
      </c>
      <c r="D52" s="55" t="s">
        <v>916</v>
      </c>
      <c r="E52" s="7"/>
      <c r="F52" s="55" t="s">
        <v>917</v>
      </c>
      <c r="G52" s="7"/>
      <c r="H52" s="55" t="s">
        <v>945</v>
      </c>
      <c r="I52" s="7"/>
      <c r="J52" s="55" t="s">
        <v>946</v>
      </c>
      <c r="K52" s="51"/>
      <c r="L52" s="51"/>
      <c r="M52" s="7"/>
      <c r="N52" s="148" t="s">
        <v>947</v>
      </c>
      <c r="O52" s="7"/>
      <c r="P52" s="55" t="s">
        <v>948</v>
      </c>
      <c r="Q52" s="7"/>
      <c r="R52" s="149" t="s">
        <v>949</v>
      </c>
      <c r="S52" s="7"/>
      <c r="T52" s="117" t="s">
        <v>919</v>
      </c>
      <c r="U52" s="7"/>
      <c r="V52" s="150" t="s">
        <v>921</v>
      </c>
      <c r="W52" s="67"/>
      <c r="X52" s="68"/>
      <c r="Y52" s="68"/>
      <c r="Z52" s="68"/>
      <c r="AA52" s="68"/>
      <c r="AB52" s="68"/>
      <c r="AC52" s="69"/>
      <c r="AD52" s="66"/>
      <c r="AE52" s="108" t="s">
        <v>937</v>
      </c>
      <c r="AF52" s="108" t="s">
        <v>950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 ht="27.75" customHeight="1">
      <c r="A53" s="8"/>
      <c r="B53" s="151"/>
      <c r="C53" s="152" t="s">
        <v>951</v>
      </c>
      <c r="D53" s="153" t="s">
        <v>937</v>
      </c>
      <c r="E53" s="153" t="s">
        <v>952</v>
      </c>
      <c r="F53" s="153" t="s">
        <v>937</v>
      </c>
      <c r="G53" s="153" t="s">
        <v>952</v>
      </c>
      <c r="H53" s="153" t="s">
        <v>953</v>
      </c>
      <c r="I53" s="153" t="s">
        <v>954</v>
      </c>
      <c r="J53" s="153" t="s">
        <v>955</v>
      </c>
      <c r="K53" s="153" t="s">
        <v>956</v>
      </c>
      <c r="L53" s="153" t="s">
        <v>957</v>
      </c>
      <c r="M53" s="153" t="s">
        <v>958</v>
      </c>
      <c r="N53" s="154" t="s">
        <v>959</v>
      </c>
      <c r="O53" s="155" t="s">
        <v>960</v>
      </c>
      <c r="P53" s="153" t="s">
        <v>957</v>
      </c>
      <c r="Q53" s="153" t="s">
        <v>958</v>
      </c>
      <c r="R53" s="156" t="s">
        <v>959</v>
      </c>
      <c r="S53" s="153" t="s">
        <v>960</v>
      </c>
      <c r="T53" s="153" t="s">
        <v>959</v>
      </c>
      <c r="U53" s="153" t="s">
        <v>960</v>
      </c>
      <c r="V53" s="153" t="s">
        <v>961</v>
      </c>
      <c r="W53" s="153" t="s">
        <v>962</v>
      </c>
      <c r="X53" s="153" t="s">
        <v>963</v>
      </c>
      <c r="Y53" s="157" t="s">
        <v>964</v>
      </c>
      <c r="Z53" s="158" t="s">
        <v>965</v>
      </c>
      <c r="AA53" s="159" t="s">
        <v>966</v>
      </c>
      <c r="AB53" s="160" t="s">
        <v>967</v>
      </c>
      <c r="AC53" s="153" t="s">
        <v>968</v>
      </c>
      <c r="AD53" s="8"/>
      <c r="AE53" s="161" t="s">
        <v>969</v>
      </c>
      <c r="AF53" s="161" t="s">
        <v>970</v>
      </c>
      <c r="AG53" s="162"/>
      <c r="AH53" s="162"/>
      <c r="AI53" s="162"/>
      <c r="AJ53" s="162"/>
      <c r="AK53" s="162"/>
      <c r="AL53" s="162"/>
      <c r="AM53" s="162"/>
      <c r="AN53" s="162"/>
      <c r="AO53" s="162"/>
      <c r="AP53" s="162"/>
      <c r="AQ53" s="162"/>
      <c r="AR53" s="162"/>
      <c r="AS53" s="162"/>
      <c r="AT53" s="162"/>
      <c r="AU53" s="162"/>
      <c r="AV53" s="162"/>
      <c r="AW53" s="162"/>
      <c r="AX53" s="162"/>
      <c r="AY53" s="162"/>
      <c r="AZ53" s="162"/>
      <c r="BA53" s="162"/>
      <c r="BB53" s="162"/>
      <c r="BC53" s="162"/>
      <c r="BD53" s="162"/>
    </row>
    <row r="54">
      <c r="A54" s="135">
        <v>1.0</v>
      </c>
      <c r="B54" s="135">
        <v>2.0</v>
      </c>
      <c r="C54" s="136">
        <v>3.0</v>
      </c>
      <c r="D54" s="135">
        <v>4.0</v>
      </c>
      <c r="E54" s="135">
        <v>5.0</v>
      </c>
      <c r="F54" s="135">
        <v>6.0</v>
      </c>
      <c r="G54" s="135">
        <v>7.0</v>
      </c>
      <c r="H54" s="135">
        <v>8.0</v>
      </c>
      <c r="I54" s="137">
        <v>9.0</v>
      </c>
      <c r="J54" s="137">
        <v>10.0</v>
      </c>
      <c r="K54" s="137">
        <v>11.0</v>
      </c>
      <c r="L54" s="137">
        <v>12.0</v>
      </c>
      <c r="M54" s="137">
        <v>13.0</v>
      </c>
      <c r="N54" s="137">
        <v>14.0</v>
      </c>
      <c r="O54" s="138">
        <v>15.0</v>
      </c>
      <c r="P54" s="137">
        <v>16.0</v>
      </c>
      <c r="Q54" s="137">
        <v>17.0</v>
      </c>
      <c r="R54" s="138">
        <v>18.0</v>
      </c>
      <c r="S54" s="137">
        <v>19.0</v>
      </c>
      <c r="T54" s="137">
        <v>20.0</v>
      </c>
      <c r="U54" s="135">
        <v>21.0</v>
      </c>
      <c r="V54" s="135">
        <v>22.0</v>
      </c>
      <c r="W54" s="135">
        <v>23.0</v>
      </c>
      <c r="X54" s="135">
        <v>24.0</v>
      </c>
      <c r="Y54" s="135">
        <v>25.0</v>
      </c>
      <c r="Z54" s="139">
        <v>26.0</v>
      </c>
      <c r="AA54" s="140">
        <v>27.0</v>
      </c>
      <c r="AB54" s="141">
        <v>28.0</v>
      </c>
      <c r="AC54" s="135">
        <v>29.0</v>
      </c>
      <c r="AD54" s="135">
        <v>30.0</v>
      </c>
      <c r="AE54" s="135">
        <v>31.0</v>
      </c>
      <c r="AF54" s="13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42">
        <v>45658.0</v>
      </c>
      <c r="B55" s="143">
        <v>53.0</v>
      </c>
      <c r="C55" s="144">
        <v>299.0</v>
      </c>
      <c r="D55" s="143">
        <v>53.0</v>
      </c>
      <c r="E55" s="143">
        <v>232.0</v>
      </c>
      <c r="F55" s="143">
        <v>0.0</v>
      </c>
      <c r="G55" s="146">
        <f t="shared" ref="G55:G59" si="2">C55-E55</f>
        <v>67</v>
      </c>
      <c r="H55" s="146">
        <f t="shared" ref="H55:H59" si="3">D55+E55</f>
        <v>285</v>
      </c>
      <c r="I55" s="146">
        <f t="shared" ref="I55:I59" si="4">(B55+C55)-(D55+E55)</f>
        <v>67</v>
      </c>
      <c r="J55" s="143">
        <v>194.0</v>
      </c>
      <c r="K55" s="146">
        <f t="shared" ref="K55:K59" si="5">H55-J55</f>
        <v>91</v>
      </c>
      <c r="L55" s="146">
        <f t="shared" ref="L55:L66" si="6">H55</f>
        <v>285</v>
      </c>
      <c r="M55" s="143">
        <v>0.0</v>
      </c>
      <c r="N55" s="146">
        <f t="shared" ref="N55:N59" si="7">L55-8</f>
        <v>277</v>
      </c>
      <c r="O55" s="143">
        <v>8.0</v>
      </c>
      <c r="P55" s="146">
        <f t="shared" ref="P55:P66" si="8">L55</f>
        <v>285</v>
      </c>
      <c r="Q55" s="143">
        <v>0.0</v>
      </c>
      <c r="R55" s="146">
        <f t="shared" ref="R55:R66" si="9">P55</f>
        <v>285</v>
      </c>
      <c r="S55" s="143">
        <v>0.0</v>
      </c>
      <c r="T55" s="146">
        <f t="shared" ref="T55:T66" si="10">R55</f>
        <v>285</v>
      </c>
      <c r="U55" s="143">
        <v>0.0</v>
      </c>
      <c r="V55" s="143">
        <v>0.0</v>
      </c>
      <c r="W55" s="143">
        <v>37.0</v>
      </c>
      <c r="X55" s="143">
        <v>53.0</v>
      </c>
      <c r="Y55" s="143">
        <v>37.0</v>
      </c>
      <c r="Z55" s="146"/>
      <c r="AA55" s="143"/>
      <c r="AB55" s="143">
        <v>0.0</v>
      </c>
      <c r="AC55" s="146">
        <f t="shared" ref="AC55:AC66" si="11">H55</f>
        <v>285</v>
      </c>
      <c r="AD55" s="143">
        <v>8.0</v>
      </c>
      <c r="AE55" s="143">
        <v>0.0</v>
      </c>
      <c r="AF55" s="143">
        <f t="shared" ref="AF55:AF59" si="12">AD55-AE55</f>
        <v>8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63" t="s">
        <v>971</v>
      </c>
      <c r="B56" s="143">
        <v>53.0</v>
      </c>
      <c r="C56" s="144">
        <v>299.0</v>
      </c>
      <c r="D56" s="143">
        <v>53.0</v>
      </c>
      <c r="E56" s="143">
        <v>236.0</v>
      </c>
      <c r="F56" s="143">
        <v>0.0</v>
      </c>
      <c r="G56" s="146">
        <f t="shared" si="2"/>
        <v>63</v>
      </c>
      <c r="H56" s="146">
        <f t="shared" si="3"/>
        <v>289</v>
      </c>
      <c r="I56" s="146">
        <f t="shared" si="4"/>
        <v>63</v>
      </c>
      <c r="J56" s="143">
        <v>197.0</v>
      </c>
      <c r="K56" s="146">
        <f t="shared" si="5"/>
        <v>92</v>
      </c>
      <c r="L56" s="146">
        <f t="shared" si="6"/>
        <v>289</v>
      </c>
      <c r="M56" s="143">
        <v>0.0</v>
      </c>
      <c r="N56" s="146">
        <f t="shared" si="7"/>
        <v>281</v>
      </c>
      <c r="O56" s="143">
        <v>8.0</v>
      </c>
      <c r="P56" s="146">
        <f t="shared" si="8"/>
        <v>289</v>
      </c>
      <c r="Q56" s="143">
        <v>0.0</v>
      </c>
      <c r="R56" s="146">
        <f t="shared" si="9"/>
        <v>289</v>
      </c>
      <c r="S56" s="143">
        <v>0.0</v>
      </c>
      <c r="T56" s="146">
        <f t="shared" si="10"/>
        <v>289</v>
      </c>
      <c r="U56" s="143">
        <v>0.0</v>
      </c>
      <c r="V56" s="146"/>
      <c r="W56" s="143">
        <v>37.0</v>
      </c>
      <c r="X56" s="143">
        <v>53.0</v>
      </c>
      <c r="Y56" s="146"/>
      <c r="Z56" s="143">
        <v>219.0</v>
      </c>
      <c r="AA56" s="146"/>
      <c r="AB56" s="143">
        <v>0.0</v>
      </c>
      <c r="AC56" s="146">
        <f t="shared" si="11"/>
        <v>289</v>
      </c>
      <c r="AD56" s="143">
        <v>4.0</v>
      </c>
      <c r="AE56" s="143">
        <v>1.0</v>
      </c>
      <c r="AF56" s="143">
        <f t="shared" si="12"/>
        <v>3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42">
        <v>45717.0</v>
      </c>
      <c r="B57" s="143">
        <v>53.0</v>
      </c>
      <c r="C57" s="144">
        <v>299.0</v>
      </c>
      <c r="D57" s="143">
        <v>53.0</v>
      </c>
      <c r="E57" s="143">
        <v>231.0</v>
      </c>
      <c r="F57" s="143">
        <v>0.0</v>
      </c>
      <c r="G57" s="146">
        <f t="shared" si="2"/>
        <v>68</v>
      </c>
      <c r="H57" s="146">
        <f t="shared" si="3"/>
        <v>284</v>
      </c>
      <c r="I57" s="146">
        <f t="shared" si="4"/>
        <v>68</v>
      </c>
      <c r="J57" s="143">
        <v>194.0</v>
      </c>
      <c r="K57" s="146">
        <f t="shared" si="5"/>
        <v>90</v>
      </c>
      <c r="L57" s="146">
        <f t="shared" si="6"/>
        <v>284</v>
      </c>
      <c r="M57" s="143">
        <v>0.0</v>
      </c>
      <c r="N57" s="146">
        <f t="shared" si="7"/>
        <v>276</v>
      </c>
      <c r="O57" s="143">
        <v>8.0</v>
      </c>
      <c r="P57" s="146">
        <f t="shared" si="8"/>
        <v>284</v>
      </c>
      <c r="Q57" s="143">
        <v>0.0</v>
      </c>
      <c r="R57" s="146">
        <f t="shared" si="9"/>
        <v>284</v>
      </c>
      <c r="S57" s="143">
        <v>0.0</v>
      </c>
      <c r="T57" s="146">
        <f t="shared" si="10"/>
        <v>284</v>
      </c>
      <c r="U57" s="143">
        <v>0.0</v>
      </c>
      <c r="V57" s="146"/>
      <c r="W57" s="143">
        <v>37.0</v>
      </c>
      <c r="X57" s="143">
        <v>53.0</v>
      </c>
      <c r="Y57" s="146"/>
      <c r="Z57" s="146"/>
      <c r="AA57" s="143">
        <v>219.0</v>
      </c>
      <c r="AB57" s="143">
        <v>0.0</v>
      </c>
      <c r="AC57" s="146">
        <f t="shared" si="11"/>
        <v>284</v>
      </c>
      <c r="AD57" s="143">
        <v>6.0</v>
      </c>
      <c r="AE57" s="143">
        <v>0.0</v>
      </c>
      <c r="AF57" s="143">
        <f t="shared" si="12"/>
        <v>6</v>
      </c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42">
        <v>45748.0</v>
      </c>
      <c r="B58" s="143">
        <v>53.0</v>
      </c>
      <c r="C58" s="144">
        <v>299.0</v>
      </c>
      <c r="D58" s="143">
        <v>53.0</v>
      </c>
      <c r="E58" s="143">
        <v>299.0</v>
      </c>
      <c r="F58" s="143">
        <v>0.0</v>
      </c>
      <c r="G58" s="146">
        <f t="shared" si="2"/>
        <v>0</v>
      </c>
      <c r="H58" s="146">
        <f t="shared" si="3"/>
        <v>352</v>
      </c>
      <c r="I58" s="146">
        <f t="shared" si="4"/>
        <v>0</v>
      </c>
      <c r="J58" s="143">
        <v>240.0</v>
      </c>
      <c r="K58" s="146">
        <f t="shared" si="5"/>
        <v>112</v>
      </c>
      <c r="L58" s="146">
        <f t="shared" si="6"/>
        <v>352</v>
      </c>
      <c r="M58" s="143">
        <v>0.0</v>
      </c>
      <c r="N58" s="146">
        <f t="shared" si="7"/>
        <v>344</v>
      </c>
      <c r="O58" s="143">
        <v>8.0</v>
      </c>
      <c r="P58" s="146">
        <f t="shared" si="8"/>
        <v>352</v>
      </c>
      <c r="Q58" s="143">
        <v>0.0</v>
      </c>
      <c r="R58" s="146">
        <f t="shared" si="9"/>
        <v>352</v>
      </c>
      <c r="S58" s="143">
        <v>0.0</v>
      </c>
      <c r="T58" s="146">
        <f t="shared" si="10"/>
        <v>352</v>
      </c>
      <c r="U58" s="143">
        <v>0.0</v>
      </c>
      <c r="V58" s="146"/>
      <c r="W58" s="143">
        <v>37.0</v>
      </c>
      <c r="X58" s="143">
        <v>53.0</v>
      </c>
      <c r="Y58" s="146"/>
      <c r="Z58" s="146"/>
      <c r="AA58" s="146"/>
      <c r="AB58" s="143">
        <v>0.0</v>
      </c>
      <c r="AC58" s="146">
        <f t="shared" si="11"/>
        <v>352</v>
      </c>
      <c r="AD58" s="143">
        <v>4.0</v>
      </c>
      <c r="AE58" s="143">
        <v>2.0</v>
      </c>
      <c r="AF58" s="143">
        <f t="shared" si="12"/>
        <v>2</v>
      </c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42">
        <v>45778.0</v>
      </c>
      <c r="B59" s="143">
        <v>53.0</v>
      </c>
      <c r="C59" s="144">
        <v>299.0</v>
      </c>
      <c r="D59" s="143">
        <v>53.0</v>
      </c>
      <c r="E59" s="143">
        <v>233.0</v>
      </c>
      <c r="F59" s="143">
        <v>0.0</v>
      </c>
      <c r="G59" s="146">
        <f t="shared" si="2"/>
        <v>66</v>
      </c>
      <c r="H59" s="146">
        <f t="shared" si="3"/>
        <v>286</v>
      </c>
      <c r="I59" s="146">
        <f t="shared" si="4"/>
        <v>66</v>
      </c>
      <c r="J59" s="143">
        <v>195.0</v>
      </c>
      <c r="K59" s="146">
        <f t="shared" si="5"/>
        <v>91</v>
      </c>
      <c r="L59" s="146">
        <f t="shared" si="6"/>
        <v>286</v>
      </c>
      <c r="M59" s="143">
        <v>0.0</v>
      </c>
      <c r="N59" s="146">
        <f t="shared" si="7"/>
        <v>278</v>
      </c>
      <c r="O59" s="143">
        <v>8.0</v>
      </c>
      <c r="P59" s="146">
        <f t="shared" si="8"/>
        <v>286</v>
      </c>
      <c r="Q59" s="143">
        <v>0.0</v>
      </c>
      <c r="R59" s="146">
        <f t="shared" si="9"/>
        <v>286</v>
      </c>
      <c r="S59" s="143">
        <v>0.0</v>
      </c>
      <c r="T59" s="146">
        <f t="shared" si="10"/>
        <v>286</v>
      </c>
      <c r="U59" s="143">
        <v>0.0</v>
      </c>
      <c r="V59" s="146"/>
      <c r="W59" s="143">
        <v>37.0</v>
      </c>
      <c r="X59" s="143">
        <v>53.0</v>
      </c>
      <c r="Y59" s="146"/>
      <c r="Z59" s="146"/>
      <c r="AA59" s="146"/>
      <c r="AB59" s="143">
        <v>0.0</v>
      </c>
      <c r="AC59" s="146">
        <f t="shared" si="11"/>
        <v>286</v>
      </c>
      <c r="AD59" s="143">
        <v>6.0</v>
      </c>
      <c r="AE59" s="143">
        <v>1.0</v>
      </c>
      <c r="AF59" s="143">
        <f t="shared" si="12"/>
        <v>5</v>
      </c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42">
        <v>45809.0</v>
      </c>
      <c r="B60" s="146"/>
      <c r="C60" s="146"/>
      <c r="D60" s="146"/>
      <c r="E60" s="146"/>
      <c r="F60" s="146"/>
      <c r="G60" s="146"/>
      <c r="H60" s="146"/>
      <c r="I60" s="146"/>
      <c r="J60" s="146"/>
      <c r="K60" s="146"/>
      <c r="L60" s="146" t="str">
        <f t="shared" si="6"/>
        <v/>
      </c>
      <c r="M60" s="146"/>
      <c r="N60" s="146"/>
      <c r="O60" s="146"/>
      <c r="P60" s="146" t="str">
        <f t="shared" si="8"/>
        <v/>
      </c>
      <c r="Q60" s="146"/>
      <c r="R60" s="146" t="str">
        <f t="shared" si="9"/>
        <v/>
      </c>
      <c r="S60" s="146"/>
      <c r="T60" s="146" t="str">
        <f t="shared" si="10"/>
        <v/>
      </c>
      <c r="U60" s="146"/>
      <c r="V60" s="146"/>
      <c r="W60" s="146"/>
      <c r="X60" s="146"/>
      <c r="Y60" s="146"/>
      <c r="Z60" s="146"/>
      <c r="AA60" s="146"/>
      <c r="AB60" s="146"/>
      <c r="AC60" s="146" t="str">
        <f t="shared" si="11"/>
        <v/>
      </c>
      <c r="AD60" s="146"/>
      <c r="AE60" s="146"/>
      <c r="AF60" s="143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42">
        <v>45839.0</v>
      </c>
      <c r="B61" s="146"/>
      <c r="C61" s="146"/>
      <c r="D61" s="146"/>
      <c r="E61" s="146"/>
      <c r="F61" s="146"/>
      <c r="G61" s="146"/>
      <c r="H61" s="146"/>
      <c r="I61" s="146"/>
      <c r="J61" s="146"/>
      <c r="K61" s="146"/>
      <c r="L61" s="146" t="str">
        <f t="shared" si="6"/>
        <v/>
      </c>
      <c r="M61" s="146"/>
      <c r="N61" s="146"/>
      <c r="O61" s="146"/>
      <c r="P61" s="146" t="str">
        <f t="shared" si="8"/>
        <v/>
      </c>
      <c r="Q61" s="146"/>
      <c r="R61" s="146" t="str">
        <f t="shared" si="9"/>
        <v/>
      </c>
      <c r="S61" s="146"/>
      <c r="T61" s="146" t="str">
        <f t="shared" si="10"/>
        <v/>
      </c>
      <c r="U61" s="146"/>
      <c r="V61" s="146"/>
      <c r="W61" s="146"/>
      <c r="X61" s="146"/>
      <c r="Y61" s="146"/>
      <c r="Z61" s="146"/>
      <c r="AA61" s="146"/>
      <c r="AB61" s="146"/>
      <c r="AC61" s="146" t="str">
        <f t="shared" si="11"/>
        <v/>
      </c>
      <c r="AD61" s="146"/>
      <c r="AE61" s="146"/>
      <c r="AF61" s="143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42">
        <v>45870.0</v>
      </c>
      <c r="B62" s="146"/>
      <c r="C62" s="146"/>
      <c r="D62" s="146"/>
      <c r="E62" s="146"/>
      <c r="F62" s="146"/>
      <c r="G62" s="146"/>
      <c r="H62" s="146"/>
      <c r="I62" s="146"/>
      <c r="J62" s="146"/>
      <c r="K62" s="146"/>
      <c r="L62" s="146" t="str">
        <f t="shared" si="6"/>
        <v/>
      </c>
      <c r="M62" s="146"/>
      <c r="N62" s="146"/>
      <c r="O62" s="146"/>
      <c r="P62" s="146" t="str">
        <f t="shared" si="8"/>
        <v/>
      </c>
      <c r="Q62" s="146"/>
      <c r="R62" s="146" t="str">
        <f t="shared" si="9"/>
        <v/>
      </c>
      <c r="S62" s="146"/>
      <c r="T62" s="146" t="str">
        <f t="shared" si="10"/>
        <v/>
      </c>
      <c r="U62" s="146"/>
      <c r="V62" s="146"/>
      <c r="W62" s="146"/>
      <c r="X62" s="146"/>
      <c r="Y62" s="146"/>
      <c r="Z62" s="146"/>
      <c r="AA62" s="146"/>
      <c r="AB62" s="146"/>
      <c r="AC62" s="146" t="str">
        <f t="shared" si="11"/>
        <v/>
      </c>
      <c r="AD62" s="146"/>
      <c r="AE62" s="146"/>
      <c r="AF62" s="143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42">
        <v>45901.0</v>
      </c>
      <c r="B63" s="146"/>
      <c r="C63" s="146"/>
      <c r="D63" s="146"/>
      <c r="E63" s="146"/>
      <c r="F63" s="146"/>
      <c r="G63" s="146"/>
      <c r="H63" s="146"/>
      <c r="I63" s="146"/>
      <c r="J63" s="146"/>
      <c r="K63" s="146"/>
      <c r="L63" s="146" t="str">
        <f t="shared" si="6"/>
        <v/>
      </c>
      <c r="M63" s="146"/>
      <c r="N63" s="146"/>
      <c r="O63" s="146"/>
      <c r="P63" s="146" t="str">
        <f t="shared" si="8"/>
        <v/>
      </c>
      <c r="Q63" s="146"/>
      <c r="R63" s="146" t="str">
        <f t="shared" si="9"/>
        <v/>
      </c>
      <c r="S63" s="146"/>
      <c r="T63" s="146" t="str">
        <f t="shared" si="10"/>
        <v/>
      </c>
      <c r="U63" s="146"/>
      <c r="V63" s="146"/>
      <c r="W63" s="146"/>
      <c r="X63" s="146"/>
      <c r="Y63" s="146"/>
      <c r="Z63" s="146"/>
      <c r="AA63" s="146"/>
      <c r="AB63" s="146"/>
      <c r="AC63" s="146" t="str">
        <f t="shared" si="11"/>
        <v/>
      </c>
      <c r="AD63" s="146"/>
      <c r="AE63" s="146"/>
      <c r="AF63" s="143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42">
        <v>45931.0</v>
      </c>
      <c r="B64" s="146"/>
      <c r="C64" s="146"/>
      <c r="D64" s="146"/>
      <c r="E64" s="146"/>
      <c r="F64" s="146"/>
      <c r="G64" s="146"/>
      <c r="H64" s="102"/>
      <c r="I64" s="102"/>
      <c r="J64" s="146"/>
      <c r="K64" s="102"/>
      <c r="L64" s="102" t="str">
        <f t="shared" si="6"/>
        <v/>
      </c>
      <c r="M64" s="146"/>
      <c r="N64" s="146"/>
      <c r="O64" s="146"/>
      <c r="P64" s="146" t="str">
        <f t="shared" si="8"/>
        <v/>
      </c>
      <c r="Q64" s="146"/>
      <c r="R64" s="146" t="str">
        <f t="shared" si="9"/>
        <v/>
      </c>
      <c r="S64" s="146"/>
      <c r="T64" s="146" t="str">
        <f t="shared" si="10"/>
        <v/>
      </c>
      <c r="U64" s="146"/>
      <c r="V64" s="146"/>
      <c r="W64" s="146"/>
      <c r="X64" s="146"/>
      <c r="Y64" s="146"/>
      <c r="Z64" s="146"/>
      <c r="AA64" s="146"/>
      <c r="AB64" s="146"/>
      <c r="AC64" s="146" t="str">
        <f t="shared" si="11"/>
        <v/>
      </c>
      <c r="AD64" s="146"/>
      <c r="AE64" s="146"/>
      <c r="AF64" s="143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42">
        <v>45962.0</v>
      </c>
      <c r="B65" s="146"/>
      <c r="C65" s="146"/>
      <c r="D65" s="146"/>
      <c r="E65" s="146"/>
      <c r="F65" s="146"/>
      <c r="G65" s="146"/>
      <c r="H65" s="102"/>
      <c r="I65" s="102"/>
      <c r="J65" s="146"/>
      <c r="K65" s="102"/>
      <c r="L65" s="102" t="str">
        <f t="shared" si="6"/>
        <v/>
      </c>
      <c r="M65" s="146"/>
      <c r="N65" s="146"/>
      <c r="O65" s="146"/>
      <c r="P65" s="146" t="str">
        <f t="shared" si="8"/>
        <v/>
      </c>
      <c r="Q65" s="146"/>
      <c r="R65" s="146" t="str">
        <f t="shared" si="9"/>
        <v/>
      </c>
      <c r="S65" s="146"/>
      <c r="T65" s="146" t="str">
        <f t="shared" si="10"/>
        <v/>
      </c>
      <c r="U65" s="146"/>
      <c r="V65" s="146"/>
      <c r="W65" s="146"/>
      <c r="X65" s="146"/>
      <c r="Y65" s="146"/>
      <c r="Z65" s="146"/>
      <c r="AA65" s="146"/>
      <c r="AB65" s="146"/>
      <c r="AC65" s="146" t="str">
        <f t="shared" si="11"/>
        <v/>
      </c>
      <c r="AD65" s="146"/>
      <c r="AE65" s="146"/>
      <c r="AF65" s="143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64">
        <v>45992.0</v>
      </c>
      <c r="B66" s="146"/>
      <c r="C66" s="146"/>
      <c r="D66" s="146"/>
      <c r="E66" s="146"/>
      <c r="F66" s="146"/>
      <c r="G66" s="146"/>
      <c r="H66" s="102"/>
      <c r="I66" s="102"/>
      <c r="J66" s="146"/>
      <c r="K66" s="102"/>
      <c r="L66" s="102" t="str">
        <f t="shared" si="6"/>
        <v/>
      </c>
      <c r="M66" s="146"/>
      <c r="N66" s="146"/>
      <c r="O66" s="146"/>
      <c r="P66" s="146" t="str">
        <f t="shared" si="8"/>
        <v/>
      </c>
      <c r="Q66" s="146"/>
      <c r="R66" s="146" t="str">
        <f t="shared" si="9"/>
        <v/>
      </c>
      <c r="S66" s="146"/>
      <c r="T66" s="146" t="str">
        <f t="shared" si="10"/>
        <v/>
      </c>
      <c r="U66" s="146"/>
      <c r="V66" s="146"/>
      <c r="W66" s="146"/>
      <c r="X66" s="146"/>
      <c r="Y66" s="146"/>
      <c r="Z66" s="146"/>
      <c r="AA66" s="146"/>
      <c r="AB66" s="146"/>
      <c r="AC66" s="146" t="str">
        <f t="shared" si="11"/>
        <v/>
      </c>
      <c r="AD66" s="146"/>
      <c r="AE66" s="146"/>
      <c r="AF66" s="143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5"/>
      <c r="B67" s="146"/>
      <c r="C67" s="146"/>
      <c r="D67" s="146"/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  <c r="AD67" s="146"/>
      <c r="AE67" s="146"/>
      <c r="AF67" s="146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24" t="s">
        <v>972</v>
      </c>
      <c r="B70" s="87"/>
      <c r="C70" s="87"/>
      <c r="D70" s="87"/>
      <c r="E70" s="87"/>
      <c r="F70" s="87"/>
      <c r="G70" s="87"/>
      <c r="H70" s="8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8" t="s">
        <v>904</v>
      </c>
      <c r="B71" s="165" t="s">
        <v>907</v>
      </c>
      <c r="C71" s="61"/>
      <c r="D71" s="61"/>
      <c r="E71" s="61"/>
      <c r="F71" s="61"/>
      <c r="G71" s="62"/>
      <c r="H71" s="55" t="s">
        <v>973</v>
      </c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7"/>
      <c r="X71" s="88" t="s">
        <v>974</v>
      </c>
      <c r="Y71" s="88" t="s">
        <v>974</v>
      </c>
      <c r="Z71" s="166"/>
      <c r="AA71" s="166"/>
      <c r="AB71" s="166"/>
      <c r="AC71" s="166"/>
      <c r="AD71" s="166"/>
      <c r="AE71" s="167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6"/>
      <c r="B72" s="89" t="s">
        <v>975</v>
      </c>
      <c r="C72" s="88" t="s">
        <v>976</v>
      </c>
      <c r="D72" s="117" t="s">
        <v>916</v>
      </c>
      <c r="E72" s="7"/>
      <c r="F72" s="55" t="s">
        <v>917</v>
      </c>
      <c r="G72" s="7"/>
      <c r="H72" s="55" t="s">
        <v>977</v>
      </c>
      <c r="I72" s="51"/>
      <c r="J72" s="51"/>
      <c r="K72" s="51"/>
      <c r="L72" s="7"/>
      <c r="M72" s="55" t="s">
        <v>978</v>
      </c>
      <c r="N72" s="51"/>
      <c r="O72" s="51"/>
      <c r="P72" s="51"/>
      <c r="Q72" s="51"/>
      <c r="R72" s="51"/>
      <c r="S72" s="51"/>
      <c r="T72" s="51"/>
      <c r="U72" s="7"/>
      <c r="V72" s="89" t="s">
        <v>921</v>
      </c>
      <c r="W72" s="147" t="s">
        <v>979</v>
      </c>
      <c r="X72" s="147" t="s">
        <v>980</v>
      </c>
      <c r="Y72" s="147" t="s">
        <v>981</v>
      </c>
      <c r="Z72" s="166"/>
      <c r="AA72" s="166"/>
      <c r="AB72" s="166"/>
      <c r="AC72" s="166"/>
      <c r="AE72" s="85"/>
      <c r="AF72" s="85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6"/>
      <c r="B73" s="168" t="s">
        <v>982</v>
      </c>
      <c r="C73" s="147" t="s">
        <v>982</v>
      </c>
      <c r="D73" s="169" t="s">
        <v>983</v>
      </c>
      <c r="E73" s="88" t="s">
        <v>984</v>
      </c>
      <c r="F73" s="88" t="s">
        <v>983</v>
      </c>
      <c r="G73" s="88" t="s">
        <v>984</v>
      </c>
      <c r="H73" s="88" t="s">
        <v>985</v>
      </c>
      <c r="I73" s="88" t="s">
        <v>986</v>
      </c>
      <c r="J73" s="88" t="s">
        <v>959</v>
      </c>
      <c r="K73" s="88" t="s">
        <v>987</v>
      </c>
      <c r="L73" s="88" t="s">
        <v>988</v>
      </c>
      <c r="M73" s="88" t="s">
        <v>989</v>
      </c>
      <c r="N73" s="55" t="s">
        <v>920</v>
      </c>
      <c r="O73" s="51"/>
      <c r="P73" s="7"/>
      <c r="Q73" s="55" t="s">
        <v>990</v>
      </c>
      <c r="R73" s="51"/>
      <c r="S73" s="7"/>
      <c r="T73" s="170" t="s">
        <v>991</v>
      </c>
      <c r="U73" s="7"/>
      <c r="V73" s="171" t="s">
        <v>992</v>
      </c>
      <c r="W73" s="172" t="s">
        <v>993</v>
      </c>
      <c r="X73" s="172" t="s">
        <v>994</v>
      </c>
      <c r="Y73" s="172" t="s">
        <v>995</v>
      </c>
      <c r="Z73" s="167"/>
      <c r="AA73" s="173"/>
      <c r="AB73" s="167"/>
      <c r="AC73" s="167"/>
      <c r="AE73" s="85"/>
      <c r="AF73" s="85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8"/>
      <c r="B74" s="174"/>
      <c r="C74" s="175"/>
      <c r="D74" s="69"/>
      <c r="E74" s="8"/>
      <c r="F74" s="8"/>
      <c r="G74" s="8"/>
      <c r="H74" s="8"/>
      <c r="I74" s="8"/>
      <c r="J74" s="8"/>
      <c r="K74" s="8"/>
      <c r="L74" s="8"/>
      <c r="M74" s="8"/>
      <c r="N74" s="91" t="s">
        <v>996</v>
      </c>
      <c r="O74" s="176" t="s">
        <v>959</v>
      </c>
      <c r="P74" s="91" t="s">
        <v>997</v>
      </c>
      <c r="Q74" s="91" t="s">
        <v>996</v>
      </c>
      <c r="R74" s="91" t="s">
        <v>959</v>
      </c>
      <c r="S74" s="91" t="s">
        <v>997</v>
      </c>
      <c r="T74" s="177" t="s">
        <v>998</v>
      </c>
      <c r="U74" s="178" t="s">
        <v>999</v>
      </c>
      <c r="V74" s="179" t="s">
        <v>921</v>
      </c>
      <c r="W74" s="176" t="s">
        <v>1000</v>
      </c>
      <c r="X74" s="176" t="s">
        <v>968</v>
      </c>
      <c r="Y74" s="176" t="s">
        <v>1001</v>
      </c>
      <c r="Z74" s="180"/>
      <c r="AA74" s="180"/>
      <c r="AB74" s="180"/>
      <c r="AC74" s="180"/>
      <c r="AD74" s="180"/>
      <c r="AE74" s="180"/>
      <c r="AF74" s="180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35">
        <v>1.0</v>
      </c>
      <c r="B75" s="140">
        <v>2.0</v>
      </c>
      <c r="C75" s="175">
        <v>3.0</v>
      </c>
      <c r="D75" s="135">
        <v>4.0</v>
      </c>
      <c r="E75" s="135">
        <v>5.0</v>
      </c>
      <c r="F75" s="135">
        <v>6.0</v>
      </c>
      <c r="G75" s="135">
        <v>7.0</v>
      </c>
      <c r="H75" s="135">
        <v>8.0</v>
      </c>
      <c r="I75" s="137">
        <v>9.0</v>
      </c>
      <c r="J75" s="137">
        <v>10.0</v>
      </c>
      <c r="K75" s="137">
        <v>11.0</v>
      </c>
      <c r="L75" s="137">
        <v>12.0</v>
      </c>
      <c r="M75" s="137">
        <v>13.0</v>
      </c>
      <c r="N75" s="137">
        <v>14.0</v>
      </c>
      <c r="O75" s="138">
        <v>15.0</v>
      </c>
      <c r="P75" s="137">
        <v>16.0</v>
      </c>
      <c r="Q75" s="137">
        <v>17.0</v>
      </c>
      <c r="R75" s="138">
        <v>18.0</v>
      </c>
      <c r="S75" s="137">
        <v>19.0</v>
      </c>
      <c r="T75" s="137">
        <v>20.0</v>
      </c>
      <c r="U75" s="135">
        <v>21.0</v>
      </c>
      <c r="V75" s="140">
        <v>22.0</v>
      </c>
      <c r="W75" s="140">
        <v>23.0</v>
      </c>
      <c r="X75" s="140">
        <v>24.0</v>
      </c>
      <c r="Y75" s="140">
        <v>25.0</v>
      </c>
      <c r="Z75" s="180"/>
      <c r="AA75" s="180"/>
      <c r="AB75" s="180"/>
      <c r="AC75" s="180"/>
      <c r="AD75" s="180"/>
      <c r="AE75" s="180"/>
      <c r="AF75" s="180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42">
        <v>45658.0</v>
      </c>
      <c r="B76" s="143">
        <v>781.0</v>
      </c>
      <c r="C76" s="144">
        <v>260.0</v>
      </c>
      <c r="D76" s="143"/>
      <c r="E76" s="143"/>
      <c r="F76" s="143">
        <v>781.0</v>
      </c>
      <c r="G76" s="143">
        <v>260.0</v>
      </c>
      <c r="H76" s="102"/>
      <c r="I76" s="145"/>
      <c r="J76" s="145"/>
      <c r="K76" s="145"/>
      <c r="L76" s="145"/>
      <c r="M76" s="145"/>
      <c r="N76" s="145"/>
      <c r="O76" s="95"/>
      <c r="P76" s="95"/>
      <c r="Q76" s="95"/>
      <c r="R76" s="95"/>
      <c r="S76" s="95"/>
      <c r="T76" s="95"/>
      <c r="U76" s="146"/>
      <c r="V76" s="146"/>
      <c r="W76" s="146"/>
      <c r="X76" s="146"/>
      <c r="Y76" s="146"/>
      <c r="Z76" s="87"/>
      <c r="AA76" s="181"/>
      <c r="AB76" s="87"/>
      <c r="AC76" s="87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63" t="s">
        <v>971</v>
      </c>
      <c r="B77" s="143">
        <v>781.0</v>
      </c>
      <c r="C77" s="144">
        <v>260.0</v>
      </c>
      <c r="D77" s="143"/>
      <c r="E77" s="143"/>
      <c r="F77" s="143">
        <v>781.0</v>
      </c>
      <c r="G77" s="143">
        <v>260.0</v>
      </c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42">
        <v>45717.0</v>
      </c>
      <c r="B78" s="143">
        <v>781.0</v>
      </c>
      <c r="C78" s="144">
        <v>260.0</v>
      </c>
      <c r="D78" s="143"/>
      <c r="E78" s="143"/>
      <c r="F78" s="143">
        <v>781.0</v>
      </c>
      <c r="G78" s="143">
        <v>260.0</v>
      </c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42">
        <v>45748.0</v>
      </c>
      <c r="B79" s="143">
        <v>781.0</v>
      </c>
      <c r="C79" s="144">
        <v>260.0</v>
      </c>
      <c r="D79" s="143"/>
      <c r="E79" s="143"/>
      <c r="F79" s="143">
        <v>781.0</v>
      </c>
      <c r="G79" s="143">
        <v>260.0</v>
      </c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42">
        <v>45778.0</v>
      </c>
      <c r="B80" s="143">
        <v>781.0</v>
      </c>
      <c r="C80" s="144">
        <v>260.0</v>
      </c>
      <c r="D80" s="143"/>
      <c r="E80" s="143"/>
      <c r="F80" s="143">
        <v>781.0</v>
      </c>
      <c r="G80" s="143">
        <v>260.0</v>
      </c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42">
        <v>45809.0</v>
      </c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42">
        <v>45839.0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42">
        <v>45870.0</v>
      </c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42">
        <v>45901.0</v>
      </c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42">
        <v>45931.0</v>
      </c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42">
        <v>45962.0</v>
      </c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42">
        <v>45992.0</v>
      </c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24" t="s">
        <v>1002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82" t="s">
        <v>904</v>
      </c>
      <c r="B92" s="117" t="s">
        <v>1003</v>
      </c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7"/>
      <c r="AK92" s="183" t="s">
        <v>1004</v>
      </c>
      <c r="AL92" s="184" t="s">
        <v>974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6"/>
      <c r="B93" s="55" t="s">
        <v>977</v>
      </c>
      <c r="C93" s="51"/>
      <c r="D93" s="51"/>
      <c r="E93" s="51"/>
      <c r="F93" s="7"/>
      <c r="G93" s="55" t="s">
        <v>1005</v>
      </c>
      <c r="H93" s="51"/>
      <c r="I93" s="51"/>
      <c r="J93" s="51"/>
      <c r="K93" s="51"/>
      <c r="L93" s="51"/>
      <c r="M93" s="51"/>
      <c r="N93" s="51"/>
      <c r="O93" s="51"/>
      <c r="P93" s="51"/>
      <c r="Q93" s="7"/>
      <c r="R93" s="89" t="s">
        <v>1006</v>
      </c>
      <c r="S93" s="62"/>
      <c r="T93" s="117" t="s">
        <v>1007</v>
      </c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7"/>
      <c r="AK93" s="185" t="s">
        <v>1008</v>
      </c>
      <c r="AL93" s="186" t="s">
        <v>1008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6"/>
      <c r="B94" s="88" t="s">
        <v>985</v>
      </c>
      <c r="C94" s="88" t="s">
        <v>986</v>
      </c>
      <c r="D94" s="88" t="s">
        <v>959</v>
      </c>
      <c r="E94" s="88" t="s">
        <v>987</v>
      </c>
      <c r="F94" s="88" t="s">
        <v>988</v>
      </c>
      <c r="G94" s="187" t="s">
        <v>989</v>
      </c>
      <c r="H94" s="7"/>
      <c r="I94" s="55" t="s">
        <v>920</v>
      </c>
      <c r="J94" s="51"/>
      <c r="K94" s="51"/>
      <c r="L94" s="170" t="s">
        <v>990</v>
      </c>
      <c r="M94" s="51"/>
      <c r="N94" s="7"/>
      <c r="O94" s="188" t="s">
        <v>1009</v>
      </c>
      <c r="P94" s="51"/>
      <c r="Q94" s="7"/>
      <c r="R94" s="189" t="s">
        <v>997</v>
      </c>
      <c r="S94" s="88" t="s">
        <v>959</v>
      </c>
      <c r="T94" s="117" t="s">
        <v>1010</v>
      </c>
      <c r="U94" s="51"/>
      <c r="V94" s="51"/>
      <c r="W94" s="51"/>
      <c r="X94" s="7"/>
      <c r="Y94" s="190" t="s">
        <v>1011</v>
      </c>
      <c r="Z94" s="51"/>
      <c r="AA94" s="51"/>
      <c r="AB94" s="7"/>
      <c r="AC94" s="190" t="s">
        <v>1011</v>
      </c>
      <c r="AD94" s="51"/>
      <c r="AE94" s="51"/>
      <c r="AF94" s="7"/>
      <c r="AG94" s="190" t="s">
        <v>1011</v>
      </c>
      <c r="AH94" s="51"/>
      <c r="AI94" s="51"/>
      <c r="AJ94" s="7"/>
      <c r="AK94" s="185" t="s">
        <v>1007</v>
      </c>
      <c r="AL94" s="186" t="s">
        <v>1007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6"/>
      <c r="B95" s="66"/>
      <c r="C95" s="66"/>
      <c r="D95" s="66"/>
      <c r="E95" s="66"/>
      <c r="F95" s="66"/>
      <c r="G95" s="191" t="s">
        <v>1012</v>
      </c>
      <c r="H95" s="192" t="s">
        <v>1013</v>
      </c>
      <c r="I95" s="147" t="s">
        <v>996</v>
      </c>
      <c r="J95" s="88" t="s">
        <v>959</v>
      </c>
      <c r="K95" s="88" t="s">
        <v>997</v>
      </c>
      <c r="L95" s="88" t="s">
        <v>996</v>
      </c>
      <c r="M95" s="88" t="s">
        <v>959</v>
      </c>
      <c r="N95" s="193" t="s">
        <v>997</v>
      </c>
      <c r="O95" s="194" t="s">
        <v>1014</v>
      </c>
      <c r="P95" s="51"/>
      <c r="Q95" s="7"/>
      <c r="R95" s="8"/>
      <c r="S95" s="8"/>
      <c r="T95" s="91" t="s">
        <v>1015</v>
      </c>
      <c r="U95" s="55" t="s">
        <v>1016</v>
      </c>
      <c r="V95" s="7"/>
      <c r="W95" s="55" t="s">
        <v>1017</v>
      </c>
      <c r="X95" s="7"/>
      <c r="Y95" s="55" t="s">
        <v>1018</v>
      </c>
      <c r="Z95" s="7"/>
      <c r="AA95" s="195" t="s">
        <v>1019</v>
      </c>
      <c r="AB95" s="69"/>
      <c r="AC95" s="55" t="s">
        <v>1020</v>
      </c>
      <c r="AD95" s="7"/>
      <c r="AE95" s="195" t="s">
        <v>1021</v>
      </c>
      <c r="AF95" s="69"/>
      <c r="AG95" s="55" t="s">
        <v>1022</v>
      </c>
      <c r="AH95" s="7"/>
      <c r="AI95" s="195" t="s">
        <v>1023</v>
      </c>
      <c r="AJ95" s="69"/>
      <c r="AK95" s="185" t="s">
        <v>1024</v>
      </c>
      <c r="AL95" s="186" t="s">
        <v>1001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190" t="s">
        <v>1025</v>
      </c>
      <c r="P96" s="91" t="s">
        <v>1026</v>
      </c>
      <c r="Q96" s="91" t="s">
        <v>1027</v>
      </c>
      <c r="R96" s="133" t="s">
        <v>1025</v>
      </c>
      <c r="S96" s="91" t="s">
        <v>1028</v>
      </c>
      <c r="T96" s="196" t="s">
        <v>1029</v>
      </c>
      <c r="U96" s="196" t="s">
        <v>1030</v>
      </c>
      <c r="V96" s="196" t="s">
        <v>1031</v>
      </c>
      <c r="W96" s="91" t="s">
        <v>1032</v>
      </c>
      <c r="X96" s="91" t="s">
        <v>1033</v>
      </c>
      <c r="Y96" s="91" t="s">
        <v>934</v>
      </c>
      <c r="Z96" s="55" t="s">
        <v>932</v>
      </c>
      <c r="AA96" s="133" t="s">
        <v>934</v>
      </c>
      <c r="AB96" s="134" t="s">
        <v>932</v>
      </c>
      <c r="AC96" s="91" t="s">
        <v>934</v>
      </c>
      <c r="AD96" s="55" t="s">
        <v>932</v>
      </c>
      <c r="AE96" s="133" t="s">
        <v>934</v>
      </c>
      <c r="AF96" s="134" t="s">
        <v>932</v>
      </c>
      <c r="AG96" s="91" t="s">
        <v>934</v>
      </c>
      <c r="AH96" s="55" t="s">
        <v>932</v>
      </c>
      <c r="AI96" s="133" t="s">
        <v>934</v>
      </c>
      <c r="AJ96" s="117" t="s">
        <v>932</v>
      </c>
      <c r="AK96" s="197" t="s">
        <v>968</v>
      </c>
      <c r="AL96" s="198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99">
        <v>1.0</v>
      </c>
      <c r="B97" s="200">
        <v>2.0</v>
      </c>
      <c r="C97" s="200">
        <v>3.0</v>
      </c>
      <c r="D97" s="200">
        <v>4.0</v>
      </c>
      <c r="E97" s="200">
        <v>5.0</v>
      </c>
      <c r="F97" s="200">
        <v>6.0</v>
      </c>
      <c r="G97" s="200">
        <v>7.0</v>
      </c>
      <c r="H97" s="200">
        <v>8.0</v>
      </c>
      <c r="I97" s="201">
        <v>9.0</v>
      </c>
      <c r="J97" s="200">
        <v>10.0</v>
      </c>
      <c r="K97" s="200">
        <v>11.0</v>
      </c>
      <c r="L97" s="201">
        <v>12.0</v>
      </c>
      <c r="M97" s="200">
        <v>13.0</v>
      </c>
      <c r="N97" s="200">
        <v>14.0</v>
      </c>
      <c r="O97" s="200">
        <v>15.0</v>
      </c>
      <c r="P97" s="199">
        <v>16.0</v>
      </c>
      <c r="Q97" s="199">
        <v>17.0</v>
      </c>
      <c r="R97" s="202">
        <v>18.0</v>
      </c>
      <c r="S97" s="199">
        <v>19.0</v>
      </c>
      <c r="T97" s="199">
        <v>20.0</v>
      </c>
      <c r="U97" s="199">
        <v>21.0</v>
      </c>
      <c r="V97" s="199">
        <v>22.0</v>
      </c>
      <c r="W97" s="199">
        <v>23.0</v>
      </c>
      <c r="X97" s="199">
        <v>24.0</v>
      </c>
      <c r="Y97" s="199">
        <v>25.0</v>
      </c>
      <c r="Z97" s="203">
        <v>26.0</v>
      </c>
      <c r="AA97" s="202">
        <v>27.0</v>
      </c>
      <c r="AB97" s="204">
        <v>28.0</v>
      </c>
      <c r="AC97" s="199">
        <v>29.0</v>
      </c>
      <c r="AD97" s="199">
        <v>30.0</v>
      </c>
      <c r="AE97" s="199">
        <v>31.0</v>
      </c>
      <c r="AF97" s="199">
        <v>32.0</v>
      </c>
      <c r="AG97" s="205">
        <v>33.0</v>
      </c>
      <c r="AH97" s="205">
        <v>34.0</v>
      </c>
      <c r="AI97" s="205">
        <v>35.0</v>
      </c>
      <c r="AJ97" s="205">
        <v>36.0</v>
      </c>
      <c r="AK97" s="206">
        <v>37.0</v>
      </c>
      <c r="AL97" s="206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07">
        <v>45658.0</v>
      </c>
      <c r="B98" s="95"/>
      <c r="C98" s="208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09" t="s">
        <v>971</v>
      </c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07">
        <v>45717.0</v>
      </c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07">
        <v>45748.0</v>
      </c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07">
        <v>45778.0</v>
      </c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07">
        <v>45809.0</v>
      </c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07">
        <v>45839.0</v>
      </c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07">
        <v>45870.0</v>
      </c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07">
        <v>45901.0</v>
      </c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07">
        <v>45931.0</v>
      </c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07">
        <v>45962.0</v>
      </c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07">
        <v>45992.0</v>
      </c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7.5"/>
    <col customWidth="1" min="3" max="3" width="14.13"/>
    <col customWidth="1" min="4" max="4" width="14.88"/>
    <col customWidth="1" min="5" max="5" width="18.75"/>
    <col customWidth="1" min="6" max="6" width="17.25"/>
    <col customWidth="1" min="7" max="7" width="14.38"/>
    <col customWidth="1" min="8" max="8" width="69.63"/>
    <col customWidth="1" min="9" max="9" width="41.0"/>
    <col customWidth="1" min="10" max="10" width="62.63"/>
    <col customWidth="1" min="11" max="11" width="4.38"/>
  </cols>
  <sheetData>
    <row r="1">
      <c r="A1" s="3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1034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/>
      <c r="B3" s="2" t="s">
        <v>2</v>
      </c>
      <c r="C3" s="4" t="s">
        <v>1035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31.5" customHeight="1">
      <c r="A5" s="210" t="s">
        <v>4</v>
      </c>
      <c r="B5" s="210" t="s">
        <v>5</v>
      </c>
      <c r="C5" s="210" t="s">
        <v>1036</v>
      </c>
      <c r="D5" s="210" t="s">
        <v>1037</v>
      </c>
      <c r="E5" s="210" t="s">
        <v>8</v>
      </c>
      <c r="F5" s="210" t="s">
        <v>7</v>
      </c>
      <c r="G5" s="210" t="s">
        <v>9</v>
      </c>
      <c r="H5" s="210" t="s">
        <v>1038</v>
      </c>
      <c r="I5" s="210" t="s">
        <v>1039</v>
      </c>
      <c r="J5" s="211" t="s">
        <v>1040</v>
      </c>
      <c r="K5" s="51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</row>
    <row r="6" ht="31.5" customHeight="1">
      <c r="A6" s="8"/>
      <c r="B6" s="8"/>
      <c r="C6" s="8"/>
      <c r="D6" s="8"/>
      <c r="E6" s="8"/>
      <c r="F6" s="8"/>
      <c r="G6" s="8"/>
      <c r="H6" s="8"/>
      <c r="I6" s="8"/>
      <c r="J6" s="213" t="s">
        <v>12</v>
      </c>
      <c r="K6" s="214" t="s">
        <v>13</v>
      </c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2"/>
      <c r="AA6" s="212"/>
      <c r="AB6" s="212"/>
    </row>
    <row r="7">
      <c r="A7" s="215">
        <v>1.0</v>
      </c>
      <c r="B7" s="216">
        <v>2.0</v>
      </c>
      <c r="C7" s="216">
        <v>3.0</v>
      </c>
      <c r="D7" s="215">
        <v>4.0</v>
      </c>
      <c r="E7" s="216">
        <v>5.0</v>
      </c>
      <c r="F7" s="216">
        <v>6.0</v>
      </c>
      <c r="G7" s="215">
        <v>7.0</v>
      </c>
      <c r="H7" s="216">
        <v>8.0</v>
      </c>
      <c r="I7" s="216">
        <v>9.0</v>
      </c>
      <c r="J7" s="215">
        <v>10.0</v>
      </c>
      <c r="K7" s="216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217">
        <v>45666.0</v>
      </c>
      <c r="C8" s="218" t="s">
        <v>60</v>
      </c>
      <c r="D8" s="219" t="s">
        <v>1041</v>
      </c>
      <c r="E8" s="218" t="s">
        <v>1042</v>
      </c>
      <c r="F8" s="220" t="s">
        <v>1043</v>
      </c>
      <c r="G8" s="218" t="s">
        <v>1044</v>
      </c>
      <c r="H8" s="218" t="s">
        <v>1045</v>
      </c>
      <c r="I8" s="17" t="s">
        <v>1046</v>
      </c>
      <c r="J8" s="17"/>
      <c r="K8" s="22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219" t="s">
        <v>1047</v>
      </c>
      <c r="C9" s="218" t="s">
        <v>60</v>
      </c>
      <c r="D9" s="219" t="s">
        <v>1048</v>
      </c>
      <c r="E9" s="218" t="s">
        <v>1049</v>
      </c>
      <c r="F9" s="222" t="s">
        <v>1050</v>
      </c>
      <c r="G9" s="218" t="s">
        <v>1051</v>
      </c>
      <c r="H9" s="218" t="s">
        <v>1052</v>
      </c>
      <c r="I9" s="17"/>
      <c r="J9" s="23"/>
      <c r="K9" s="22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217">
        <v>45725.0</v>
      </c>
      <c r="C10" s="218" t="s">
        <v>60</v>
      </c>
      <c r="D10" s="219" t="s">
        <v>1053</v>
      </c>
      <c r="E10" s="218" t="s">
        <v>1054</v>
      </c>
      <c r="F10" s="220" t="s">
        <v>1055</v>
      </c>
      <c r="G10" s="218" t="s">
        <v>1056</v>
      </c>
      <c r="H10" s="218" t="s">
        <v>1057</v>
      </c>
      <c r="I10" s="17"/>
      <c r="J10" s="23"/>
      <c r="K10" s="22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217">
        <v>45725.0</v>
      </c>
      <c r="C11" s="218" t="s">
        <v>60</v>
      </c>
      <c r="D11" s="219" t="s">
        <v>1058</v>
      </c>
      <c r="E11" s="218" t="s">
        <v>1059</v>
      </c>
      <c r="F11" s="220" t="s">
        <v>1060</v>
      </c>
      <c r="G11" s="218" t="s">
        <v>1051</v>
      </c>
      <c r="H11" s="218" t="s">
        <v>1061</v>
      </c>
      <c r="I11" s="17"/>
      <c r="J11" s="23"/>
      <c r="K11" s="22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/>
      <c r="B12" s="223"/>
      <c r="C12" s="17"/>
      <c r="D12" s="18"/>
      <c r="E12" s="17"/>
      <c r="F12" s="17"/>
      <c r="G12" s="17"/>
      <c r="H12" s="17"/>
      <c r="I12" s="23"/>
      <c r="J12" s="23"/>
      <c r="K12" s="22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/>
      <c r="B13" s="223"/>
      <c r="C13" s="17"/>
      <c r="D13" s="17"/>
      <c r="E13" s="17"/>
      <c r="F13" s="23"/>
      <c r="G13" s="17"/>
      <c r="H13" s="17"/>
      <c r="I13" s="17"/>
      <c r="J13" s="23"/>
      <c r="K13" s="22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/>
      <c r="B14" s="223"/>
      <c r="C14" s="17"/>
      <c r="D14" s="17"/>
      <c r="E14" s="17"/>
      <c r="F14" s="23"/>
      <c r="G14" s="17"/>
      <c r="H14" s="17"/>
      <c r="I14" s="17"/>
      <c r="J14" s="23"/>
      <c r="K14" s="22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198"/>
      <c r="B15" s="224"/>
      <c r="C15" s="23"/>
      <c r="D15" s="23"/>
      <c r="E15" s="23"/>
      <c r="F15" s="23"/>
      <c r="G15" s="23"/>
      <c r="H15" s="23"/>
      <c r="I15" s="23"/>
      <c r="J15" s="23"/>
      <c r="K15" s="22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198"/>
      <c r="B16" s="224"/>
      <c r="C16" s="23"/>
      <c r="D16" s="23"/>
      <c r="E16" s="23"/>
      <c r="F16" s="23"/>
      <c r="G16" s="23"/>
      <c r="H16" s="23"/>
      <c r="I16" s="23"/>
      <c r="J16" s="23"/>
      <c r="K16" s="22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198"/>
      <c r="B17" s="224"/>
      <c r="C17" s="23"/>
      <c r="D17" s="23"/>
      <c r="E17" s="23"/>
      <c r="F17" s="23"/>
      <c r="G17" s="23"/>
      <c r="H17" s="23"/>
      <c r="I17" s="23"/>
      <c r="J17" s="23"/>
      <c r="K17" s="22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198"/>
      <c r="B18" s="224"/>
      <c r="C18" s="23"/>
      <c r="D18" s="23"/>
      <c r="E18" s="23"/>
      <c r="F18" s="23"/>
      <c r="G18" s="23"/>
      <c r="H18" s="23"/>
      <c r="I18" s="23"/>
      <c r="J18" s="23"/>
      <c r="K18" s="22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98"/>
      <c r="B19" s="224"/>
      <c r="C19" s="23"/>
      <c r="D19" s="23"/>
      <c r="E19" s="23"/>
      <c r="F19" s="23"/>
      <c r="G19" s="23"/>
      <c r="H19" s="23"/>
      <c r="I19" s="23"/>
      <c r="J19" s="23"/>
      <c r="K19" s="22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198"/>
      <c r="B20" s="23"/>
      <c r="C20" s="23"/>
      <c r="D20" s="23"/>
      <c r="E20" s="23"/>
      <c r="F20" s="23"/>
      <c r="G20" s="23"/>
      <c r="H20" s="23"/>
      <c r="I20" s="23"/>
      <c r="J20" s="23"/>
      <c r="K20" s="22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198"/>
      <c r="B21" s="23"/>
      <c r="C21" s="23"/>
      <c r="D21" s="23"/>
      <c r="E21" s="23"/>
      <c r="F21" s="23"/>
      <c r="G21" s="23"/>
      <c r="H21" s="23"/>
      <c r="I21" s="23"/>
      <c r="J21" s="23"/>
      <c r="K21" s="22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198"/>
      <c r="B22" s="23"/>
      <c r="C22" s="23"/>
      <c r="D22" s="23"/>
      <c r="E22" s="23"/>
      <c r="F22" s="23"/>
      <c r="G22" s="23"/>
      <c r="H22" s="23"/>
      <c r="I22" s="23"/>
      <c r="J22" s="23"/>
      <c r="K22" s="22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198"/>
      <c r="B23" s="23"/>
      <c r="C23" s="23"/>
      <c r="D23" s="23"/>
      <c r="E23" s="23"/>
      <c r="F23" s="23"/>
      <c r="G23" s="23"/>
      <c r="H23" s="23"/>
      <c r="I23" s="23"/>
      <c r="J23" s="225">
        <v>0.25</v>
      </c>
      <c r="K23" s="22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198"/>
      <c r="B24" s="23"/>
      <c r="C24" s="23"/>
      <c r="D24" s="23"/>
      <c r="E24" s="23"/>
      <c r="F24" s="23"/>
      <c r="G24" s="23"/>
      <c r="H24" s="23"/>
      <c r="I24" s="23"/>
      <c r="J24" s="23"/>
      <c r="K24" s="22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198"/>
      <c r="B25" s="23"/>
      <c r="C25" s="23"/>
      <c r="D25" s="23"/>
      <c r="E25" s="23"/>
      <c r="F25" s="23"/>
      <c r="G25" s="23"/>
      <c r="H25" s="23"/>
      <c r="I25" s="23"/>
      <c r="J25" s="23"/>
      <c r="K25" s="22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198"/>
      <c r="B26" s="23"/>
      <c r="C26" s="23"/>
      <c r="D26" s="23"/>
      <c r="E26" s="23"/>
      <c r="F26" s="23"/>
      <c r="G26" s="23"/>
      <c r="H26" s="23"/>
      <c r="I26" s="23"/>
      <c r="J26" s="23"/>
      <c r="K26" s="22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198"/>
      <c r="B27" s="23"/>
      <c r="C27" s="23"/>
      <c r="D27" s="23"/>
      <c r="E27" s="23"/>
      <c r="F27" s="23"/>
      <c r="G27" s="23"/>
      <c r="H27" s="23"/>
      <c r="I27" s="23"/>
      <c r="J27" s="23"/>
      <c r="K27" s="22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198"/>
      <c r="B28" s="23"/>
      <c r="C28" s="23"/>
      <c r="D28" s="23"/>
      <c r="E28" s="23"/>
      <c r="F28" s="23"/>
      <c r="G28" s="23"/>
      <c r="H28" s="23"/>
      <c r="I28" s="23"/>
      <c r="J28" s="23"/>
      <c r="K28" s="22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198"/>
      <c r="B29" s="23"/>
      <c r="C29" s="23"/>
      <c r="D29" s="23"/>
      <c r="E29" s="23"/>
      <c r="F29" s="23"/>
      <c r="G29" s="23"/>
      <c r="H29" s="23"/>
      <c r="I29" s="23"/>
      <c r="J29" s="23"/>
      <c r="K29" s="22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198"/>
      <c r="B30" s="23"/>
      <c r="C30" s="23"/>
      <c r="D30" s="23"/>
      <c r="E30" s="23"/>
      <c r="F30" s="23"/>
      <c r="G30" s="23"/>
      <c r="H30" s="23"/>
      <c r="I30" s="23"/>
      <c r="J30" s="23"/>
      <c r="K30" s="22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198"/>
      <c r="B31" s="23"/>
      <c r="C31" s="23"/>
      <c r="D31" s="23"/>
      <c r="E31" s="23"/>
      <c r="F31" s="23"/>
      <c r="G31" s="23"/>
      <c r="H31" s="23"/>
      <c r="I31" s="23"/>
      <c r="J31" s="23"/>
      <c r="K31" s="22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3" width="10.38"/>
    <col customWidth="1" min="4" max="4" width="22.5"/>
    <col customWidth="1" min="5" max="5" width="20.25"/>
    <col customWidth="1" min="6" max="6" width="17.63"/>
    <col customWidth="1" min="7" max="7" width="12.38"/>
    <col customWidth="1" min="8" max="8" width="7.5"/>
    <col customWidth="1" min="9" max="9" width="4.5"/>
    <col customWidth="1" min="10" max="10" width="18.5"/>
    <col customWidth="1" min="11" max="11" width="48.5"/>
    <col customWidth="1" min="12" max="12" width="13.13"/>
    <col customWidth="1" min="13" max="13" width="4.38"/>
  </cols>
  <sheetData>
    <row r="1">
      <c r="A1" s="226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26" t="s">
        <v>1062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/>
      <c r="B3" s="2" t="s">
        <v>2</v>
      </c>
      <c r="C3" s="4" t="s">
        <v>1035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27" t="s">
        <v>4</v>
      </c>
      <c r="B4" s="227" t="s">
        <v>5</v>
      </c>
      <c r="C4" s="227" t="s">
        <v>6</v>
      </c>
      <c r="D4" s="227" t="s">
        <v>8</v>
      </c>
      <c r="E4" s="227" t="s">
        <v>7</v>
      </c>
      <c r="F4" s="227" t="s">
        <v>9</v>
      </c>
      <c r="G4" s="228" t="s">
        <v>1063</v>
      </c>
      <c r="H4" s="61"/>
      <c r="I4" s="61"/>
      <c r="J4" s="61"/>
      <c r="K4" s="62"/>
      <c r="L4" s="229" t="s">
        <v>1040</v>
      </c>
      <c r="M4" s="51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</row>
    <row r="5">
      <c r="A5" s="8"/>
      <c r="B5" s="8"/>
      <c r="C5" s="8"/>
      <c r="D5" s="8"/>
      <c r="E5" s="8"/>
      <c r="F5" s="8"/>
      <c r="G5" s="230" t="s">
        <v>1064</v>
      </c>
      <c r="H5" s="230" t="s">
        <v>1065</v>
      </c>
      <c r="I5" s="230" t="s">
        <v>1066</v>
      </c>
      <c r="J5" s="230" t="s">
        <v>1067</v>
      </c>
      <c r="K5" s="230" t="s">
        <v>1068</v>
      </c>
      <c r="L5" s="230" t="s">
        <v>12</v>
      </c>
      <c r="M5" s="231" t="s">
        <v>13</v>
      </c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2"/>
      <c r="AA5" s="212"/>
    </row>
    <row r="6">
      <c r="A6" s="12">
        <v>1.0</v>
      </c>
      <c r="B6" s="11">
        <v>2.0</v>
      </c>
      <c r="C6" s="11">
        <v>3.0</v>
      </c>
      <c r="D6" s="12">
        <v>4.0</v>
      </c>
      <c r="E6" s="11">
        <v>5.0</v>
      </c>
      <c r="F6" s="11">
        <v>6.0</v>
      </c>
      <c r="G6" s="12">
        <v>7.0</v>
      </c>
      <c r="H6" s="11">
        <v>8.0</v>
      </c>
      <c r="I6" s="11">
        <v>9.0</v>
      </c>
      <c r="J6" s="12">
        <v>10.0</v>
      </c>
      <c r="K6" s="11">
        <v>11.0</v>
      </c>
      <c r="L6" s="11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232">
        <v>45826.0</v>
      </c>
      <c r="C7" s="14" t="s">
        <v>14</v>
      </c>
      <c r="D7" s="233" t="s">
        <v>1069</v>
      </c>
      <c r="E7" s="234" t="s">
        <v>1070</v>
      </c>
      <c r="F7" s="234" t="s">
        <v>1071</v>
      </c>
      <c r="G7" s="235" t="s">
        <v>51</v>
      </c>
      <c r="H7" s="235" t="s">
        <v>51</v>
      </c>
      <c r="I7" s="23"/>
      <c r="J7" s="23"/>
      <c r="K7" s="17"/>
      <c r="L7" s="23"/>
      <c r="M7" s="22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232">
        <v>45826.0</v>
      </c>
      <c r="C8" s="14" t="s">
        <v>21</v>
      </c>
      <c r="D8" s="233" t="s">
        <v>1072</v>
      </c>
      <c r="E8" s="234" t="s">
        <v>1073</v>
      </c>
      <c r="F8" s="234" t="s">
        <v>1074</v>
      </c>
      <c r="G8" s="235" t="s">
        <v>51</v>
      </c>
      <c r="H8" s="235" t="s">
        <v>51</v>
      </c>
      <c r="I8" s="23"/>
      <c r="J8" s="23"/>
      <c r="K8" s="17"/>
      <c r="L8" s="23"/>
      <c r="M8" s="22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232">
        <v>45826.0</v>
      </c>
      <c r="C9" s="14" t="s">
        <v>21</v>
      </c>
      <c r="D9" s="233" t="s">
        <v>1075</v>
      </c>
      <c r="E9" s="234" t="s">
        <v>1076</v>
      </c>
      <c r="F9" s="234" t="s">
        <v>1074</v>
      </c>
      <c r="G9" s="235" t="s">
        <v>51</v>
      </c>
      <c r="H9" s="235" t="s">
        <v>51</v>
      </c>
      <c r="I9" s="23"/>
      <c r="J9" s="23"/>
      <c r="K9" s="17"/>
      <c r="L9" s="23"/>
      <c r="M9" s="23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>
        <v>4.0</v>
      </c>
      <c r="B10" s="232">
        <v>45826.0</v>
      </c>
      <c r="C10" s="14" t="s">
        <v>21</v>
      </c>
      <c r="D10" s="233" t="s">
        <v>1077</v>
      </c>
      <c r="E10" s="234" t="s">
        <v>1078</v>
      </c>
      <c r="F10" s="234" t="s">
        <v>1074</v>
      </c>
      <c r="G10" s="235" t="s">
        <v>51</v>
      </c>
      <c r="H10" s="235" t="s">
        <v>51</v>
      </c>
      <c r="I10" s="23"/>
      <c r="J10" s="23"/>
      <c r="K10" s="235" t="s">
        <v>1079</v>
      </c>
      <c r="L10" s="235" t="s">
        <v>1080</v>
      </c>
      <c r="M10" s="22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2">
        <v>5.0</v>
      </c>
      <c r="B11" s="232">
        <v>45826.0</v>
      </c>
      <c r="C11" s="235" t="s">
        <v>64</v>
      </c>
      <c r="D11" s="233" t="s">
        <v>1081</v>
      </c>
      <c r="E11" s="234" t="s">
        <v>1082</v>
      </c>
      <c r="F11" s="234" t="s">
        <v>1083</v>
      </c>
      <c r="G11" s="235" t="s">
        <v>51</v>
      </c>
      <c r="H11" s="235" t="s">
        <v>51</v>
      </c>
      <c r="I11" s="23"/>
      <c r="J11" s="23"/>
      <c r="K11" s="235" t="s">
        <v>1079</v>
      </c>
      <c r="L11" s="235" t="s">
        <v>1080</v>
      </c>
      <c r="M11" s="22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2">
        <v>6.0</v>
      </c>
      <c r="B12" s="232">
        <v>45826.0</v>
      </c>
      <c r="C12" s="235" t="s">
        <v>53</v>
      </c>
      <c r="D12" s="233" t="s">
        <v>1084</v>
      </c>
      <c r="E12" s="234" t="s">
        <v>1085</v>
      </c>
      <c r="F12" s="234" t="s">
        <v>1086</v>
      </c>
      <c r="G12" s="235" t="s">
        <v>51</v>
      </c>
      <c r="H12" s="235" t="s">
        <v>51</v>
      </c>
      <c r="I12" s="23"/>
      <c r="J12" s="23"/>
      <c r="K12" s="23"/>
      <c r="L12" s="23"/>
      <c r="M12" s="22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2">
        <v>7.0</v>
      </c>
      <c r="B13" s="232">
        <v>45826.0</v>
      </c>
      <c r="C13" s="235" t="s">
        <v>64</v>
      </c>
      <c r="D13" s="233" t="s">
        <v>1087</v>
      </c>
      <c r="E13" s="234" t="s">
        <v>1088</v>
      </c>
      <c r="F13" s="234" t="s">
        <v>1089</v>
      </c>
      <c r="G13" s="235" t="s">
        <v>51</v>
      </c>
      <c r="H13" s="235" t="s">
        <v>51</v>
      </c>
      <c r="I13" s="23"/>
      <c r="J13" s="23"/>
      <c r="K13" s="23"/>
      <c r="L13" s="23"/>
      <c r="M13" s="22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2">
        <v>8.0</v>
      </c>
      <c r="B14" s="232">
        <v>45826.0</v>
      </c>
      <c r="C14" s="235" t="s">
        <v>64</v>
      </c>
      <c r="D14" s="233" t="s">
        <v>1090</v>
      </c>
      <c r="E14" s="234" t="s">
        <v>1091</v>
      </c>
      <c r="F14" s="234" t="s">
        <v>1089</v>
      </c>
      <c r="G14" s="235" t="s">
        <v>51</v>
      </c>
      <c r="H14" s="235" t="s">
        <v>51</v>
      </c>
      <c r="I14" s="23"/>
      <c r="J14" s="23"/>
      <c r="K14" s="23"/>
      <c r="L14" s="23"/>
      <c r="M14" s="22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2">
        <v>9.0</v>
      </c>
      <c r="B15" s="232">
        <v>45826.0</v>
      </c>
      <c r="C15" s="235" t="s">
        <v>64</v>
      </c>
      <c r="D15" s="233" t="s">
        <v>1092</v>
      </c>
      <c r="E15" s="234" t="s">
        <v>1093</v>
      </c>
      <c r="F15" s="234" t="s">
        <v>1083</v>
      </c>
      <c r="G15" s="235" t="s">
        <v>51</v>
      </c>
      <c r="H15" s="235" t="s">
        <v>51</v>
      </c>
      <c r="I15" s="23"/>
      <c r="J15" s="23"/>
      <c r="K15" s="23"/>
      <c r="L15" s="23"/>
      <c r="M15" s="22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2">
        <v>10.0</v>
      </c>
      <c r="B16" s="232">
        <v>45826.0</v>
      </c>
      <c r="C16" s="14" t="s">
        <v>21</v>
      </c>
      <c r="D16" s="233" t="s">
        <v>1094</v>
      </c>
      <c r="E16" s="234" t="s">
        <v>1095</v>
      </c>
      <c r="F16" s="234" t="s">
        <v>1074</v>
      </c>
      <c r="G16" s="235" t="s">
        <v>51</v>
      </c>
      <c r="H16" s="235" t="s">
        <v>51</v>
      </c>
      <c r="I16" s="23"/>
      <c r="J16" s="23"/>
      <c r="K16" s="235" t="s">
        <v>1079</v>
      </c>
      <c r="L16" s="235" t="s">
        <v>1080</v>
      </c>
      <c r="M16" s="22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2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2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98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2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9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2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98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2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98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2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98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2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98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2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98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2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98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2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98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2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98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2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98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2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98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2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98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2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5"/>
    <col customWidth="1" min="5" max="5" width="26.88"/>
    <col customWidth="1" min="6" max="6" width="15.88"/>
    <col customWidth="1" min="7" max="7" width="20.75"/>
  </cols>
  <sheetData>
    <row r="1">
      <c r="A1" s="3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1096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/>
      <c r="B3" s="2" t="s">
        <v>2</v>
      </c>
      <c r="C3" s="4" t="s">
        <v>1035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237" t="s">
        <v>10</v>
      </c>
      <c r="H4" s="6" t="s">
        <v>11</v>
      </c>
      <c r="I4" s="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8"/>
      <c r="B5" s="8"/>
      <c r="C5" s="8"/>
      <c r="D5" s="8"/>
      <c r="E5" s="8"/>
      <c r="F5" s="8"/>
      <c r="G5" s="8"/>
      <c r="H5" s="9" t="s">
        <v>12</v>
      </c>
      <c r="I5" s="9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>
        <v>1.0</v>
      </c>
      <c r="B6" s="11">
        <v>2.0</v>
      </c>
      <c r="C6" s="23"/>
      <c r="D6" s="11">
        <v>3.0</v>
      </c>
      <c r="E6" s="11">
        <v>4.0</v>
      </c>
      <c r="F6" s="11">
        <v>5.0</v>
      </c>
      <c r="G6" s="11">
        <v>6.0</v>
      </c>
      <c r="H6" s="11">
        <v>7.0</v>
      </c>
      <c r="I6" s="11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238">
        <v>46087.0</v>
      </c>
      <c r="C7" s="14" t="s">
        <v>60</v>
      </c>
      <c r="D7" s="239" t="s">
        <v>1060</v>
      </c>
      <c r="E7" s="239" t="s">
        <v>1097</v>
      </c>
      <c r="F7" s="14" t="s">
        <v>1051</v>
      </c>
      <c r="G7" s="14" t="s">
        <v>1098</v>
      </c>
      <c r="H7" s="14" t="s">
        <v>1099</v>
      </c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238">
        <v>46087.0</v>
      </c>
      <c r="C8" s="14" t="s">
        <v>53</v>
      </c>
      <c r="D8" s="239" t="s">
        <v>1100</v>
      </c>
      <c r="E8" s="239" t="s">
        <v>1101</v>
      </c>
      <c r="F8" s="14" t="s">
        <v>1102</v>
      </c>
      <c r="G8" s="14" t="s">
        <v>1098</v>
      </c>
      <c r="H8" s="14" t="s">
        <v>1099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238">
        <v>46087.0</v>
      </c>
      <c r="C9" s="14" t="s">
        <v>14</v>
      </c>
      <c r="D9" s="239" t="s">
        <v>1103</v>
      </c>
      <c r="E9" s="239" t="s">
        <v>1104</v>
      </c>
      <c r="F9" s="14" t="s">
        <v>1105</v>
      </c>
      <c r="G9" s="14" t="s">
        <v>1098</v>
      </c>
      <c r="H9" s="14" t="s">
        <v>1099</v>
      </c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>
        <v>4.0</v>
      </c>
      <c r="B10" s="238">
        <v>46087.0</v>
      </c>
      <c r="C10" s="14" t="s">
        <v>64</v>
      </c>
      <c r="D10" s="239" t="s">
        <v>1106</v>
      </c>
      <c r="E10" s="239" t="s">
        <v>1107</v>
      </c>
      <c r="F10" s="14" t="s">
        <v>1108</v>
      </c>
      <c r="G10" s="14" t="s">
        <v>1098</v>
      </c>
      <c r="H10" s="14" t="s">
        <v>1099</v>
      </c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2">
        <v>5.0</v>
      </c>
      <c r="B11" s="238">
        <v>46087.0</v>
      </c>
      <c r="C11" s="14" t="s">
        <v>21</v>
      </c>
      <c r="D11" s="239" t="s">
        <v>1109</v>
      </c>
      <c r="E11" s="239" t="s">
        <v>1110</v>
      </c>
      <c r="F11" s="14" t="s">
        <v>1111</v>
      </c>
      <c r="G11" s="14" t="s">
        <v>1098</v>
      </c>
      <c r="H11" s="14" t="s">
        <v>1099</v>
      </c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2">
        <v>6.0</v>
      </c>
      <c r="B12" s="238">
        <v>46087.0</v>
      </c>
      <c r="C12" s="235" t="s">
        <v>21</v>
      </c>
      <c r="D12" s="239" t="s">
        <v>1112</v>
      </c>
      <c r="E12" s="239" t="s">
        <v>1113</v>
      </c>
      <c r="F12" s="235" t="s">
        <v>1114</v>
      </c>
      <c r="G12" s="14" t="s">
        <v>1098</v>
      </c>
      <c r="H12" s="14" t="s">
        <v>1099</v>
      </c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8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98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98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98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98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98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98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98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98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98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98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98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98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98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98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98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98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98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0"/>
    <col customWidth="1" min="8" max="8" width="32.38"/>
  </cols>
  <sheetData>
    <row r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1115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8" t="s">
        <v>1116</v>
      </c>
      <c r="B3" s="167" t="s">
        <v>1035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27" t="s">
        <v>4</v>
      </c>
      <c r="B5" s="227" t="s">
        <v>5</v>
      </c>
      <c r="C5" s="227" t="s">
        <v>6</v>
      </c>
      <c r="D5" s="227" t="s">
        <v>7</v>
      </c>
      <c r="E5" s="227" t="s">
        <v>8</v>
      </c>
      <c r="F5" s="227" t="s">
        <v>9</v>
      </c>
      <c r="G5" s="210" t="s">
        <v>10</v>
      </c>
      <c r="H5" s="229" t="s">
        <v>11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8"/>
      <c r="B6" s="8"/>
      <c r="C6" s="8"/>
      <c r="D6" s="8"/>
      <c r="E6" s="8"/>
      <c r="F6" s="8"/>
      <c r="G6" s="8"/>
      <c r="H6" s="230" t="s">
        <v>12</v>
      </c>
      <c r="I6" s="230" t="s">
        <v>13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>
        <v>2.0</v>
      </c>
      <c r="C7" s="23"/>
      <c r="D7" s="11">
        <v>3.0</v>
      </c>
      <c r="E7" s="11">
        <v>4.0</v>
      </c>
      <c r="F7" s="11">
        <v>5.0</v>
      </c>
      <c r="G7" s="11">
        <v>6.0</v>
      </c>
      <c r="H7" s="11">
        <v>7.0</v>
      </c>
      <c r="I7" s="11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17" t="s">
        <v>1117</v>
      </c>
      <c r="C8" s="14" t="s">
        <v>1118</v>
      </c>
      <c r="D8" s="49" t="s">
        <v>1119</v>
      </c>
      <c r="E8" s="17" t="s">
        <v>1120</v>
      </c>
      <c r="F8" s="17" t="s">
        <v>1121</v>
      </c>
      <c r="G8" s="17" t="s">
        <v>1122</v>
      </c>
      <c r="H8" s="17" t="s">
        <v>1123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17"/>
      <c r="C9" s="17"/>
      <c r="D9" s="23"/>
      <c r="E9" s="23"/>
      <c r="F9" s="23"/>
      <c r="G9" s="23"/>
      <c r="H9" s="2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17"/>
      <c r="C10" s="17"/>
      <c r="D10" s="78"/>
      <c r="E10" s="17"/>
      <c r="F10" s="17"/>
      <c r="G10" s="17"/>
      <c r="H10" s="18"/>
      <c r="I10" s="1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81"/>
      <c r="B11" s="240"/>
      <c r="C11" s="23"/>
      <c r="D11" s="23"/>
      <c r="E11" s="23"/>
      <c r="F11" s="23"/>
      <c r="G11" s="17"/>
      <c r="H11" s="2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41"/>
      <c r="B12" s="242"/>
      <c r="C12" s="17"/>
      <c r="D12" s="243"/>
      <c r="E12" s="17"/>
      <c r="F12" s="17"/>
      <c r="G12" s="17"/>
      <c r="H12" s="17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41"/>
      <c r="B13" s="244"/>
      <c r="C13" s="17"/>
      <c r="D13" s="17"/>
      <c r="E13" s="17"/>
      <c r="F13" s="17"/>
      <c r="G13" s="17"/>
      <c r="H13" s="23"/>
      <c r="I13" s="1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1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1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1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1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1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1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1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1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1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1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1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1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1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1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1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1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1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81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