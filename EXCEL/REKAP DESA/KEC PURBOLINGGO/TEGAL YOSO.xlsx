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<sst xmlns="http://schemas.openxmlformats.org/spreadsheetml/2006/main" count="674" uniqueCount="397">
  <si>
    <t>DATABASE POSYANDU</t>
  </si>
  <si>
    <t>DESA</t>
  </si>
  <si>
    <t>:  TEGAL YOSO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</si>
  <si>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</si>
  <si>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</si>
  <si>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</si>
  <si>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</si>
  <si>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</si>
  <si>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</si>
  <si>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</si>
  <si>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</si>
  <si>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</si>
  <si>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</si>
  <si>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</si>
  <si>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</si>
  <si>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</si>
  <si>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</si>
  <si>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</si>
  <si>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</si>
  <si>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</si>
  <si>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</si>
  <si>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</si>
  <si>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</si>
  <si>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</t>
  </si>
  <si>
    <t>Selasa ke-1</t>
  </si>
  <si>
    <t>Mandiri</t>
  </si>
  <si>
    <t>Posyandu ILP</t>
  </si>
  <si>
    <t>Kenanga</t>
  </si>
  <si>
    <t>Senin ke-1</t>
  </si>
  <si>
    <t>Mawar</t>
  </si>
  <si>
    <t>Rabu ke-1</t>
  </si>
  <si>
    <t>Melati</t>
  </si>
  <si>
    <t>Senin ke-2</t>
  </si>
  <si>
    <t>Anggrek</t>
  </si>
  <si>
    <t>Selasa ke-2</t>
  </si>
  <si>
    <t>Cempaka</t>
  </si>
  <si>
    <t>Rabu ke-2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</si>
  <si>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</si>
  <si>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</si>
  <si>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</si>
  <si>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</si>
  <si>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</si>
  <si>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</si>
  <si>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</si>
  <si>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</si>
  <si>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</si>
  <si>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</si>
  <si>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</si>
  <si>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</si>
  <si>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</si>
  <si>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</si>
  <si>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1807231503090001</t>
  </si>
  <si>
    <t>YANTI NURHAYATI</t>
  </si>
  <si>
    <t>RT 10/25</t>
  </si>
  <si>
    <t>Tidak ada biaya untuk Kuliah jadi mengajukan pembuatan KIP (contoh)</t>
  </si>
  <si>
    <t>Sudah diproses</t>
  </si>
  <si>
    <t>-</t>
  </si>
  <si>
    <t>1807157110110001</t>
  </si>
  <si>
    <t>ALFA SA'ADAH</t>
  </si>
  <si>
    <t>RT 006/002</t>
  </si>
  <si>
    <t>Keterbelakangan Mental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</si>
  <si>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</si>
  <si>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</si>
  <si>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</si>
  <si>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</si>
  <si>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</si>
  <si>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</si>
  <si>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</si>
  <si>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</si>
  <si>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</si>
  <si>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</si>
  <si>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</si>
  <si>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</si>
  <si>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</si>
  <si>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</si>
  <si>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</si>
  <si>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</si>
  <si>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</si>
  <si>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</si>
  <si>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</si>
  <si>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</si>
  <si>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</si>
  <si>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</si>
  <si>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</si>
  <si>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</si>
  <si>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</si>
  <si>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</si>
  <si>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</si>
  <si>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</si>
  <si>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</si>
  <si>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</si>
  <si>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</si>
  <si>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</si>
  <si>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</si>
  <si>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</si>
  <si>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</si>
  <si>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</si>
  <si>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</si>
  <si>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</si>
  <si>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</si>
  <si>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 xml:space="preserve">DESA </t>
  </si>
  <si>
    <t xml:space="preserve">TAHUN </t>
  </si>
  <si>
    <t>: 2025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</si>
  <si>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</si>
  <si>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</si>
  <si>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</si>
  <si>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</si>
  <si>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</si>
  <si>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</si>
  <si>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</si>
  <si>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</si>
  <si>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</si>
  <si>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</si>
  <si>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</si>
  <si>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</si>
  <si>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</si>
  <si>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</si>
  <si>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</si>
  <si>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</si>
  <si>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</si>
  <si>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Rosmawati</t>
  </si>
  <si>
    <t>Asno</t>
  </si>
  <si>
    <t>Cheryl Nadzira Fayora</t>
  </si>
  <si>
    <t>Nursyamsiah</t>
  </si>
  <si>
    <t>Pujiono</t>
  </si>
  <si>
    <t>Rayyanza Keivano Fauzi</t>
  </si>
  <si>
    <t>Linda Kartinanda</t>
  </si>
  <si>
    <t>Dodi Prasetio</t>
  </si>
  <si>
    <t>Nahla Khalila</t>
  </si>
  <si>
    <t>Deviana Nur Habibah</t>
  </si>
  <si>
    <t>Risky Ramadani</t>
  </si>
  <si>
    <t>Launa Felicia Putri</t>
  </si>
  <si>
    <t>Munir</t>
  </si>
  <si>
    <t>Jaja Suhendar</t>
  </si>
  <si>
    <t>Ayyash Farhan Ramadhan</t>
  </si>
  <si>
    <t>Maya Silvia</t>
  </si>
  <si>
    <t>Yoanda</t>
  </si>
  <si>
    <t>Kabay Nawarena Aretha</t>
  </si>
  <si>
    <t>Dian Mardiana</t>
  </si>
  <si>
    <t>Ari Susanto</t>
  </si>
  <si>
    <t>Zayyan Akbar Ramadhan</t>
  </si>
  <si>
    <t>Lilis Santi Umayah</t>
  </si>
  <si>
    <t>Paryadi</t>
  </si>
  <si>
    <t>Ahmad Adnan Toriq Alhafid</t>
  </si>
  <si>
    <t>Susi Yanti</t>
  </si>
  <si>
    <t>Sugi Yanto</t>
  </si>
  <si>
    <t>M. Rafif Ahnaf Khavirunnas</t>
  </si>
  <si>
    <t>Yun Farida</t>
  </si>
  <si>
    <t>Agus Triyana Putra</t>
  </si>
  <si>
    <t>Taqy Afaiz</t>
  </si>
  <si>
    <t>Nur Ayuni</t>
  </si>
  <si>
    <t>Didit Mulyana</t>
  </si>
  <si>
    <t>Athara Dayu Salsabilla</t>
  </si>
  <si>
    <t>Allfina Damayanti</t>
  </si>
  <si>
    <t>Ricky Endro</t>
  </si>
  <si>
    <t>Cio Adiwinata</t>
  </si>
  <si>
    <t>Cucu Cahyanti</t>
  </si>
  <si>
    <t>Iwan Solihin</t>
  </si>
  <si>
    <t>Hafidzul Atmawijaya</t>
  </si>
  <si>
    <t>Nenti Puspitasari</t>
  </si>
  <si>
    <t>Lodi Saputra</t>
  </si>
  <si>
    <t>Felica Elvaretta</t>
  </si>
  <si>
    <t>Dewi Winarsih</t>
  </si>
  <si>
    <t>Ketut Sudastre</t>
  </si>
  <si>
    <t>Muhammad Hafiz Al Faqih</t>
  </si>
  <si>
    <t>Susi Septianingsih</t>
  </si>
  <si>
    <t>M. Alip Urip</t>
  </si>
  <si>
    <t>M. Arrazka Zayan Agasi</t>
  </si>
  <si>
    <t>Ernawati</t>
  </si>
  <si>
    <t>Rahmad Iskandar</t>
  </si>
  <si>
    <t>Reyanza Zayan Kalandra</t>
  </si>
  <si>
    <t>Diana Widi Astuti</t>
  </si>
  <si>
    <t>Clarisa Oktarina</t>
  </si>
  <si>
    <t>Indra Yulianti</t>
  </si>
  <si>
    <t>Satiran</t>
  </si>
  <si>
    <t>Aluna Zafira Livia</t>
  </si>
  <si>
    <t>Ashry Nurpetiwi</t>
  </si>
  <si>
    <t>Dedy Septiawan</t>
  </si>
  <si>
    <t>Azania Mecca Deysha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</si>
  <si>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</si>
  <si>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</si>
  <si>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</si>
  <si>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</si>
  <si>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</si>
  <si>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</si>
  <si>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</si>
  <si>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Taqy Alfaiz</t>
  </si>
  <si>
    <t>Agus Triyana</t>
  </si>
  <si>
    <t>DATA SASARAN USIA SEKOLAH/REMAJA</t>
  </si>
  <si>
    <t xml:space="preserve">NAMA </t>
  </si>
  <si>
    <t>JUMLAH KUNJUNGAN DAN JUMLAH SASARAN USIA SEKOLAH/REMAJA</t>
  </si>
  <si>
    <t>Adli. A</t>
  </si>
  <si>
    <t>Intan Ayu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</si>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</sst>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/mm/yyyy"/>
    <numFmt numFmtId="167" formatCode="d/m/yyyy"/>
    <numFmt numFmtId="168" formatCode="mmmm yyyy"/>
    <numFmt numFmtId="169" formatCode="dd 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center" readingOrder="0" shrinkToFit="0" vertical="bottom" wrapText="0"/>
    </xf>
    <xf borderId="13" fillId="0" fontId="14" numFmtId="167" xfId="0" applyAlignment="1" applyBorder="1" applyFont="1" applyNumberFormat="1">
      <alignment horizontal="center" readingOrder="0" shrinkToFit="0" vertical="bottom" wrapText="0"/>
    </xf>
    <xf borderId="6" fillId="0" fontId="14" numFmtId="167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8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10.38"/>
    <col customWidth="1" min="4" max="4" width="9.0"/>
    <col customWidth="1" min="5" max="5" width="10.5"/>
    <col customWidth="1" min="6" max="6" width="10.63"/>
    <col customWidth="1" min="7" max="7" width="10.5"/>
    <col customWidth="1" min="10" max="10" width="9.0"/>
    <col customWidth="1" min="11" max="11" width="10.88"/>
    <col customWidth="1" min="14" max="14" width="6.63"/>
    <col customWidth="1" min="15" max="15" width="10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147.0</v>
      </c>
      <c r="E6" s="16">
        <v>154.0</v>
      </c>
      <c r="F6" s="15">
        <v>511.0</v>
      </c>
      <c r="G6" s="15"/>
      <c r="H6" s="15">
        <v>33.0</v>
      </c>
      <c r="I6" s="15">
        <v>264.0</v>
      </c>
      <c r="J6" s="15">
        <v>59.0</v>
      </c>
      <c r="K6" s="15">
        <v>13.0</v>
      </c>
      <c r="L6" s="15"/>
      <c r="M6" s="15">
        <v>1.0</v>
      </c>
      <c r="N6" s="17"/>
      <c r="O6" s="18"/>
      <c r="P6" s="15">
        <v>7.0</v>
      </c>
      <c r="Q6" s="19" t="s">
        <v>25</v>
      </c>
      <c r="R6" s="20" t="s">
        <v>26</v>
      </c>
      <c r="S6" s="2"/>
    </row>
    <row r="7">
      <c r="A7" s="21">
        <v>2.0</v>
      </c>
      <c r="B7" s="22" t="s">
        <v>27</v>
      </c>
      <c r="C7" s="14" t="s">
        <v>28</v>
      </c>
      <c r="D7" s="20">
        <v>97.0</v>
      </c>
      <c r="E7" s="23">
        <v>104.0</v>
      </c>
      <c r="F7" s="20">
        <v>319.0</v>
      </c>
      <c r="G7" s="20"/>
      <c r="H7" s="20">
        <v>18.0</v>
      </c>
      <c r="I7" s="20">
        <v>191.0</v>
      </c>
      <c r="J7" s="20">
        <v>51.0</v>
      </c>
      <c r="K7" s="20">
        <v>2.0</v>
      </c>
      <c r="L7" s="24"/>
      <c r="M7" s="15">
        <v>1.0</v>
      </c>
      <c r="N7" s="17"/>
      <c r="O7" s="24"/>
      <c r="P7" s="15">
        <v>7.0</v>
      </c>
      <c r="Q7" s="19" t="s">
        <v>25</v>
      </c>
      <c r="R7" s="20" t="s">
        <v>26</v>
      </c>
      <c r="S7" s="2"/>
    </row>
    <row r="8">
      <c r="A8" s="21">
        <v>3.0</v>
      </c>
      <c r="B8" s="25" t="s">
        <v>29</v>
      </c>
      <c r="C8" s="14" t="s">
        <v>30</v>
      </c>
      <c r="D8" s="15">
        <v>170.0</v>
      </c>
      <c r="E8" s="16">
        <v>196.0</v>
      </c>
      <c r="F8" s="15">
        <v>625.0</v>
      </c>
      <c r="G8" s="20"/>
      <c r="H8" s="20">
        <v>115.0</v>
      </c>
      <c r="I8" s="20"/>
      <c r="J8" s="20">
        <v>69.0</v>
      </c>
      <c r="K8" s="20">
        <v>3.0</v>
      </c>
      <c r="L8" s="26"/>
      <c r="M8" s="15">
        <v>1.0</v>
      </c>
      <c r="N8" s="17"/>
      <c r="O8" s="24"/>
      <c r="P8" s="15">
        <v>7.0</v>
      </c>
      <c r="Q8" s="19" t="s">
        <v>25</v>
      </c>
      <c r="R8" s="20" t="s">
        <v>26</v>
      </c>
      <c r="S8" s="2"/>
    </row>
    <row r="9">
      <c r="A9" s="21">
        <v>4.0</v>
      </c>
      <c r="B9" s="25" t="s">
        <v>31</v>
      </c>
      <c r="C9" s="14" t="s">
        <v>32</v>
      </c>
      <c r="D9" s="20"/>
      <c r="E9" s="23">
        <v>150.0</v>
      </c>
      <c r="F9" s="20">
        <v>490.0</v>
      </c>
      <c r="G9" s="26"/>
      <c r="H9" s="20">
        <v>211.0</v>
      </c>
      <c r="I9" s="20"/>
      <c r="J9" s="20">
        <v>75.0</v>
      </c>
      <c r="K9" s="20">
        <v>1.0</v>
      </c>
      <c r="L9" s="26"/>
      <c r="M9" s="15">
        <v>1.0</v>
      </c>
      <c r="N9" s="17"/>
      <c r="O9" s="26"/>
      <c r="P9" s="15">
        <v>7.0</v>
      </c>
      <c r="Q9" s="19" t="s">
        <v>25</v>
      </c>
      <c r="R9" s="20" t="s">
        <v>26</v>
      </c>
      <c r="S9" s="2"/>
    </row>
    <row r="10">
      <c r="A10" s="21">
        <v>5.0</v>
      </c>
      <c r="B10" s="25" t="s">
        <v>33</v>
      </c>
      <c r="C10" s="14" t="s">
        <v>34</v>
      </c>
      <c r="D10" s="20">
        <v>220.0</v>
      </c>
      <c r="E10" s="23">
        <v>264.0</v>
      </c>
      <c r="F10" s="20">
        <v>821.0</v>
      </c>
      <c r="G10" s="26"/>
      <c r="H10" s="20">
        <v>58.0</v>
      </c>
      <c r="I10" s="20">
        <v>370.0</v>
      </c>
      <c r="J10" s="20">
        <v>138.0</v>
      </c>
      <c r="K10" s="20">
        <v>5.0</v>
      </c>
      <c r="L10" s="26"/>
      <c r="M10" s="15">
        <v>1.0</v>
      </c>
      <c r="N10" s="17"/>
      <c r="O10" s="24"/>
      <c r="P10" s="15">
        <v>7.0</v>
      </c>
      <c r="Q10" s="19" t="s">
        <v>25</v>
      </c>
      <c r="R10" s="20" t="s">
        <v>26</v>
      </c>
      <c r="S10" s="2"/>
    </row>
    <row r="11">
      <c r="A11" s="21">
        <v>6.0</v>
      </c>
      <c r="B11" s="27" t="s">
        <v>35</v>
      </c>
      <c r="C11" s="14" t="s">
        <v>36</v>
      </c>
      <c r="D11" s="20">
        <v>186.0</v>
      </c>
      <c r="E11" s="23">
        <v>210.0</v>
      </c>
      <c r="F11" s="20">
        <v>695.0</v>
      </c>
      <c r="G11" s="26"/>
      <c r="H11" s="26"/>
      <c r="I11" s="20">
        <v>541.0</v>
      </c>
      <c r="J11" s="20">
        <v>95.0</v>
      </c>
      <c r="K11" s="20">
        <v>0.0</v>
      </c>
      <c r="L11" s="26"/>
      <c r="M11" s="15">
        <v>1.0</v>
      </c>
      <c r="N11" s="26"/>
      <c r="O11" s="24"/>
      <c r="P11" s="28">
        <v>7.0</v>
      </c>
      <c r="Q11" s="19" t="s">
        <v>25</v>
      </c>
      <c r="R11" s="20" t="s">
        <v>26</v>
      </c>
      <c r="S11" s="2"/>
    </row>
    <row r="12">
      <c r="A12" s="12"/>
      <c r="B12" s="29"/>
      <c r="C12" s="26"/>
      <c r="D12" s="26"/>
      <c r="E12" s="30"/>
      <c r="F12" s="24"/>
      <c r="G12" s="26"/>
      <c r="H12" s="26"/>
      <c r="I12" s="26"/>
      <c r="J12" s="26"/>
      <c r="K12" s="26"/>
      <c r="L12" s="24"/>
      <c r="M12" s="26"/>
      <c r="N12" s="26"/>
      <c r="O12" s="24"/>
      <c r="P12" s="31"/>
      <c r="Q12" s="19" t="s">
        <v>25</v>
      </c>
      <c r="R12" s="20" t="s">
        <v>26</v>
      </c>
      <c r="S12" s="2"/>
    </row>
    <row r="13">
      <c r="A13" s="32" t="s">
        <v>37</v>
      </c>
      <c r="B13" s="33"/>
      <c r="C13" s="8"/>
      <c r="D13" s="26">
        <f t="shared" ref="D13:P13" si="1">SUM(D6:D12)</f>
        <v>820</v>
      </c>
      <c r="E13" s="26">
        <f t="shared" si="1"/>
        <v>1078</v>
      </c>
      <c r="F13" s="26">
        <f t="shared" si="1"/>
        <v>3461</v>
      </c>
      <c r="G13" s="26">
        <f t="shared" si="1"/>
        <v>0</v>
      </c>
      <c r="H13" s="26">
        <f t="shared" si="1"/>
        <v>435</v>
      </c>
      <c r="I13" s="26">
        <f t="shared" si="1"/>
        <v>1366</v>
      </c>
      <c r="J13" s="26">
        <f t="shared" si="1"/>
        <v>487</v>
      </c>
      <c r="K13" s="26">
        <f t="shared" si="1"/>
        <v>24</v>
      </c>
      <c r="L13" s="26">
        <f t="shared" si="1"/>
        <v>0</v>
      </c>
      <c r="M13" s="26">
        <f t="shared" si="1"/>
        <v>6</v>
      </c>
      <c r="N13" s="26">
        <f t="shared" si="1"/>
        <v>0</v>
      </c>
      <c r="O13" s="26">
        <f t="shared" si="1"/>
        <v>0</v>
      </c>
      <c r="P13" s="26">
        <f t="shared" si="1"/>
        <v>42</v>
      </c>
      <c r="Q13" s="23">
        <v>6.0</v>
      </c>
      <c r="R13" s="26">
        <f>SUM(R6:R12)</f>
        <v>0</v>
      </c>
      <c r="S13" s="2"/>
    </row>
  </sheetData>
  <mergeCells count="18">
    <mergeCell ref="G4:G5"/>
    <mergeCell ref="H4:H5"/>
    <mergeCell ref="A13:C13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40</v>
      </c>
      <c r="B5" s="37" t="s">
        <v>41</v>
      </c>
      <c r="C5" s="37" t="s">
        <v>42</v>
      </c>
      <c r="D5" s="37" t="s">
        <v>43</v>
      </c>
      <c r="E5" s="37" t="s">
        <v>44</v>
      </c>
      <c r="F5" s="37" t="s">
        <v>45</v>
      </c>
      <c r="G5" s="37" t="s">
        <v>46</v>
      </c>
      <c r="H5" s="38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48</v>
      </c>
      <c r="I6" s="39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50</v>
      </c>
      <c r="C8" s="42" t="str">
        <f>DATABASE!B6</f>
        <v>Dahlia</v>
      </c>
      <c r="D8" s="19" t="s">
        <v>51</v>
      </c>
      <c r="E8" s="43" t="s">
        <v>52</v>
      </c>
      <c r="F8" s="44" t="s">
        <v>53</v>
      </c>
      <c r="G8" s="42" t="s">
        <v>54</v>
      </c>
      <c r="H8" s="44" t="s">
        <v>55</v>
      </c>
      <c r="I8" s="26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2" t="str">
        <f>DATABASE!B7</f>
        <v>Kenanga</v>
      </c>
      <c r="D9" s="42" t="s">
        <v>57</v>
      </c>
      <c r="E9" s="42" t="s">
        <v>58</v>
      </c>
      <c r="F9" s="42" t="s">
        <v>59</v>
      </c>
      <c r="G9" s="42" t="s">
        <v>60</v>
      </c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6"/>
      <c r="C10" s="42" t="str">
        <f>DATABASE!B8</f>
        <v>Mawar</v>
      </c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5"/>
      <c r="C11" s="42" t="str">
        <f>DATABASE!B9</f>
        <v>Melati</v>
      </c>
      <c r="D11" s="44"/>
      <c r="E11" s="43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26"/>
      <c r="C12" s="42" t="str">
        <f>DATABASE!B10</f>
        <v>Anggrek</v>
      </c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5"/>
      <c r="C13" s="42" t="str">
        <f>DATABASE!B11</f>
        <v>Cempaka</v>
      </c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6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6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4"/>
      <c r="E16" s="44"/>
      <c r="F16" s="44"/>
      <c r="G16" s="44"/>
      <c r="H16" s="26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20.88"/>
    <col customWidth="1" min="5" max="5" width="9.63"/>
    <col customWidth="1" min="6" max="6" width="14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61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tr">
        <f>DATABASE!C2</f>
        <v>:  TEGAL YOSO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62</v>
      </c>
      <c r="C4" s="53" t="s">
        <v>63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4" t="s">
        <v>64</v>
      </c>
      <c r="AB4" s="33"/>
      <c r="AC4" s="33"/>
      <c r="AD4" s="33"/>
      <c r="AE4" s="33"/>
      <c r="AF4" s="8"/>
      <c r="AG4" s="54" t="s">
        <v>65</v>
      </c>
      <c r="AH4" s="33"/>
      <c r="AI4" s="33"/>
      <c r="AJ4" s="8"/>
      <c r="AK4" s="55" t="s">
        <v>66</v>
      </c>
      <c r="AL4" s="2"/>
    </row>
    <row r="5">
      <c r="A5" s="56"/>
      <c r="B5" s="56"/>
      <c r="C5" s="57" t="s">
        <v>67</v>
      </c>
      <c r="D5" s="33"/>
      <c r="E5" s="33"/>
      <c r="F5" s="33"/>
      <c r="G5" s="33"/>
      <c r="H5" s="33"/>
      <c r="I5" s="33"/>
      <c r="J5" s="8"/>
      <c r="K5" s="58" t="s">
        <v>68</v>
      </c>
      <c r="L5" s="59"/>
      <c r="M5" s="59"/>
      <c r="N5" s="60"/>
      <c r="O5" s="61" t="s">
        <v>69</v>
      </c>
      <c r="R5" s="62"/>
      <c r="S5" s="61" t="s">
        <v>70</v>
      </c>
      <c r="V5" s="62"/>
      <c r="W5" s="63" t="s">
        <v>71</v>
      </c>
      <c r="X5" s="54" t="s">
        <v>72</v>
      </c>
      <c r="Y5" s="33"/>
      <c r="Z5" s="8"/>
      <c r="AA5" s="64" t="s">
        <v>73</v>
      </c>
      <c r="AB5" s="60"/>
      <c r="AC5" s="64" t="s">
        <v>74</v>
      </c>
      <c r="AD5" s="60"/>
      <c r="AE5" s="64" t="s">
        <v>75</v>
      </c>
      <c r="AF5" s="60"/>
      <c r="AG5" s="64" t="s">
        <v>76</v>
      </c>
      <c r="AH5" s="60"/>
      <c r="AI5" s="64" t="s">
        <v>77</v>
      </c>
      <c r="AJ5" s="60"/>
      <c r="AK5" s="65"/>
      <c r="AL5" s="2"/>
    </row>
    <row r="6">
      <c r="A6" s="56"/>
      <c r="B6" s="56"/>
      <c r="C6" s="57" t="s">
        <v>78</v>
      </c>
      <c r="D6" s="33"/>
      <c r="E6" s="33"/>
      <c r="F6" s="8"/>
      <c r="G6" s="54" t="s">
        <v>79</v>
      </c>
      <c r="H6" s="33"/>
      <c r="I6" s="33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3" t="s">
        <v>80</v>
      </c>
      <c r="Y6" s="63" t="s">
        <v>81</v>
      </c>
      <c r="Z6" s="63" t="s">
        <v>82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5"/>
      <c r="AL6" s="2"/>
    </row>
    <row r="7">
      <c r="A7" s="56"/>
      <c r="B7" s="56"/>
      <c r="C7" s="57" t="s">
        <v>83</v>
      </c>
      <c r="D7" s="8"/>
      <c r="E7" s="54" t="s">
        <v>84</v>
      </c>
      <c r="F7" s="8"/>
      <c r="G7" s="54" t="s">
        <v>83</v>
      </c>
      <c r="H7" s="8"/>
      <c r="I7" s="54" t="s">
        <v>84</v>
      </c>
      <c r="J7" s="8"/>
      <c r="K7" s="69" t="s">
        <v>83</v>
      </c>
      <c r="L7" s="68"/>
      <c r="M7" s="69" t="s">
        <v>84</v>
      </c>
      <c r="N7" s="68"/>
      <c r="O7" s="69" t="s">
        <v>83</v>
      </c>
      <c r="P7" s="68"/>
      <c r="Q7" s="69" t="s">
        <v>84</v>
      </c>
      <c r="R7" s="68"/>
      <c r="S7" s="69" t="s">
        <v>83</v>
      </c>
      <c r="T7" s="68"/>
      <c r="U7" s="69" t="s">
        <v>84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85</v>
      </c>
      <c r="D8" s="71" t="s">
        <v>86</v>
      </c>
      <c r="E8" s="71" t="s">
        <v>85</v>
      </c>
      <c r="F8" s="71" t="s">
        <v>86</v>
      </c>
      <c r="G8" s="71" t="s">
        <v>85</v>
      </c>
      <c r="H8" s="71" t="s">
        <v>86</v>
      </c>
      <c r="I8" s="71" t="s">
        <v>85</v>
      </c>
      <c r="J8" s="71" t="s">
        <v>86</v>
      </c>
      <c r="K8" s="72" t="s">
        <v>85</v>
      </c>
      <c r="L8" s="72" t="s">
        <v>86</v>
      </c>
      <c r="M8" s="72" t="s">
        <v>85</v>
      </c>
      <c r="N8" s="72" t="s">
        <v>86</v>
      </c>
      <c r="O8" s="72" t="s">
        <v>85</v>
      </c>
      <c r="P8" s="72" t="s">
        <v>86</v>
      </c>
      <c r="Q8" s="72" t="s">
        <v>85</v>
      </c>
      <c r="R8" s="72" t="s">
        <v>86</v>
      </c>
      <c r="S8" s="72" t="s">
        <v>85</v>
      </c>
      <c r="T8" s="72" t="s">
        <v>86</v>
      </c>
      <c r="U8" s="72" t="s">
        <v>85</v>
      </c>
      <c r="V8" s="72" t="s">
        <v>86</v>
      </c>
      <c r="W8" s="10"/>
      <c r="X8" s="10"/>
      <c r="Y8" s="10"/>
      <c r="Z8" s="10"/>
      <c r="AA8" s="71" t="s">
        <v>85</v>
      </c>
      <c r="AB8" s="71" t="s">
        <v>86</v>
      </c>
      <c r="AC8" s="71" t="s">
        <v>85</v>
      </c>
      <c r="AD8" s="71" t="s">
        <v>86</v>
      </c>
      <c r="AE8" s="71" t="s">
        <v>85</v>
      </c>
      <c r="AF8" s="71" t="s">
        <v>86</v>
      </c>
      <c r="AG8" s="71" t="s">
        <v>85</v>
      </c>
      <c r="AH8" s="71" t="s">
        <v>86</v>
      </c>
      <c r="AI8" s="71" t="s">
        <v>85</v>
      </c>
      <c r="AJ8" s="71" t="s">
        <v>86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31">
        <v>1.0</v>
      </c>
      <c r="B10" s="76" t="s">
        <v>87</v>
      </c>
      <c r="C10" s="77">
        <v>1.0</v>
      </c>
      <c r="D10" s="77">
        <v>1.0</v>
      </c>
      <c r="E10" s="78">
        <v>2.0</v>
      </c>
      <c r="F10" s="78">
        <v>3.0</v>
      </c>
      <c r="G10" s="77">
        <v>0.0</v>
      </c>
      <c r="H10" s="77">
        <v>0.0</v>
      </c>
      <c r="I10" s="78">
        <v>4.0</v>
      </c>
      <c r="J10" s="78">
        <v>7.0</v>
      </c>
      <c r="K10" s="72">
        <v>0.0</v>
      </c>
      <c r="L10" s="72">
        <v>0.0</v>
      </c>
      <c r="M10" s="72">
        <v>0.0</v>
      </c>
      <c r="N10" s="72">
        <v>0.0</v>
      </c>
      <c r="O10" s="72">
        <v>0.0</v>
      </c>
      <c r="P10" s="72">
        <v>0.0</v>
      </c>
      <c r="Q10" s="72">
        <v>0.0</v>
      </c>
      <c r="R10" s="72">
        <v>15.0</v>
      </c>
      <c r="S10" s="72">
        <v>0.0</v>
      </c>
      <c r="T10" s="72">
        <v>0.0</v>
      </c>
      <c r="U10" s="72">
        <v>0.0</v>
      </c>
      <c r="V10" s="72">
        <v>5.0</v>
      </c>
      <c r="W10" s="78"/>
      <c r="X10" s="78"/>
      <c r="Y10" s="78"/>
      <c r="Z10" s="78"/>
      <c r="AA10" s="77">
        <v>0.0</v>
      </c>
      <c r="AB10" s="78">
        <v>30.0</v>
      </c>
      <c r="AC10" s="77"/>
      <c r="AD10" s="77"/>
      <c r="AE10" s="77">
        <v>0.0</v>
      </c>
      <c r="AF10" s="78">
        <v>1.0</v>
      </c>
      <c r="AG10" s="78"/>
      <c r="AH10" s="77"/>
      <c r="AI10" s="77">
        <v>0.0</v>
      </c>
      <c r="AJ10" s="77">
        <v>0.0</v>
      </c>
      <c r="AK10" s="24"/>
      <c r="AL10" s="2"/>
    </row>
    <row r="11">
      <c r="A11" s="31">
        <v>2.0</v>
      </c>
      <c r="B11" s="76" t="s">
        <v>88</v>
      </c>
      <c r="C11" s="77">
        <v>2.0</v>
      </c>
      <c r="D11" s="77">
        <v>2.0</v>
      </c>
      <c r="E11" s="78">
        <v>1.0</v>
      </c>
      <c r="F11" s="78">
        <v>2.0</v>
      </c>
      <c r="G11" s="77">
        <v>1.0</v>
      </c>
      <c r="H11" s="77">
        <v>1.0</v>
      </c>
      <c r="I11" s="78">
        <v>4.0</v>
      </c>
      <c r="J11" s="78">
        <v>7.0</v>
      </c>
      <c r="K11" s="72">
        <v>0.0</v>
      </c>
      <c r="L11" s="72">
        <v>0.0</v>
      </c>
      <c r="M11" s="72">
        <v>0.0</v>
      </c>
      <c r="N11" s="72">
        <v>0.0</v>
      </c>
      <c r="O11" s="72">
        <v>0.0</v>
      </c>
      <c r="P11" s="72">
        <v>0.0</v>
      </c>
      <c r="Q11" s="72">
        <v>0.0</v>
      </c>
      <c r="R11" s="72">
        <v>12.0</v>
      </c>
      <c r="S11" s="72">
        <v>0.0</v>
      </c>
      <c r="T11" s="72">
        <v>0.0</v>
      </c>
      <c r="U11" s="72">
        <v>0.0</v>
      </c>
      <c r="V11" s="72">
        <v>8.0</v>
      </c>
      <c r="W11" s="78"/>
      <c r="X11" s="78"/>
      <c r="Y11" s="78"/>
      <c r="Z11" s="78"/>
      <c r="AA11" s="77">
        <v>0.0</v>
      </c>
      <c r="AB11" s="78">
        <v>30.0</v>
      </c>
      <c r="AC11" s="77"/>
      <c r="AD11" s="77"/>
      <c r="AE11" s="77">
        <v>0.0</v>
      </c>
      <c r="AF11" s="78">
        <v>1.0</v>
      </c>
      <c r="AG11" s="78"/>
      <c r="AH11" s="77"/>
      <c r="AI11" s="77">
        <v>0.0</v>
      </c>
      <c r="AJ11" s="77">
        <v>0.0</v>
      </c>
      <c r="AK11" s="24"/>
      <c r="AL11" s="2"/>
    </row>
    <row r="12">
      <c r="A12" s="31">
        <v>3.0</v>
      </c>
      <c r="B12" s="76" t="s">
        <v>89</v>
      </c>
      <c r="C12" s="77">
        <v>1.0</v>
      </c>
      <c r="D12" s="77">
        <v>0.0</v>
      </c>
      <c r="E12" s="78">
        <v>0.0</v>
      </c>
      <c r="F12" s="78">
        <v>2.0</v>
      </c>
      <c r="G12" s="77">
        <v>0.0</v>
      </c>
      <c r="H12" s="77">
        <v>0.0</v>
      </c>
      <c r="I12" s="78">
        <v>6.0</v>
      </c>
      <c r="J12" s="78">
        <v>8.0</v>
      </c>
      <c r="K12" s="72">
        <v>0.0</v>
      </c>
      <c r="L12" s="72">
        <v>0.0</v>
      </c>
      <c r="M12" s="72">
        <v>0.0</v>
      </c>
      <c r="N12" s="72">
        <v>0.0</v>
      </c>
      <c r="O12" s="72">
        <v>0.0</v>
      </c>
      <c r="P12" s="72">
        <v>0.0</v>
      </c>
      <c r="Q12" s="72">
        <v>0.0</v>
      </c>
      <c r="R12" s="72">
        <v>13.0</v>
      </c>
      <c r="S12" s="72">
        <v>0.0</v>
      </c>
      <c r="T12" s="72">
        <v>0.0</v>
      </c>
      <c r="U12" s="72">
        <v>1.0</v>
      </c>
      <c r="V12" s="72">
        <v>4.0</v>
      </c>
      <c r="W12" s="78"/>
      <c r="X12" s="78"/>
      <c r="Y12" s="78"/>
      <c r="Z12" s="78"/>
      <c r="AA12" s="77">
        <v>0.0</v>
      </c>
      <c r="AB12" s="78">
        <v>30.0</v>
      </c>
      <c r="AC12" s="77"/>
      <c r="AD12" s="77"/>
      <c r="AE12" s="77">
        <v>0.0</v>
      </c>
      <c r="AF12" s="78">
        <v>1.0</v>
      </c>
      <c r="AG12" s="77"/>
      <c r="AH12" s="77"/>
      <c r="AI12" s="77">
        <v>0.0</v>
      </c>
      <c r="AJ12" s="77">
        <v>0.0</v>
      </c>
      <c r="AK12" s="71"/>
      <c r="AL12" s="2"/>
    </row>
    <row r="13">
      <c r="A13" s="31">
        <v>4.0</v>
      </c>
      <c r="B13" s="76" t="s">
        <v>90</v>
      </c>
      <c r="C13" s="77">
        <v>0.0</v>
      </c>
      <c r="D13" s="77">
        <v>0.0</v>
      </c>
      <c r="E13" s="78">
        <v>1.0</v>
      </c>
      <c r="F13" s="78">
        <v>2.0</v>
      </c>
      <c r="G13" s="77">
        <v>0.0</v>
      </c>
      <c r="H13" s="77">
        <v>0.0</v>
      </c>
      <c r="I13" s="78">
        <v>6.0</v>
      </c>
      <c r="J13" s="78">
        <v>7.0</v>
      </c>
      <c r="K13" s="72">
        <v>0.0</v>
      </c>
      <c r="L13" s="72">
        <v>0.0</v>
      </c>
      <c r="M13" s="72">
        <v>0.0</v>
      </c>
      <c r="N13" s="72">
        <v>0.0</v>
      </c>
      <c r="O13" s="72">
        <v>0.0</v>
      </c>
      <c r="P13" s="72">
        <v>0.0</v>
      </c>
      <c r="Q13" s="72">
        <v>0.0</v>
      </c>
      <c r="R13" s="72">
        <v>12.0</v>
      </c>
      <c r="S13" s="72">
        <v>0.0</v>
      </c>
      <c r="T13" s="72">
        <v>0.0</v>
      </c>
      <c r="U13" s="72">
        <v>0.0</v>
      </c>
      <c r="V13" s="72">
        <v>4.0</v>
      </c>
      <c r="W13" s="78"/>
      <c r="X13" s="78"/>
      <c r="Y13" s="78"/>
      <c r="Z13" s="78"/>
      <c r="AA13" s="77">
        <v>0.0</v>
      </c>
      <c r="AB13" s="78">
        <v>42.0</v>
      </c>
      <c r="AC13" s="77"/>
      <c r="AD13" s="77"/>
      <c r="AE13" s="77">
        <v>0.0</v>
      </c>
      <c r="AF13" s="78">
        <v>1.0</v>
      </c>
      <c r="AG13" s="77"/>
      <c r="AH13" s="77"/>
      <c r="AI13" s="77">
        <v>0.0</v>
      </c>
      <c r="AJ13" s="77">
        <v>0.0</v>
      </c>
      <c r="AK13" s="71"/>
      <c r="AL13" s="2"/>
    </row>
    <row r="14">
      <c r="A14" s="31">
        <v>5.0</v>
      </c>
      <c r="B14" s="76" t="s">
        <v>91</v>
      </c>
      <c r="C14" s="77">
        <v>1.0</v>
      </c>
      <c r="D14" s="77">
        <v>0.0</v>
      </c>
      <c r="E14" s="78">
        <v>1.0</v>
      </c>
      <c r="F14" s="78">
        <v>0.0</v>
      </c>
      <c r="G14" s="77">
        <v>1.0</v>
      </c>
      <c r="H14" s="77">
        <v>0.0</v>
      </c>
      <c r="I14" s="78">
        <v>5.0</v>
      </c>
      <c r="J14" s="78">
        <v>8.0</v>
      </c>
      <c r="K14" s="72">
        <v>0.0</v>
      </c>
      <c r="L14" s="72">
        <v>0.0</v>
      </c>
      <c r="M14" s="72">
        <v>0.0</v>
      </c>
      <c r="N14" s="72">
        <v>0.0</v>
      </c>
      <c r="O14" s="72">
        <v>0.0</v>
      </c>
      <c r="P14" s="72">
        <v>0.0</v>
      </c>
      <c r="Q14" s="72">
        <v>0.0</v>
      </c>
      <c r="R14" s="72">
        <v>25.0</v>
      </c>
      <c r="S14" s="72">
        <v>0.0</v>
      </c>
      <c r="T14" s="72">
        <v>0.0</v>
      </c>
      <c r="U14" s="72">
        <v>0.0</v>
      </c>
      <c r="V14" s="72">
        <v>4.0</v>
      </c>
      <c r="W14" s="78"/>
      <c r="X14" s="78"/>
      <c r="Y14" s="78"/>
      <c r="Z14" s="78"/>
      <c r="AA14" s="77">
        <v>0.0</v>
      </c>
      <c r="AB14" s="78">
        <v>42.0</v>
      </c>
      <c r="AC14" s="77"/>
      <c r="AD14" s="77"/>
      <c r="AE14" s="77">
        <v>0.0</v>
      </c>
      <c r="AF14" s="78">
        <v>1.0</v>
      </c>
      <c r="AG14" s="77"/>
      <c r="AH14" s="78"/>
      <c r="AI14" s="77">
        <v>0.0</v>
      </c>
      <c r="AJ14" s="77">
        <v>0.0</v>
      </c>
      <c r="AK14" s="71"/>
      <c r="AL14" s="2"/>
    </row>
    <row r="15">
      <c r="A15" s="31">
        <v>6.0</v>
      </c>
      <c r="B15" s="76" t="s">
        <v>92</v>
      </c>
      <c r="C15" s="77">
        <v>1.0</v>
      </c>
      <c r="D15" s="78">
        <v>0.0</v>
      </c>
      <c r="E15" s="78">
        <v>1.0</v>
      </c>
      <c r="F15" s="78">
        <v>2.0</v>
      </c>
      <c r="G15" s="77">
        <v>0.0</v>
      </c>
      <c r="H15" s="77">
        <v>0.0</v>
      </c>
      <c r="I15" s="78">
        <v>6.0</v>
      </c>
      <c r="J15" s="78">
        <v>8.0</v>
      </c>
      <c r="K15" s="72">
        <v>0.0</v>
      </c>
      <c r="L15" s="72">
        <v>0.0</v>
      </c>
      <c r="M15" s="72">
        <v>0.0</v>
      </c>
      <c r="N15" s="72">
        <v>0.0</v>
      </c>
      <c r="O15" s="72">
        <v>0.0</v>
      </c>
      <c r="P15" s="72">
        <v>0.0</v>
      </c>
      <c r="Q15" s="72">
        <v>1.0</v>
      </c>
      <c r="R15" s="72">
        <v>23.0</v>
      </c>
      <c r="S15" s="72">
        <v>0.0</v>
      </c>
      <c r="T15" s="72">
        <v>0.0</v>
      </c>
      <c r="U15" s="72">
        <v>0.0</v>
      </c>
      <c r="V15" s="72">
        <v>1.0</v>
      </c>
      <c r="W15" s="78"/>
      <c r="X15" s="78"/>
      <c r="Y15" s="78"/>
      <c r="Z15" s="78"/>
      <c r="AA15" s="77">
        <v>0.0</v>
      </c>
      <c r="AB15" s="78">
        <v>42.0</v>
      </c>
      <c r="AC15" s="77"/>
      <c r="AD15" s="77"/>
      <c r="AE15" s="77">
        <v>0.0</v>
      </c>
      <c r="AF15" s="78">
        <v>1.0</v>
      </c>
      <c r="AG15" s="77"/>
      <c r="AH15" s="78"/>
      <c r="AI15" s="77">
        <v>0.0</v>
      </c>
      <c r="AJ15" s="77">
        <v>0.0</v>
      </c>
      <c r="AK15" s="24"/>
      <c r="AL15" s="2"/>
    </row>
    <row r="16">
      <c r="A16" s="31">
        <v>7.0</v>
      </c>
      <c r="B16" s="76" t="s">
        <v>93</v>
      </c>
      <c r="C16" s="77">
        <v>4.0</v>
      </c>
      <c r="D16" s="78">
        <v>3.0</v>
      </c>
      <c r="E16" s="78">
        <v>1.0</v>
      </c>
      <c r="F16" s="78">
        <v>2.0</v>
      </c>
      <c r="G16" s="77">
        <v>0.0</v>
      </c>
      <c r="H16" s="77">
        <v>0.0</v>
      </c>
      <c r="I16" s="78">
        <v>6.0</v>
      </c>
      <c r="J16" s="78">
        <v>8.0</v>
      </c>
      <c r="K16" s="72">
        <v>0.0</v>
      </c>
      <c r="L16" s="72">
        <v>0.0</v>
      </c>
      <c r="M16" s="72">
        <v>0.0</v>
      </c>
      <c r="N16" s="72">
        <v>0.0</v>
      </c>
      <c r="O16" s="72">
        <v>0.0</v>
      </c>
      <c r="P16" s="72">
        <v>0.0</v>
      </c>
      <c r="Q16" s="72">
        <v>0.0</v>
      </c>
      <c r="R16" s="72">
        <v>27.0</v>
      </c>
      <c r="S16" s="72">
        <v>0.0</v>
      </c>
      <c r="T16" s="72">
        <v>0.0</v>
      </c>
      <c r="U16" s="72">
        <v>0.0</v>
      </c>
      <c r="V16" s="72">
        <v>2.0</v>
      </c>
      <c r="W16" s="78"/>
      <c r="X16" s="78"/>
      <c r="Y16" s="78"/>
      <c r="Z16" s="78"/>
      <c r="AA16" s="77">
        <v>0.0</v>
      </c>
      <c r="AB16" s="78">
        <v>42.0</v>
      </c>
      <c r="AC16" s="77"/>
      <c r="AD16" s="77"/>
      <c r="AE16" s="77">
        <v>0.0</v>
      </c>
      <c r="AF16" s="78">
        <v>1.0</v>
      </c>
      <c r="AG16" s="77"/>
      <c r="AH16" s="77"/>
      <c r="AI16" s="77">
        <v>0.0</v>
      </c>
      <c r="AJ16" s="77">
        <v>0.0</v>
      </c>
      <c r="AK16" s="71"/>
      <c r="AL16" s="2"/>
    </row>
    <row r="17">
      <c r="A17" s="31">
        <v>8.0</v>
      </c>
      <c r="B17" s="76" t="s">
        <v>94</v>
      </c>
      <c r="C17" s="77">
        <v>0.0</v>
      </c>
      <c r="D17" s="77">
        <v>1.0</v>
      </c>
      <c r="E17" s="17">
        <v>1.0</v>
      </c>
      <c r="F17" s="17">
        <v>2.0</v>
      </c>
      <c r="G17" s="77">
        <v>0.0</v>
      </c>
      <c r="H17" s="77">
        <v>0.0</v>
      </c>
      <c r="I17" s="17">
        <v>5.0</v>
      </c>
      <c r="J17" s="17">
        <v>8.0</v>
      </c>
      <c r="K17" s="72">
        <v>0.0</v>
      </c>
      <c r="L17" s="72">
        <v>0.0</v>
      </c>
      <c r="M17" s="72">
        <v>0.0</v>
      </c>
      <c r="N17" s="72">
        <v>0.0</v>
      </c>
      <c r="O17" s="72">
        <v>0.0</v>
      </c>
      <c r="P17" s="72">
        <v>0.0</v>
      </c>
      <c r="Q17" s="72">
        <v>1.0</v>
      </c>
      <c r="R17" s="28">
        <v>31.0</v>
      </c>
      <c r="S17" s="72">
        <v>0.0</v>
      </c>
      <c r="T17" s="72">
        <v>0.0</v>
      </c>
      <c r="U17" s="72">
        <v>1.0</v>
      </c>
      <c r="V17" s="28">
        <v>4.0</v>
      </c>
      <c r="W17" s="17"/>
      <c r="X17" s="17"/>
      <c r="Y17" s="17"/>
      <c r="Z17" s="17"/>
      <c r="AA17" s="77">
        <v>0.0</v>
      </c>
      <c r="AB17" s="78">
        <v>42.0</v>
      </c>
      <c r="AC17" s="77"/>
      <c r="AD17" s="77"/>
      <c r="AE17" s="77">
        <v>0.0</v>
      </c>
      <c r="AF17" s="78">
        <v>1.0</v>
      </c>
      <c r="AG17" s="77"/>
      <c r="AH17" s="77"/>
      <c r="AI17" s="77">
        <v>0.0</v>
      </c>
      <c r="AJ17" s="77">
        <v>0.0</v>
      </c>
      <c r="AK17" s="24"/>
      <c r="AL17" s="2"/>
    </row>
    <row r="18">
      <c r="A18" s="31">
        <v>9.0</v>
      </c>
      <c r="B18" s="76" t="s">
        <v>95</v>
      </c>
      <c r="C18" s="77">
        <v>1.0</v>
      </c>
      <c r="D18" s="77">
        <v>1.0</v>
      </c>
      <c r="E18" s="78">
        <v>2.0</v>
      </c>
      <c r="F18" s="78">
        <v>2.0</v>
      </c>
      <c r="G18" s="77">
        <v>0.0</v>
      </c>
      <c r="H18" s="77">
        <v>0.0</v>
      </c>
      <c r="I18" s="78">
        <v>6.0</v>
      </c>
      <c r="J18" s="78">
        <v>9.0</v>
      </c>
      <c r="K18" s="72">
        <v>0.0</v>
      </c>
      <c r="L18" s="72">
        <v>0.0</v>
      </c>
      <c r="M18" s="72">
        <v>0.0</v>
      </c>
      <c r="N18" s="72">
        <v>0.0</v>
      </c>
      <c r="O18" s="72">
        <v>0.0</v>
      </c>
      <c r="P18" s="72">
        <v>0.0</v>
      </c>
      <c r="Q18" s="72">
        <v>2.0</v>
      </c>
      <c r="R18" s="79">
        <v>24.0</v>
      </c>
      <c r="S18" s="72">
        <v>0.0</v>
      </c>
      <c r="T18" s="72">
        <v>0.0</v>
      </c>
      <c r="U18" s="72">
        <v>1.0</v>
      </c>
      <c r="V18" s="79">
        <v>4.0</v>
      </c>
      <c r="W18" s="78"/>
      <c r="X18" s="78"/>
      <c r="Y18" s="78"/>
      <c r="Z18" s="78"/>
      <c r="AA18" s="77">
        <v>0.0</v>
      </c>
      <c r="AB18" s="78">
        <v>42.0</v>
      </c>
      <c r="AC18" s="77"/>
      <c r="AD18" s="77"/>
      <c r="AE18" s="77">
        <v>0.0</v>
      </c>
      <c r="AF18" s="78">
        <v>1.0</v>
      </c>
      <c r="AG18" s="77"/>
      <c r="AH18" s="77"/>
      <c r="AI18" s="77">
        <v>0.0</v>
      </c>
      <c r="AJ18" s="77">
        <v>0.0</v>
      </c>
      <c r="AK18" s="24"/>
      <c r="AL18" s="2"/>
    </row>
    <row r="19">
      <c r="A19" s="31">
        <v>10.0</v>
      </c>
      <c r="B19" s="76" t="s">
        <v>96</v>
      </c>
      <c r="C19" s="80">
        <v>0.0</v>
      </c>
      <c r="D19" s="77">
        <v>1.0</v>
      </c>
      <c r="E19" s="79">
        <v>2.0</v>
      </c>
      <c r="F19" s="79">
        <v>2.0</v>
      </c>
      <c r="G19" s="79">
        <v>0.0</v>
      </c>
      <c r="H19" s="77">
        <v>0.0</v>
      </c>
      <c r="I19" s="79">
        <v>6.0</v>
      </c>
      <c r="J19" s="79">
        <v>6.0</v>
      </c>
      <c r="K19" s="72">
        <v>0.0</v>
      </c>
      <c r="L19" s="72">
        <v>0.0</v>
      </c>
      <c r="M19" s="72">
        <v>0.0</v>
      </c>
      <c r="N19" s="72">
        <v>0.0</v>
      </c>
      <c r="O19" s="72">
        <v>0.0</v>
      </c>
      <c r="P19" s="72">
        <v>0.0</v>
      </c>
      <c r="Q19" s="72">
        <v>0.0</v>
      </c>
      <c r="R19" s="79">
        <v>24.0</v>
      </c>
      <c r="S19" s="72">
        <v>0.0</v>
      </c>
      <c r="T19" s="72">
        <v>0.0</v>
      </c>
      <c r="U19" s="72">
        <v>0.0</v>
      </c>
      <c r="V19" s="79">
        <v>2.0</v>
      </c>
      <c r="W19" s="24"/>
      <c r="X19" s="24"/>
      <c r="Y19" s="24"/>
      <c r="Z19" s="24"/>
      <c r="AA19" s="77">
        <v>0.0</v>
      </c>
      <c r="AB19" s="78">
        <v>42.0</v>
      </c>
      <c r="AC19" s="24"/>
      <c r="AD19" s="24"/>
      <c r="AE19" s="77">
        <v>0.0</v>
      </c>
      <c r="AF19" s="78">
        <v>1.0</v>
      </c>
      <c r="AG19" s="24"/>
      <c r="AH19" s="24"/>
      <c r="AI19" s="77">
        <v>0.0</v>
      </c>
      <c r="AJ19" s="77">
        <v>0.0</v>
      </c>
      <c r="AK19" s="24"/>
      <c r="AL19" s="2"/>
    </row>
    <row r="20">
      <c r="A20" s="31">
        <v>11.0</v>
      </c>
      <c r="B20" s="76" t="s">
        <v>97</v>
      </c>
      <c r="C20" s="80">
        <v>0.0</v>
      </c>
      <c r="D20" s="79">
        <v>0.0</v>
      </c>
      <c r="E20" s="79">
        <v>3.0</v>
      </c>
      <c r="F20" s="79">
        <v>1.0</v>
      </c>
      <c r="G20" s="79">
        <v>0.0</v>
      </c>
      <c r="H20" s="79">
        <v>1.0</v>
      </c>
      <c r="I20" s="79">
        <v>5.0</v>
      </c>
      <c r="J20" s="79">
        <v>9.0</v>
      </c>
      <c r="K20" s="72">
        <v>0.0</v>
      </c>
      <c r="L20" s="72">
        <v>0.0</v>
      </c>
      <c r="M20" s="72">
        <v>0.0</v>
      </c>
      <c r="N20" s="72">
        <v>0.0</v>
      </c>
      <c r="O20" s="72">
        <v>0.0</v>
      </c>
      <c r="P20" s="72">
        <v>0.0</v>
      </c>
      <c r="Q20" s="72">
        <v>1.0</v>
      </c>
      <c r="R20" s="79">
        <v>25.0</v>
      </c>
      <c r="S20" s="72">
        <v>0.0</v>
      </c>
      <c r="T20" s="72">
        <v>0.0</v>
      </c>
      <c r="U20" s="72">
        <v>0.0</v>
      </c>
      <c r="V20" s="79">
        <v>4.0</v>
      </c>
      <c r="W20" s="24"/>
      <c r="X20" s="24"/>
      <c r="Y20" s="24"/>
      <c r="Z20" s="24"/>
      <c r="AA20" s="77">
        <v>0.0</v>
      </c>
      <c r="AB20" s="78">
        <v>42.0</v>
      </c>
      <c r="AC20" s="24"/>
      <c r="AD20" s="24"/>
      <c r="AE20" s="77">
        <v>0.0</v>
      </c>
      <c r="AF20" s="78">
        <v>1.0</v>
      </c>
      <c r="AG20" s="24"/>
      <c r="AH20" s="24"/>
      <c r="AI20" s="77">
        <v>0.0</v>
      </c>
      <c r="AJ20" s="77">
        <v>0.0</v>
      </c>
      <c r="AK20" s="24"/>
      <c r="AL20" s="2"/>
    </row>
    <row r="21">
      <c r="A21" s="31">
        <v>12.0</v>
      </c>
      <c r="B21" s="76" t="s">
        <v>98</v>
      </c>
      <c r="C21" s="80">
        <v>1.0</v>
      </c>
      <c r="D21" s="79">
        <v>0.0</v>
      </c>
      <c r="E21" s="24"/>
      <c r="F21" s="81"/>
      <c r="G21" s="24"/>
      <c r="H21" s="24"/>
      <c r="I21" s="24"/>
      <c r="J21" s="24"/>
      <c r="K21" s="72">
        <v>0.0</v>
      </c>
      <c r="L21" s="72">
        <v>0.0</v>
      </c>
      <c r="M21" s="72">
        <v>0.0</v>
      </c>
      <c r="N21" s="72">
        <v>0.0</v>
      </c>
      <c r="O21" s="72">
        <v>0.0</v>
      </c>
      <c r="P21" s="72">
        <v>0.0</v>
      </c>
      <c r="Q21" s="72">
        <v>0.0</v>
      </c>
      <c r="R21" s="79">
        <v>24.0</v>
      </c>
      <c r="S21" s="72">
        <v>0.0</v>
      </c>
      <c r="T21" s="72">
        <v>0.0</v>
      </c>
      <c r="U21" s="72">
        <v>0.0</v>
      </c>
      <c r="V21" s="79">
        <v>4.0</v>
      </c>
      <c r="W21" s="24"/>
      <c r="X21" s="24"/>
      <c r="Y21" s="24"/>
      <c r="Z21" s="24"/>
      <c r="AA21" s="77">
        <v>0.0</v>
      </c>
      <c r="AB21" s="78">
        <v>42.0</v>
      </c>
      <c r="AC21" s="24"/>
      <c r="AD21" s="24"/>
      <c r="AE21" s="77">
        <v>0.0</v>
      </c>
      <c r="AF21" s="78">
        <v>1.0</v>
      </c>
      <c r="AG21" s="24"/>
      <c r="AH21" s="24"/>
      <c r="AI21" s="77">
        <v>0.0</v>
      </c>
      <c r="AJ21" s="77">
        <v>0.0</v>
      </c>
      <c r="AK21" s="24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100</v>
      </c>
      <c r="B25" s="85" t="str">
        <f>C3</f>
        <v>:  TEGAL YOSO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101</v>
      </c>
      <c r="B26" s="85" t="s">
        <v>102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103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104</v>
      </c>
      <c r="C29" s="59"/>
      <c r="D29" s="59"/>
      <c r="E29" s="53" t="s">
        <v>105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106</v>
      </c>
      <c r="C30" s="28" t="s">
        <v>107</v>
      </c>
      <c r="D30" s="28" t="s">
        <v>108</v>
      </c>
      <c r="E30" s="28" t="s">
        <v>109</v>
      </c>
      <c r="F30" s="28" t="s">
        <v>110</v>
      </c>
      <c r="G30" s="28" t="s">
        <v>111</v>
      </c>
      <c r="H30" s="28" t="s">
        <v>112</v>
      </c>
      <c r="I30" s="28" t="s">
        <v>91</v>
      </c>
      <c r="J30" s="28" t="s">
        <v>113</v>
      </c>
      <c r="K30" s="28" t="s">
        <v>114</v>
      </c>
      <c r="L30" s="28" t="s">
        <v>115</v>
      </c>
      <c r="M30" s="28" t="s">
        <v>116</v>
      </c>
      <c r="N30" s="28" t="s">
        <v>117</v>
      </c>
      <c r="O30" s="28" t="s">
        <v>118</v>
      </c>
      <c r="P30" s="28" t="s">
        <v>119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8">
        <v>1.0</v>
      </c>
      <c r="B32" s="93" t="s">
        <v>120</v>
      </c>
      <c r="C32" s="94" t="s">
        <v>121</v>
      </c>
      <c r="D32" s="94" t="s">
        <v>122</v>
      </c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8">
        <v>2.0</v>
      </c>
      <c r="B33" s="93" t="s">
        <v>123</v>
      </c>
      <c r="C33" s="94" t="s">
        <v>124</v>
      </c>
      <c r="D33" s="94" t="s">
        <v>125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8">
        <v>3.0</v>
      </c>
      <c r="B34" s="97" t="s">
        <v>126</v>
      </c>
      <c r="C34" s="94" t="s">
        <v>127</v>
      </c>
      <c r="D34" s="94" t="s">
        <v>128</v>
      </c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8">
        <v>4.0</v>
      </c>
      <c r="B35" s="97" t="s">
        <v>129</v>
      </c>
      <c r="C35" s="94" t="s">
        <v>130</v>
      </c>
      <c r="D35" s="94" t="s">
        <v>131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8">
        <v>5.0</v>
      </c>
      <c r="B36" s="97" t="s">
        <v>132</v>
      </c>
      <c r="C36" s="94" t="s">
        <v>133</v>
      </c>
      <c r="D36" s="94" t="s">
        <v>134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8">
        <v>6.0</v>
      </c>
      <c r="B37" s="97" t="s">
        <v>135</v>
      </c>
      <c r="C37" s="94" t="s">
        <v>136</v>
      </c>
      <c r="D37" s="94" t="s">
        <v>137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8">
        <v>7.0</v>
      </c>
      <c r="B38" s="97" t="s">
        <v>138</v>
      </c>
      <c r="C38" s="94" t="s">
        <v>139</v>
      </c>
      <c r="D38" s="94" t="s">
        <v>140</v>
      </c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8">
        <v>8.0</v>
      </c>
      <c r="B39" s="97" t="s">
        <v>141</v>
      </c>
      <c r="C39" s="94" t="s">
        <v>142</v>
      </c>
      <c r="D39" s="94" t="s">
        <v>143</v>
      </c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8">
        <v>9.0</v>
      </c>
      <c r="B40" s="97" t="s">
        <v>144</v>
      </c>
      <c r="C40" s="94" t="s">
        <v>145</v>
      </c>
      <c r="D40" s="94" t="s">
        <v>146</v>
      </c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8">
        <v>10.0</v>
      </c>
      <c r="B41" s="97" t="s">
        <v>147</v>
      </c>
      <c r="C41" s="94" t="s">
        <v>148</v>
      </c>
      <c r="D41" s="94" t="s">
        <v>149</v>
      </c>
      <c r="E41" s="95"/>
      <c r="F41" s="95"/>
      <c r="G41" s="95"/>
      <c r="H41" s="95"/>
      <c r="I41" s="95"/>
      <c r="J41" s="95"/>
      <c r="K41" s="94">
        <v>1.0</v>
      </c>
      <c r="L41" s="94">
        <v>1.0</v>
      </c>
      <c r="M41" s="94">
        <v>1.0</v>
      </c>
      <c r="N41" s="94">
        <v>1.0</v>
      </c>
      <c r="O41" s="94">
        <v>1.0</v>
      </c>
      <c r="P41" s="94">
        <v>1.0</v>
      </c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8">
        <v>11.0</v>
      </c>
      <c r="B42" s="97" t="s">
        <v>150</v>
      </c>
      <c r="C42" s="94" t="s">
        <v>151</v>
      </c>
      <c r="D42" s="94" t="s">
        <v>152</v>
      </c>
      <c r="E42" s="95"/>
      <c r="F42" s="95"/>
      <c r="G42" s="95"/>
      <c r="H42" s="95"/>
      <c r="I42" s="95"/>
      <c r="J42" s="95"/>
      <c r="K42" s="94">
        <v>1.0</v>
      </c>
      <c r="L42" s="94">
        <v>1.0</v>
      </c>
      <c r="M42" s="94">
        <v>1.0</v>
      </c>
      <c r="N42" s="94">
        <v>1.0</v>
      </c>
      <c r="O42" s="94">
        <v>1.0</v>
      </c>
      <c r="P42" s="94">
        <v>1.0</v>
      </c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8">
        <v>12.0</v>
      </c>
      <c r="B43" s="97" t="s">
        <v>153</v>
      </c>
      <c r="C43" s="94" t="s">
        <v>154</v>
      </c>
      <c r="D43" s="94" t="s">
        <v>155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8">
        <v>13.0</v>
      </c>
      <c r="B44" s="97" t="s">
        <v>156</v>
      </c>
      <c r="C44" s="94" t="s">
        <v>157</v>
      </c>
      <c r="D44" s="94" t="s">
        <v>158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8">
        <v>14.0</v>
      </c>
      <c r="B45" s="97" t="s">
        <v>159</v>
      </c>
      <c r="C45" s="94" t="s">
        <v>160</v>
      </c>
      <c r="D45" s="94" t="s">
        <v>161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8">
        <v>15.0</v>
      </c>
      <c r="B46" s="97" t="s">
        <v>162</v>
      </c>
      <c r="C46" s="94" t="s">
        <v>163</v>
      </c>
      <c r="D46" s="94" t="s">
        <v>164</v>
      </c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8">
        <v>16.0</v>
      </c>
      <c r="B47" s="97" t="s">
        <v>165</v>
      </c>
      <c r="C47" s="94" t="s">
        <v>166</v>
      </c>
      <c r="D47" s="94" t="s">
        <v>167</v>
      </c>
      <c r="E47" s="95"/>
      <c r="F47" s="95"/>
      <c r="G47" s="95"/>
      <c r="H47" s="95"/>
      <c r="I47" s="95"/>
      <c r="J47" s="95"/>
      <c r="K47" s="95"/>
      <c r="L47" s="94">
        <v>1.0</v>
      </c>
      <c r="M47" s="94">
        <v>1.0</v>
      </c>
      <c r="N47" s="94">
        <v>1.0</v>
      </c>
      <c r="O47" s="94">
        <v>1.0</v>
      </c>
      <c r="P47" s="94">
        <v>1.0</v>
      </c>
      <c r="Q47" s="9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8">
        <v>17.0</v>
      </c>
      <c r="B48" s="97" t="s">
        <v>168</v>
      </c>
      <c r="C48" s="94" t="s">
        <v>169</v>
      </c>
      <c r="D48" s="94" t="s">
        <v>170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8">
        <v>18.0</v>
      </c>
      <c r="B49" s="97" t="s">
        <v>171</v>
      </c>
      <c r="C49" s="94" t="s">
        <v>157</v>
      </c>
      <c r="D49" s="94" t="s">
        <v>172</v>
      </c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8">
        <v>19.0</v>
      </c>
      <c r="B50" s="97" t="s">
        <v>173</v>
      </c>
      <c r="C50" s="94" t="s">
        <v>174</v>
      </c>
      <c r="D50" s="94" t="s">
        <v>175</v>
      </c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8">
        <v>20.0</v>
      </c>
      <c r="B51" s="97" t="s">
        <v>176</v>
      </c>
      <c r="C51" s="94" t="s">
        <v>177</v>
      </c>
      <c r="D51" s="94" t="s">
        <v>178</v>
      </c>
      <c r="E51" s="95"/>
      <c r="F51" s="95"/>
      <c r="G51" s="95"/>
      <c r="H51" s="95"/>
      <c r="I51" s="95"/>
      <c r="J51" s="95"/>
      <c r="K51" s="94">
        <v>1.0</v>
      </c>
      <c r="L51" s="94">
        <v>1.0</v>
      </c>
      <c r="M51" s="94">
        <v>1.0</v>
      </c>
      <c r="N51" s="94">
        <v>1.0</v>
      </c>
      <c r="O51" s="94">
        <v>1.0</v>
      </c>
      <c r="P51" s="94">
        <v>1.0</v>
      </c>
      <c r="Q51" s="9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>
        <f t="shared" ref="E52:P52" si="1">SUM(E32:E51)</f>
        <v>0</v>
      </c>
      <c r="F52" s="2">
        <f t="shared" si="1"/>
        <v>0</v>
      </c>
      <c r="G52" s="2">
        <f t="shared" si="1"/>
        <v>0</v>
      </c>
      <c r="H52" s="2">
        <f t="shared" si="1"/>
        <v>0</v>
      </c>
      <c r="I52" s="2">
        <f t="shared" si="1"/>
        <v>0</v>
      </c>
      <c r="J52" s="2">
        <f t="shared" si="1"/>
        <v>0</v>
      </c>
      <c r="K52" s="2">
        <f t="shared" si="1"/>
        <v>3</v>
      </c>
      <c r="L52" s="2">
        <f t="shared" si="1"/>
        <v>4</v>
      </c>
      <c r="M52" s="2">
        <f t="shared" si="1"/>
        <v>4</v>
      </c>
      <c r="N52" s="2">
        <f t="shared" si="1"/>
        <v>4</v>
      </c>
      <c r="O52" s="2">
        <f t="shared" si="1"/>
        <v>4</v>
      </c>
      <c r="P52" s="2">
        <f t="shared" si="1"/>
        <v>4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6" t="s">
        <v>179</v>
      </c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8" t="s">
        <v>3</v>
      </c>
      <c r="B54" s="98" t="s">
        <v>180</v>
      </c>
      <c r="C54" s="88" t="s">
        <v>181</v>
      </c>
      <c r="D54" s="88" t="s">
        <v>182</v>
      </c>
      <c r="E54" s="53" t="s">
        <v>183</v>
      </c>
      <c r="F54" s="8"/>
      <c r="G54" s="53" t="s">
        <v>184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"/>
      <c r="B55" s="10"/>
      <c r="C55" s="10"/>
      <c r="D55" s="10"/>
      <c r="E55" s="28" t="s">
        <v>72</v>
      </c>
      <c r="F55" s="28" t="s">
        <v>185</v>
      </c>
      <c r="G55" s="28" t="s">
        <v>109</v>
      </c>
      <c r="H55" s="28" t="s">
        <v>110</v>
      </c>
      <c r="I55" s="28" t="s">
        <v>111</v>
      </c>
      <c r="J55" s="28" t="s">
        <v>112</v>
      </c>
      <c r="K55" s="28" t="s">
        <v>91</v>
      </c>
      <c r="L55" s="28" t="s">
        <v>113</v>
      </c>
      <c r="M55" s="28" t="s">
        <v>114</v>
      </c>
      <c r="N55" s="28" t="s">
        <v>115</v>
      </c>
      <c r="O55" s="28" t="s">
        <v>116</v>
      </c>
      <c r="P55" s="28" t="s">
        <v>117</v>
      </c>
      <c r="Q55" s="28" t="s">
        <v>118</v>
      </c>
      <c r="R55" s="94" t="s">
        <v>119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1">
        <v>1.0</v>
      </c>
      <c r="B56" s="91">
        <v>2.0</v>
      </c>
      <c r="C56" s="91">
        <v>3.0</v>
      </c>
      <c r="D56" s="91">
        <v>4.0</v>
      </c>
      <c r="E56" s="91">
        <v>5.0</v>
      </c>
      <c r="F56" s="91">
        <v>6.0</v>
      </c>
      <c r="G56" s="91">
        <v>7.0</v>
      </c>
      <c r="H56" s="91">
        <v>8.0</v>
      </c>
      <c r="I56" s="91">
        <v>9.0</v>
      </c>
      <c r="J56" s="91">
        <v>10.0</v>
      </c>
      <c r="K56" s="91">
        <v>11.0</v>
      </c>
      <c r="L56" s="91">
        <v>12.0</v>
      </c>
      <c r="M56" s="91">
        <v>13.0</v>
      </c>
      <c r="N56" s="91">
        <v>14.0</v>
      </c>
      <c r="O56" s="91">
        <v>15.0</v>
      </c>
      <c r="P56" s="91">
        <v>16.0</v>
      </c>
      <c r="Q56" s="91">
        <v>17.0</v>
      </c>
      <c r="R56" s="91">
        <v>18.0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9">
        <v>1.0</v>
      </c>
      <c r="B57" s="95" t="str">
        <f t="shared" ref="B57:B65" si="3">D32</f>
        <v>Cheryl Nadzira Fayora</v>
      </c>
      <c r="C57" s="99" t="s">
        <v>86</v>
      </c>
      <c r="D57" s="100">
        <v>45664.0</v>
      </c>
      <c r="E57" s="95" t="str">
        <f t="shared" ref="E57:F57" si="2">B32</f>
        <v>Rosmawati</v>
      </c>
      <c r="F57" s="95" t="str">
        <f t="shared" si="2"/>
        <v>Asno</v>
      </c>
      <c r="G57" s="94">
        <v>1.0</v>
      </c>
      <c r="H57" s="94">
        <v>1.0</v>
      </c>
      <c r="I57" s="94">
        <v>1.0</v>
      </c>
      <c r="J57" s="94">
        <v>1.0</v>
      </c>
      <c r="K57" s="94">
        <v>1.0</v>
      </c>
      <c r="L57" s="94">
        <v>1.0</v>
      </c>
      <c r="M57" s="94">
        <v>1.0</v>
      </c>
      <c r="N57" s="94">
        <v>1.0</v>
      </c>
      <c r="O57" s="94">
        <v>1.0</v>
      </c>
      <c r="P57" s="94">
        <v>1.0</v>
      </c>
      <c r="Q57" s="94">
        <v>1.0</v>
      </c>
      <c r="R57" s="94">
        <v>1.0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9">
        <v>2.0</v>
      </c>
      <c r="B58" s="95" t="str">
        <f t="shared" si="3"/>
        <v>Rayyanza Keivano Fauzi</v>
      </c>
      <c r="C58" s="99" t="s">
        <v>85</v>
      </c>
      <c r="D58" s="100">
        <v>45683.0</v>
      </c>
      <c r="E58" s="95" t="str">
        <f t="shared" ref="E58:F58" si="4">B33</f>
        <v>Nursyamsiah</v>
      </c>
      <c r="F58" s="95" t="str">
        <f t="shared" si="4"/>
        <v>Pujiono</v>
      </c>
      <c r="G58" s="94">
        <v>1.0</v>
      </c>
      <c r="H58" s="94">
        <v>1.0</v>
      </c>
      <c r="I58" s="94">
        <v>1.0</v>
      </c>
      <c r="J58" s="94">
        <v>1.0</v>
      </c>
      <c r="K58" s="94">
        <v>1.0</v>
      </c>
      <c r="L58" s="94">
        <v>1.0</v>
      </c>
      <c r="M58" s="94">
        <v>1.0</v>
      </c>
      <c r="N58" s="94">
        <v>1.0</v>
      </c>
      <c r="O58" s="94">
        <v>1.0</v>
      </c>
      <c r="P58" s="94">
        <v>1.0</v>
      </c>
      <c r="Q58" s="94">
        <v>1.0</v>
      </c>
      <c r="R58" s="94">
        <v>1.0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9">
        <v>3.0</v>
      </c>
      <c r="B59" s="95" t="str">
        <f t="shared" si="3"/>
        <v>Nahla Khalila</v>
      </c>
      <c r="C59" s="99" t="s">
        <v>86</v>
      </c>
      <c r="D59" s="100">
        <v>45697.0</v>
      </c>
      <c r="E59" s="95" t="str">
        <f t="shared" ref="E59:F59" si="5">B34</f>
        <v>Linda Kartinanda</v>
      </c>
      <c r="F59" s="95" t="str">
        <f t="shared" si="5"/>
        <v>Dodi Prasetio</v>
      </c>
      <c r="G59" s="95"/>
      <c r="H59" s="94">
        <v>1.0</v>
      </c>
      <c r="I59" s="94">
        <v>1.0</v>
      </c>
      <c r="J59" s="94">
        <v>1.0</v>
      </c>
      <c r="K59" s="94">
        <v>1.0</v>
      </c>
      <c r="L59" s="94">
        <v>1.0</v>
      </c>
      <c r="M59" s="94">
        <v>1.0</v>
      </c>
      <c r="N59" s="94">
        <v>1.0</v>
      </c>
      <c r="O59" s="94">
        <v>1.0</v>
      </c>
      <c r="P59" s="94">
        <v>1.0</v>
      </c>
      <c r="Q59" s="94">
        <v>1.0</v>
      </c>
      <c r="R59" s="94">
        <v>1.0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9">
        <v>4.0</v>
      </c>
      <c r="B60" s="95" t="str">
        <f t="shared" si="3"/>
        <v>Launa Felicia Putri</v>
      </c>
      <c r="C60" s="99" t="s">
        <v>86</v>
      </c>
      <c r="D60" s="100">
        <v>45695.0</v>
      </c>
      <c r="E60" s="95" t="str">
        <f t="shared" ref="E60:F60" si="6">B35</f>
        <v>Deviana Nur Habibah</v>
      </c>
      <c r="F60" s="95" t="str">
        <f t="shared" si="6"/>
        <v>Risky Ramadani</v>
      </c>
      <c r="G60" s="95"/>
      <c r="H60" s="94">
        <v>1.0</v>
      </c>
      <c r="I60" s="94">
        <v>1.0</v>
      </c>
      <c r="J60" s="94">
        <v>1.0</v>
      </c>
      <c r="K60" s="94">
        <v>1.0</v>
      </c>
      <c r="L60" s="94">
        <v>1.0</v>
      </c>
      <c r="M60" s="94">
        <v>1.0</v>
      </c>
      <c r="N60" s="94">
        <v>1.0</v>
      </c>
      <c r="O60" s="94">
        <v>1.0</v>
      </c>
      <c r="P60" s="94">
        <v>1.0</v>
      </c>
      <c r="Q60" s="94">
        <v>1.0</v>
      </c>
      <c r="R60" s="94">
        <v>1.0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9">
        <v>5.0</v>
      </c>
      <c r="B61" s="95" t="str">
        <f t="shared" si="3"/>
        <v>Ayyash Farhan Ramadhan</v>
      </c>
      <c r="C61" s="99" t="s">
        <v>85</v>
      </c>
      <c r="D61" s="100">
        <v>45713.0</v>
      </c>
      <c r="E61" s="95" t="str">
        <f t="shared" ref="E61:F61" si="7">B36</f>
        <v>Munir</v>
      </c>
      <c r="F61" s="95" t="str">
        <f t="shared" si="7"/>
        <v>Jaja Suhendar</v>
      </c>
      <c r="G61" s="95"/>
      <c r="H61" s="94">
        <v>1.0</v>
      </c>
      <c r="I61" s="94">
        <v>1.0</v>
      </c>
      <c r="J61" s="94">
        <v>1.0</v>
      </c>
      <c r="K61" s="94">
        <v>1.0</v>
      </c>
      <c r="L61" s="94">
        <v>1.0</v>
      </c>
      <c r="M61" s="94">
        <v>1.0</v>
      </c>
      <c r="N61" s="94">
        <v>1.0</v>
      </c>
      <c r="O61" s="94">
        <v>1.0</v>
      </c>
      <c r="P61" s="94">
        <v>1.0</v>
      </c>
      <c r="Q61" s="94">
        <v>1.0</v>
      </c>
      <c r="R61" s="94">
        <v>1.0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9">
        <v>6.0</v>
      </c>
      <c r="B62" s="95" t="str">
        <f t="shared" si="3"/>
        <v>Kabay Nawarena Aretha</v>
      </c>
      <c r="C62" s="99" t="s">
        <v>85</v>
      </c>
      <c r="D62" s="100">
        <v>45711.0</v>
      </c>
      <c r="E62" s="95" t="str">
        <f t="shared" ref="E62:F62" si="8">B37</f>
        <v>Maya Silvia</v>
      </c>
      <c r="F62" s="95" t="str">
        <f t="shared" si="8"/>
        <v>Yoanda</v>
      </c>
      <c r="G62" s="95"/>
      <c r="H62" s="94">
        <v>1.0</v>
      </c>
      <c r="I62" s="94">
        <v>1.0</v>
      </c>
      <c r="J62" s="94">
        <v>1.0</v>
      </c>
      <c r="K62" s="94">
        <v>1.0</v>
      </c>
      <c r="L62" s="94">
        <v>1.0</v>
      </c>
      <c r="M62" s="94">
        <v>1.0</v>
      </c>
      <c r="N62" s="94">
        <v>1.0</v>
      </c>
      <c r="O62" s="94">
        <v>1.0</v>
      </c>
      <c r="P62" s="94">
        <v>1.0</v>
      </c>
      <c r="Q62" s="94">
        <v>1.0</v>
      </c>
      <c r="R62" s="94">
        <v>1.0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9">
        <v>7.0</v>
      </c>
      <c r="B63" s="95" t="str">
        <f t="shared" si="3"/>
        <v>Zayyan Akbar Ramadhan</v>
      </c>
      <c r="C63" s="99" t="s">
        <v>85</v>
      </c>
      <c r="D63" s="101">
        <v>45743.0</v>
      </c>
      <c r="E63" s="95" t="str">
        <f t="shared" ref="E63:F63" si="9">B38</f>
        <v>Dian Mardiana</v>
      </c>
      <c r="F63" s="95" t="str">
        <f t="shared" si="9"/>
        <v>Ari Susanto</v>
      </c>
      <c r="G63" s="95"/>
      <c r="H63" s="95"/>
      <c r="I63" s="94">
        <v>1.0</v>
      </c>
      <c r="J63" s="94">
        <v>1.0</v>
      </c>
      <c r="K63" s="94">
        <v>1.0</v>
      </c>
      <c r="L63" s="94">
        <v>1.0</v>
      </c>
      <c r="M63" s="94">
        <v>1.0</v>
      </c>
      <c r="N63" s="94">
        <v>1.0</v>
      </c>
      <c r="O63" s="94">
        <v>1.0</v>
      </c>
      <c r="P63" s="94">
        <v>1.0</v>
      </c>
      <c r="Q63" s="94">
        <v>1.0</v>
      </c>
      <c r="R63" s="94">
        <v>1.0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9">
        <v>8.0</v>
      </c>
      <c r="B64" s="95" t="str">
        <f t="shared" si="3"/>
        <v>Ahmad Adnan Toriq Alhafid</v>
      </c>
      <c r="C64" s="99" t="s">
        <v>85</v>
      </c>
      <c r="D64" s="102">
        <v>45789.0</v>
      </c>
      <c r="E64" s="95" t="str">
        <f t="shared" ref="E64:F64" si="10">B39</f>
        <v>Lilis Santi Umayah</v>
      </c>
      <c r="F64" s="95" t="str">
        <f t="shared" si="10"/>
        <v>Paryadi</v>
      </c>
      <c r="G64" s="95"/>
      <c r="H64" s="95"/>
      <c r="I64" s="95"/>
      <c r="J64" s="95"/>
      <c r="K64" s="94">
        <v>1.0</v>
      </c>
      <c r="L64" s="94">
        <v>1.0</v>
      </c>
      <c r="M64" s="94">
        <v>1.0</v>
      </c>
      <c r="N64" s="94">
        <v>1.0</v>
      </c>
      <c r="O64" s="94">
        <v>1.0</v>
      </c>
      <c r="P64" s="94">
        <v>1.0</v>
      </c>
      <c r="Q64" s="94">
        <v>1.0</v>
      </c>
      <c r="R64" s="94">
        <v>1.0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9.0</v>
      </c>
      <c r="B65" s="95" t="str">
        <f t="shared" si="3"/>
        <v>M. Rafif Ahnaf Khavirunnas</v>
      </c>
      <c r="C65" s="99" t="s">
        <v>85</v>
      </c>
      <c r="D65" s="100">
        <v>45822.0</v>
      </c>
      <c r="E65" s="95" t="str">
        <f t="shared" ref="E65:F65" si="11">B40</f>
        <v>Susi Yanti</v>
      </c>
      <c r="F65" s="95" t="str">
        <f t="shared" si="11"/>
        <v>Sugi Yanto</v>
      </c>
      <c r="G65" s="95"/>
      <c r="H65" s="95"/>
      <c r="I65" s="95"/>
      <c r="J65" s="95"/>
      <c r="K65" s="95"/>
      <c r="L65" s="94">
        <v>1.0</v>
      </c>
      <c r="M65" s="94">
        <v>1.0</v>
      </c>
      <c r="N65" s="94">
        <v>1.0</v>
      </c>
      <c r="O65" s="94">
        <v>1.0</v>
      </c>
      <c r="P65" s="94">
        <v>1.0</v>
      </c>
      <c r="Q65" s="94">
        <v>1.0</v>
      </c>
      <c r="R65" s="94">
        <v>1.0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10.0</v>
      </c>
      <c r="B66" s="94" t="s">
        <v>186</v>
      </c>
      <c r="C66" s="99" t="s">
        <v>85</v>
      </c>
      <c r="D66" s="100">
        <v>45846.0</v>
      </c>
      <c r="E66" s="95" t="str">
        <f t="shared" ref="E66:E76" si="12">B41</f>
        <v>Yun Farida</v>
      </c>
      <c r="F66" s="94" t="s">
        <v>187</v>
      </c>
      <c r="G66" s="95"/>
      <c r="H66" s="95"/>
      <c r="I66" s="95"/>
      <c r="J66" s="95"/>
      <c r="K66" s="95"/>
      <c r="L66" s="95"/>
      <c r="M66" s="94">
        <v>1.0</v>
      </c>
      <c r="N66" s="94">
        <v>1.0</v>
      </c>
      <c r="O66" s="94">
        <v>1.0</v>
      </c>
      <c r="P66" s="94">
        <v>1.0</v>
      </c>
      <c r="Q66" s="94">
        <v>1.0</v>
      </c>
      <c r="R66" s="94">
        <v>1.0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11.0</v>
      </c>
      <c r="B67" s="95" t="str">
        <f t="shared" ref="B67:B76" si="13">D42</f>
        <v>Athara Dayu Salsabilla</v>
      </c>
      <c r="C67" s="99" t="s">
        <v>86</v>
      </c>
      <c r="D67" s="100">
        <v>45855.0</v>
      </c>
      <c r="E67" s="95" t="str">
        <f t="shared" si="12"/>
        <v>Nur Ayuni</v>
      </c>
      <c r="F67" s="95" t="str">
        <f t="shared" ref="F67:F76" si="14">C42</f>
        <v>Didit Mulyana</v>
      </c>
      <c r="G67" s="95"/>
      <c r="H67" s="95"/>
      <c r="I67" s="95"/>
      <c r="J67" s="95"/>
      <c r="K67" s="95"/>
      <c r="L67" s="95"/>
      <c r="M67" s="94">
        <v>1.0</v>
      </c>
      <c r="N67" s="94">
        <v>1.0</v>
      </c>
      <c r="O67" s="94">
        <v>1.0</v>
      </c>
      <c r="P67" s="94">
        <v>1.0</v>
      </c>
      <c r="Q67" s="94">
        <v>1.0</v>
      </c>
      <c r="R67" s="94">
        <v>1.0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12.0</v>
      </c>
      <c r="B68" s="95" t="str">
        <f t="shared" si="13"/>
        <v>Cio Adiwinata</v>
      </c>
      <c r="C68" s="99" t="s">
        <v>85</v>
      </c>
      <c r="D68" s="100">
        <v>45850.0</v>
      </c>
      <c r="E68" s="95" t="str">
        <f t="shared" si="12"/>
        <v>Allfina Damayanti</v>
      </c>
      <c r="F68" s="95" t="str">
        <f t="shared" si="14"/>
        <v>Ricky Endro</v>
      </c>
      <c r="G68" s="95"/>
      <c r="H68" s="95"/>
      <c r="I68" s="95"/>
      <c r="J68" s="95"/>
      <c r="K68" s="95"/>
      <c r="L68" s="95"/>
      <c r="M68" s="94">
        <v>1.0</v>
      </c>
      <c r="N68" s="94">
        <v>1.0</v>
      </c>
      <c r="O68" s="94">
        <v>1.0</v>
      </c>
      <c r="P68" s="94">
        <v>1.0</v>
      </c>
      <c r="Q68" s="94">
        <v>1.0</v>
      </c>
      <c r="R68" s="94">
        <v>1.0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13.0</v>
      </c>
      <c r="B69" s="95" t="str">
        <f t="shared" si="13"/>
        <v>Hafidzul Atmawijaya</v>
      </c>
      <c r="C69" s="99" t="s">
        <v>85</v>
      </c>
      <c r="D69" s="100">
        <v>45848.0</v>
      </c>
      <c r="E69" s="95" t="str">
        <f t="shared" si="12"/>
        <v>Cucu Cahyanti</v>
      </c>
      <c r="F69" s="95" t="str">
        <f t="shared" si="14"/>
        <v>Iwan Solihin</v>
      </c>
      <c r="G69" s="95"/>
      <c r="H69" s="95"/>
      <c r="I69" s="95"/>
      <c r="J69" s="95"/>
      <c r="K69" s="95"/>
      <c r="L69" s="95"/>
      <c r="M69" s="94">
        <v>1.0</v>
      </c>
      <c r="N69" s="94">
        <v>1.0</v>
      </c>
      <c r="O69" s="94">
        <v>1.0</v>
      </c>
      <c r="P69" s="94">
        <v>1.0</v>
      </c>
      <c r="Q69" s="94">
        <v>1.0</v>
      </c>
      <c r="R69" s="94">
        <v>1.0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14.0</v>
      </c>
      <c r="B70" s="95" t="str">
        <f t="shared" si="13"/>
        <v>Felica Elvaretta</v>
      </c>
      <c r="C70" s="99" t="s">
        <v>86</v>
      </c>
      <c r="D70" s="100">
        <v>45854.0</v>
      </c>
      <c r="E70" s="95" t="str">
        <f t="shared" si="12"/>
        <v>Nenti Puspitasari</v>
      </c>
      <c r="F70" s="95" t="str">
        <f t="shared" si="14"/>
        <v>Lodi Saputra</v>
      </c>
      <c r="G70" s="95"/>
      <c r="H70" s="95"/>
      <c r="I70" s="95"/>
      <c r="J70" s="95"/>
      <c r="K70" s="95"/>
      <c r="L70" s="95"/>
      <c r="M70" s="94">
        <v>1.0</v>
      </c>
      <c r="N70" s="94">
        <v>1.0</v>
      </c>
      <c r="O70" s="94">
        <v>1.0</v>
      </c>
      <c r="P70" s="94">
        <v>1.0</v>
      </c>
      <c r="Q70" s="94">
        <v>1.0</v>
      </c>
      <c r="R70" s="94">
        <v>1.0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15.0</v>
      </c>
      <c r="B71" s="95" t="str">
        <f t="shared" si="13"/>
        <v>Muhammad Hafiz Al Faqih</v>
      </c>
      <c r="C71" s="99" t="s">
        <v>85</v>
      </c>
      <c r="D71" s="100">
        <v>45858.0</v>
      </c>
      <c r="E71" s="95" t="str">
        <f t="shared" si="12"/>
        <v>Dewi Winarsih</v>
      </c>
      <c r="F71" s="95" t="str">
        <f t="shared" si="14"/>
        <v>Ketut Sudastre</v>
      </c>
      <c r="G71" s="95"/>
      <c r="H71" s="95"/>
      <c r="I71" s="95"/>
      <c r="J71" s="95"/>
      <c r="K71" s="95"/>
      <c r="L71" s="95"/>
      <c r="M71" s="94">
        <v>1.0</v>
      </c>
      <c r="N71" s="94">
        <v>1.0</v>
      </c>
      <c r="O71" s="94">
        <v>1.0</v>
      </c>
      <c r="P71" s="94">
        <v>1.0</v>
      </c>
      <c r="Q71" s="94">
        <v>1.0</v>
      </c>
      <c r="R71" s="94">
        <v>1.0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9">
        <v>16.0</v>
      </c>
      <c r="B72" s="95" t="str">
        <f t="shared" si="13"/>
        <v>M. Arrazka Zayan Agasi</v>
      </c>
      <c r="C72" s="99" t="s">
        <v>85</v>
      </c>
      <c r="D72" s="100">
        <v>45881.0</v>
      </c>
      <c r="E72" s="95" t="str">
        <f t="shared" si="12"/>
        <v>Susi Septianingsih</v>
      </c>
      <c r="F72" s="95" t="str">
        <f t="shared" si="14"/>
        <v>M. Alip Urip</v>
      </c>
      <c r="G72" s="95"/>
      <c r="H72" s="95"/>
      <c r="I72" s="95"/>
      <c r="J72" s="95"/>
      <c r="K72" s="95"/>
      <c r="L72" s="95"/>
      <c r="M72" s="95"/>
      <c r="N72" s="94">
        <v>1.0</v>
      </c>
      <c r="O72" s="94">
        <v>1.0</v>
      </c>
      <c r="P72" s="94">
        <v>1.0</v>
      </c>
      <c r="Q72" s="94">
        <v>1.0</v>
      </c>
      <c r="R72" s="94">
        <v>1.0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9">
        <v>17.0</v>
      </c>
      <c r="B73" s="95" t="str">
        <f t="shared" si="13"/>
        <v>Reyanza Zayan Kalandra</v>
      </c>
      <c r="C73" s="99" t="s">
        <v>85</v>
      </c>
      <c r="D73" s="100">
        <v>45923.0</v>
      </c>
      <c r="E73" s="95" t="str">
        <f t="shared" si="12"/>
        <v>Ernawati</v>
      </c>
      <c r="F73" s="95" t="str">
        <f t="shared" si="14"/>
        <v>Rahmad Iskandar</v>
      </c>
      <c r="G73" s="95"/>
      <c r="H73" s="95"/>
      <c r="I73" s="95"/>
      <c r="J73" s="95"/>
      <c r="K73" s="95"/>
      <c r="L73" s="95"/>
      <c r="M73" s="95"/>
      <c r="N73" s="95"/>
      <c r="O73" s="95"/>
      <c r="P73" s="94">
        <v>1.0</v>
      </c>
      <c r="Q73" s="94">
        <v>1.0</v>
      </c>
      <c r="R73" s="94">
        <v>1.0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9">
        <v>18.0</v>
      </c>
      <c r="B74" s="95" t="str">
        <f t="shared" si="13"/>
        <v>Clarisa Oktarina</v>
      </c>
      <c r="C74" s="99" t="s">
        <v>86</v>
      </c>
      <c r="D74" s="102">
        <v>45951.0</v>
      </c>
      <c r="E74" s="95" t="str">
        <f t="shared" si="12"/>
        <v>Diana Widi Astuti</v>
      </c>
      <c r="F74" s="95" t="str">
        <f t="shared" si="14"/>
        <v>Iwan Solihin</v>
      </c>
      <c r="G74" s="95"/>
      <c r="H74" s="95"/>
      <c r="I74" s="95"/>
      <c r="J74" s="95"/>
      <c r="K74" s="95"/>
      <c r="L74" s="95"/>
      <c r="M74" s="95"/>
      <c r="N74" s="95"/>
      <c r="O74" s="94">
        <v>1.0</v>
      </c>
      <c r="P74" s="94">
        <v>1.0</v>
      </c>
      <c r="Q74" s="94">
        <v>1.0</v>
      </c>
      <c r="R74" s="94">
        <v>1.0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9">
        <v>19.0</v>
      </c>
      <c r="B75" s="95" t="str">
        <f t="shared" si="13"/>
        <v>Aluna Zafira Livia</v>
      </c>
      <c r="C75" s="99" t="s">
        <v>86</v>
      </c>
      <c r="D75" s="100">
        <v>45926.0</v>
      </c>
      <c r="E75" s="95" t="str">
        <f t="shared" si="12"/>
        <v>Indra Yulianti</v>
      </c>
      <c r="F75" s="95" t="str">
        <f t="shared" si="14"/>
        <v>Satiran</v>
      </c>
      <c r="G75" s="95"/>
      <c r="H75" s="95"/>
      <c r="I75" s="95"/>
      <c r="J75" s="95"/>
      <c r="K75" s="95"/>
      <c r="L75" s="95"/>
      <c r="M75" s="95"/>
      <c r="N75" s="95"/>
      <c r="O75" s="94">
        <v>1.0</v>
      </c>
      <c r="P75" s="94">
        <v>1.0</v>
      </c>
      <c r="Q75" s="94">
        <v>1.0</v>
      </c>
      <c r="R75" s="94">
        <v>1.0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9">
        <v>20.0</v>
      </c>
      <c r="B76" s="95" t="str">
        <f t="shared" si="13"/>
        <v>Azania Mecca Deysha</v>
      </c>
      <c r="C76" s="99" t="s">
        <v>86</v>
      </c>
      <c r="D76" s="100">
        <v>45866.0</v>
      </c>
      <c r="E76" s="95" t="str">
        <f t="shared" si="12"/>
        <v>Ashry Nurpetiwi</v>
      </c>
      <c r="F76" s="95" t="str">
        <f t="shared" si="14"/>
        <v>Dedy Septiawan</v>
      </c>
      <c r="G76" s="95"/>
      <c r="H76" s="95"/>
      <c r="I76" s="95"/>
      <c r="J76" s="95"/>
      <c r="K76" s="95"/>
      <c r="L76" s="95"/>
      <c r="M76" s="95"/>
      <c r="N76" s="94">
        <v>1.0</v>
      </c>
      <c r="O76" s="94">
        <v>1.0</v>
      </c>
      <c r="P76" s="94">
        <v>1.0</v>
      </c>
      <c r="Q76" s="94">
        <v>1.0</v>
      </c>
      <c r="R76" s="94">
        <v>1.0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>
        <f t="shared" ref="G77:R77" si="15">SUM(G57:G76)</f>
        <v>2</v>
      </c>
      <c r="H77" s="2">
        <f t="shared" si="15"/>
        <v>6</v>
      </c>
      <c r="I77" s="2">
        <f t="shared" si="15"/>
        <v>7</v>
      </c>
      <c r="J77" s="2">
        <f t="shared" si="15"/>
        <v>7</v>
      </c>
      <c r="K77" s="2">
        <f t="shared" si="15"/>
        <v>8</v>
      </c>
      <c r="L77" s="2">
        <f t="shared" si="15"/>
        <v>9</v>
      </c>
      <c r="M77" s="2">
        <f t="shared" si="15"/>
        <v>15</v>
      </c>
      <c r="N77" s="2">
        <f t="shared" si="15"/>
        <v>17</v>
      </c>
      <c r="O77" s="2">
        <f t="shared" si="15"/>
        <v>19</v>
      </c>
      <c r="P77" s="2">
        <f t="shared" si="15"/>
        <v>20</v>
      </c>
      <c r="Q77" s="2">
        <f t="shared" si="15"/>
        <v>20</v>
      </c>
      <c r="R77" s="2">
        <f t="shared" si="15"/>
        <v>20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6" t="s">
        <v>188</v>
      </c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 t="s">
        <v>3</v>
      </c>
      <c r="B79" s="88" t="s">
        <v>189</v>
      </c>
      <c r="C79" s="88" t="s">
        <v>181</v>
      </c>
      <c r="D79" s="88" t="s">
        <v>182</v>
      </c>
      <c r="E79" s="53" t="s">
        <v>183</v>
      </c>
      <c r="F79" s="8"/>
      <c r="G79" s="53" t="s">
        <v>190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"/>
      <c r="B80" s="10"/>
      <c r="C80" s="10"/>
      <c r="D80" s="10"/>
      <c r="E80" s="28" t="s">
        <v>72</v>
      </c>
      <c r="F80" s="28" t="s">
        <v>185</v>
      </c>
      <c r="G80" s="28" t="s">
        <v>109</v>
      </c>
      <c r="H80" s="28" t="s">
        <v>110</v>
      </c>
      <c r="I80" s="28" t="s">
        <v>111</v>
      </c>
      <c r="J80" s="28" t="s">
        <v>112</v>
      </c>
      <c r="K80" s="28" t="s">
        <v>91</v>
      </c>
      <c r="L80" s="28" t="s">
        <v>113</v>
      </c>
      <c r="M80" s="28" t="s">
        <v>114</v>
      </c>
      <c r="N80" s="28" t="s">
        <v>115</v>
      </c>
      <c r="O80" s="28" t="s">
        <v>116</v>
      </c>
      <c r="P80" s="28" t="s">
        <v>117</v>
      </c>
      <c r="Q80" s="28" t="s">
        <v>118</v>
      </c>
      <c r="R80" s="94" t="s">
        <v>119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1">
        <v>1.0</v>
      </c>
      <c r="B81" s="91">
        <v>2.0</v>
      </c>
      <c r="C81" s="91">
        <v>3.0</v>
      </c>
      <c r="D81" s="91">
        <v>4.0</v>
      </c>
      <c r="E81" s="91">
        <v>5.0</v>
      </c>
      <c r="F81" s="91">
        <v>6.0</v>
      </c>
      <c r="G81" s="91">
        <v>7.0</v>
      </c>
      <c r="H81" s="91">
        <v>8.0</v>
      </c>
      <c r="I81" s="91">
        <v>9.0</v>
      </c>
      <c r="J81" s="91">
        <v>10.0</v>
      </c>
      <c r="K81" s="91">
        <v>11.0</v>
      </c>
      <c r="L81" s="91">
        <v>12.0</v>
      </c>
      <c r="M81" s="91">
        <v>13.0</v>
      </c>
      <c r="N81" s="91">
        <v>14.0</v>
      </c>
      <c r="O81" s="91">
        <v>15.0</v>
      </c>
      <c r="P81" s="91">
        <v>16.0</v>
      </c>
      <c r="Q81" s="91">
        <v>17.0</v>
      </c>
      <c r="R81" s="91">
        <v>18.0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9">
        <v>1.0</v>
      </c>
      <c r="B82" s="94" t="s">
        <v>191</v>
      </c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9">
        <v>2.0</v>
      </c>
      <c r="B83" s="94" t="s">
        <v>192</v>
      </c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9">
        <v>3.0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9">
        <v>4.0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9">
        <v>5.0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9">
        <v>6.0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9">
        <v>7.0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9">
        <v>8.0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>
        <f t="shared" ref="G90:R90" si="16">SUM(G82:G89)</f>
        <v>0</v>
      </c>
      <c r="H90" s="2">
        <f t="shared" si="16"/>
        <v>0</v>
      </c>
      <c r="I90" s="2">
        <f t="shared" si="16"/>
        <v>0</v>
      </c>
      <c r="J90" s="2">
        <f t="shared" si="16"/>
        <v>0</v>
      </c>
      <c r="K90" s="2">
        <f t="shared" si="16"/>
        <v>0</v>
      </c>
      <c r="L90" s="2">
        <f t="shared" si="16"/>
        <v>0</v>
      </c>
      <c r="M90" s="2">
        <f t="shared" si="16"/>
        <v>0</v>
      </c>
      <c r="N90" s="2">
        <f t="shared" si="16"/>
        <v>0</v>
      </c>
      <c r="O90" s="2">
        <f t="shared" si="16"/>
        <v>0</v>
      </c>
      <c r="P90" s="2">
        <f t="shared" si="16"/>
        <v>0</v>
      </c>
      <c r="Q90" s="2">
        <f t="shared" si="16"/>
        <v>0</v>
      </c>
      <c r="R90" s="2">
        <f t="shared" si="16"/>
        <v>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6" t="s">
        <v>193</v>
      </c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8" t="s">
        <v>3</v>
      </c>
      <c r="B94" s="88" t="s">
        <v>183</v>
      </c>
      <c r="C94" s="88" t="s">
        <v>181</v>
      </c>
      <c r="D94" s="88" t="s">
        <v>182</v>
      </c>
      <c r="E94" s="53" t="s">
        <v>183</v>
      </c>
      <c r="F94" s="8"/>
      <c r="G94" s="53" t="s">
        <v>194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"/>
      <c r="B95" s="10"/>
      <c r="C95" s="10"/>
      <c r="D95" s="10"/>
      <c r="E95" s="28" t="s">
        <v>72</v>
      </c>
      <c r="F95" s="28" t="s">
        <v>185</v>
      </c>
      <c r="G95" s="28" t="s">
        <v>109</v>
      </c>
      <c r="H95" s="28" t="s">
        <v>110</v>
      </c>
      <c r="I95" s="28" t="s">
        <v>111</v>
      </c>
      <c r="J95" s="28" t="s">
        <v>112</v>
      </c>
      <c r="K95" s="28" t="s">
        <v>91</v>
      </c>
      <c r="L95" s="28" t="s">
        <v>113</v>
      </c>
      <c r="M95" s="28" t="s">
        <v>114</v>
      </c>
      <c r="N95" s="28" t="s">
        <v>115</v>
      </c>
      <c r="O95" s="28" t="s">
        <v>116</v>
      </c>
      <c r="P95" s="28" t="s">
        <v>117</v>
      </c>
      <c r="Q95" s="28" t="s">
        <v>118</v>
      </c>
      <c r="R95" s="94" t="s">
        <v>119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1">
        <v>1.0</v>
      </c>
      <c r="B96" s="91">
        <v>2.0</v>
      </c>
      <c r="C96" s="91">
        <v>3.0</v>
      </c>
      <c r="D96" s="91">
        <v>4.0</v>
      </c>
      <c r="E96" s="91">
        <v>5.0</v>
      </c>
      <c r="F96" s="91">
        <v>6.0</v>
      </c>
      <c r="G96" s="91">
        <v>7.0</v>
      </c>
      <c r="H96" s="91">
        <v>8.0</v>
      </c>
      <c r="I96" s="91">
        <v>9.0</v>
      </c>
      <c r="J96" s="91">
        <v>10.0</v>
      </c>
      <c r="K96" s="91">
        <v>11.0</v>
      </c>
      <c r="L96" s="91">
        <v>12.0</v>
      </c>
      <c r="M96" s="91">
        <v>13.0</v>
      </c>
      <c r="N96" s="91">
        <v>14.0</v>
      </c>
      <c r="O96" s="91">
        <v>15.0</v>
      </c>
      <c r="P96" s="91">
        <v>16.0</v>
      </c>
      <c r="Q96" s="91">
        <v>17.0</v>
      </c>
      <c r="R96" s="91">
        <v>18.0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9">
        <v>1.0</v>
      </c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9">
        <v>2.0</v>
      </c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9">
        <v>3.0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9">
        <v>4.0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9">
        <v>5.0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9">
        <v>6.0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9">
        <v>7.0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9">
        <v>8.0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>
        <f t="shared" ref="G105:R105" si="17">SUM(G97:G104)</f>
        <v>0</v>
      </c>
      <c r="H105" s="2">
        <f t="shared" si="17"/>
        <v>0</v>
      </c>
      <c r="I105" s="2">
        <f t="shared" si="17"/>
        <v>0</v>
      </c>
      <c r="J105" s="2">
        <f t="shared" si="17"/>
        <v>0</v>
      </c>
      <c r="K105" s="2">
        <f t="shared" si="17"/>
        <v>0</v>
      </c>
      <c r="L105" s="2">
        <f t="shared" si="17"/>
        <v>0</v>
      </c>
      <c r="M105" s="2">
        <f t="shared" si="17"/>
        <v>0</v>
      </c>
      <c r="N105" s="2">
        <f t="shared" si="17"/>
        <v>0</v>
      </c>
      <c r="O105" s="2">
        <f t="shared" si="17"/>
        <v>0</v>
      </c>
      <c r="P105" s="2">
        <f t="shared" si="17"/>
        <v>0</v>
      </c>
      <c r="Q105" s="2">
        <f t="shared" si="17"/>
        <v>0</v>
      </c>
      <c r="R105" s="2">
        <f t="shared" si="17"/>
        <v>0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53:C53"/>
    <mergeCell ref="A94:A95"/>
    <mergeCell ref="B94:B95"/>
    <mergeCell ref="C94:C95"/>
    <mergeCell ref="D94:D95"/>
    <mergeCell ref="E94:F94"/>
    <mergeCell ref="A78:C78"/>
    <mergeCell ref="A79:A80"/>
    <mergeCell ref="B79:B80"/>
    <mergeCell ref="C79:C80"/>
    <mergeCell ref="D79:D80"/>
    <mergeCell ref="E79:F79"/>
    <mergeCell ref="A93:C93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54:A55"/>
    <mergeCell ref="B54:B55"/>
    <mergeCell ref="C54:C55"/>
    <mergeCell ref="D54:D55"/>
    <mergeCell ref="E54:F54"/>
    <mergeCell ref="G54:R54"/>
    <mergeCell ref="G79:R79"/>
    <mergeCell ref="G94:R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9.5"/>
    <col customWidth="1" min="7" max="7" width="12.25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103" t="s">
        <v>3</v>
      </c>
      <c r="B4" s="103" t="s">
        <v>62</v>
      </c>
      <c r="C4" s="104" t="s">
        <v>196</v>
      </c>
      <c r="D4" s="33"/>
      <c r="E4" s="8"/>
      <c r="F4" s="105" t="s">
        <v>197</v>
      </c>
      <c r="G4" s="104" t="s">
        <v>198</v>
      </c>
      <c r="H4" s="33"/>
      <c r="I4" s="33"/>
      <c r="J4" s="33"/>
      <c r="K4" s="33"/>
      <c r="L4" s="33"/>
      <c r="M4" s="33"/>
      <c r="N4" s="8"/>
      <c r="O4" s="104" t="s">
        <v>199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6" t="s">
        <v>200</v>
      </c>
      <c r="AB4" s="107" t="s">
        <v>201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108" t="s">
        <v>202</v>
      </c>
      <c r="BA4" s="33"/>
      <c r="BB4" s="33"/>
      <c r="BC4" s="8"/>
      <c r="BD4" s="103" t="s">
        <v>203</v>
      </c>
    </row>
    <row r="5">
      <c r="A5" s="65"/>
      <c r="B5" s="65"/>
      <c r="C5" s="109" t="s">
        <v>37</v>
      </c>
      <c r="D5" s="109" t="s">
        <v>204</v>
      </c>
      <c r="E5" s="109" t="s">
        <v>205</v>
      </c>
      <c r="F5" s="65"/>
      <c r="G5" s="109" t="s">
        <v>206</v>
      </c>
      <c r="H5" s="109" t="s">
        <v>207</v>
      </c>
      <c r="I5" s="109" t="s">
        <v>208</v>
      </c>
      <c r="J5" s="109" t="s">
        <v>209</v>
      </c>
      <c r="K5" s="109" t="s">
        <v>210</v>
      </c>
      <c r="L5" s="109" t="s">
        <v>211</v>
      </c>
      <c r="M5" s="109" t="s">
        <v>212</v>
      </c>
      <c r="N5" s="109" t="s">
        <v>213</v>
      </c>
      <c r="O5" s="110" t="s">
        <v>214</v>
      </c>
      <c r="P5" s="60"/>
      <c r="Q5" s="110" t="s">
        <v>215</v>
      </c>
      <c r="R5" s="60"/>
      <c r="S5" s="110" t="s">
        <v>216</v>
      </c>
      <c r="T5" s="60"/>
      <c r="U5" s="110" t="s">
        <v>217</v>
      </c>
      <c r="V5" s="60"/>
      <c r="W5" s="110" t="s">
        <v>218</v>
      </c>
      <c r="X5" s="60"/>
      <c r="Y5" s="110" t="s">
        <v>219</v>
      </c>
      <c r="Z5" s="60"/>
      <c r="AA5" s="65"/>
      <c r="AB5" s="110" t="s">
        <v>220</v>
      </c>
      <c r="AC5" s="60"/>
      <c r="AD5" s="110" t="s">
        <v>221</v>
      </c>
      <c r="AE5" s="59"/>
      <c r="AF5" s="59"/>
      <c r="AG5" s="59"/>
      <c r="AH5" s="59"/>
      <c r="AI5" s="60"/>
      <c r="AJ5" s="110" t="s">
        <v>222</v>
      </c>
      <c r="AK5" s="59"/>
      <c r="AL5" s="59"/>
      <c r="AM5" s="59"/>
      <c r="AN5" s="59"/>
      <c r="AO5" s="59"/>
      <c r="AP5" s="59"/>
      <c r="AQ5" s="60"/>
      <c r="AR5" s="110" t="s">
        <v>223</v>
      </c>
      <c r="AS5" s="60"/>
      <c r="AT5" s="110" t="s">
        <v>224</v>
      </c>
      <c r="AU5" s="59"/>
      <c r="AV5" s="59"/>
      <c r="AW5" s="59"/>
      <c r="AX5" s="59"/>
      <c r="AY5" s="60"/>
      <c r="AZ5" s="110" t="s">
        <v>37</v>
      </c>
      <c r="BA5" s="60"/>
      <c r="BB5" s="110" t="s">
        <v>225</v>
      </c>
      <c r="BC5" s="60"/>
      <c r="BD5" s="65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56"/>
      <c r="P6" s="62"/>
      <c r="Q6" s="66"/>
      <c r="R6" s="68"/>
      <c r="S6" s="66"/>
      <c r="T6" s="68"/>
      <c r="U6" s="66"/>
      <c r="V6" s="68"/>
      <c r="W6" s="66"/>
      <c r="X6" s="68"/>
      <c r="Y6" s="66"/>
      <c r="Z6" s="68"/>
      <c r="AA6" s="10"/>
      <c r="AB6" s="66"/>
      <c r="AC6" s="68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66"/>
      <c r="AS6" s="68"/>
      <c r="AT6" s="66"/>
      <c r="AU6" s="67"/>
      <c r="AV6" s="67"/>
      <c r="AW6" s="67"/>
      <c r="AX6" s="67"/>
      <c r="AY6" s="68"/>
      <c r="AZ6" s="66"/>
      <c r="BA6" s="68"/>
      <c r="BB6" s="66"/>
      <c r="BC6" s="68"/>
      <c r="BD6" s="10"/>
    </row>
    <row r="7">
      <c r="A7" s="73">
        <v>1.0</v>
      </c>
      <c r="B7" s="74">
        <v>2.0</v>
      </c>
      <c r="C7" s="74">
        <v>3.0</v>
      </c>
      <c r="D7" s="74">
        <v>4.0</v>
      </c>
      <c r="E7" s="74">
        <v>5.0</v>
      </c>
      <c r="F7" s="74">
        <v>6.0</v>
      </c>
      <c r="G7" s="74">
        <v>7.0</v>
      </c>
      <c r="H7" s="74">
        <v>8.0</v>
      </c>
      <c r="I7" s="74">
        <v>9.0</v>
      </c>
      <c r="J7" s="74">
        <v>10.0</v>
      </c>
      <c r="K7" s="74">
        <v>11.0</v>
      </c>
      <c r="L7" s="74">
        <v>12.0</v>
      </c>
      <c r="M7" s="74">
        <v>13.0</v>
      </c>
      <c r="N7" s="74">
        <v>14.0</v>
      </c>
      <c r="O7" s="74">
        <v>15.0</v>
      </c>
      <c r="P7" s="74">
        <v>16.0</v>
      </c>
      <c r="Q7" s="74">
        <v>17.0</v>
      </c>
      <c r="R7" s="74">
        <v>18.0</v>
      </c>
      <c r="S7" s="74">
        <v>19.0</v>
      </c>
      <c r="T7" s="74">
        <v>20.0</v>
      </c>
      <c r="U7" s="74">
        <v>21.0</v>
      </c>
      <c r="V7" s="74">
        <v>22.0</v>
      </c>
      <c r="W7" s="74">
        <v>23.0</v>
      </c>
      <c r="X7" s="74">
        <v>24.0</v>
      </c>
      <c r="Y7" s="74">
        <v>25.0</v>
      </c>
      <c r="Z7" s="74">
        <v>26.0</v>
      </c>
      <c r="AA7" s="74">
        <v>27.0</v>
      </c>
      <c r="AB7" s="74">
        <v>28.0</v>
      </c>
      <c r="AC7" s="74">
        <v>29.0</v>
      </c>
      <c r="AD7" s="74">
        <v>30.0</v>
      </c>
      <c r="AE7" s="74">
        <v>31.0</v>
      </c>
      <c r="AF7" s="74">
        <v>32.0</v>
      </c>
      <c r="AG7" s="74">
        <v>33.0</v>
      </c>
      <c r="AH7" s="74">
        <v>34.0</v>
      </c>
      <c r="AI7" s="74">
        <v>35.0</v>
      </c>
      <c r="AJ7" s="74">
        <v>36.0</v>
      </c>
      <c r="AK7" s="74">
        <v>37.0</v>
      </c>
      <c r="AL7" s="74">
        <v>38.0</v>
      </c>
      <c r="AM7" s="74">
        <v>39.0</v>
      </c>
      <c r="AN7" s="74">
        <v>40.0</v>
      </c>
      <c r="AO7" s="74">
        <v>41.0</v>
      </c>
      <c r="AP7" s="74">
        <v>42.0</v>
      </c>
      <c r="AQ7" s="74">
        <v>43.0</v>
      </c>
      <c r="AR7" s="74">
        <v>44.0</v>
      </c>
      <c r="AS7" s="74">
        <v>45.0</v>
      </c>
      <c r="AT7" s="74">
        <v>46.0</v>
      </c>
      <c r="AU7" s="74">
        <v>47.0</v>
      </c>
      <c r="AV7" s="74">
        <v>48.0</v>
      </c>
      <c r="AW7" s="74">
        <v>49.0</v>
      </c>
      <c r="AX7" s="74">
        <v>50.0</v>
      </c>
      <c r="AY7" s="74">
        <v>51.0</v>
      </c>
      <c r="AZ7" s="74">
        <v>52.0</v>
      </c>
      <c r="BA7" s="74">
        <v>53.0</v>
      </c>
      <c r="BB7" s="74">
        <v>54.0</v>
      </c>
      <c r="BC7" s="74">
        <v>55.0</v>
      </c>
      <c r="BD7" s="74">
        <v>56.0</v>
      </c>
    </row>
    <row r="8">
      <c r="A8" s="70">
        <v>1.0</v>
      </c>
      <c r="B8" s="111" t="s">
        <v>87</v>
      </c>
      <c r="C8" s="78"/>
      <c r="D8" s="78"/>
      <c r="E8" s="78"/>
      <c r="F8" s="78"/>
      <c r="G8" s="77"/>
      <c r="H8" s="77"/>
      <c r="I8" s="77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24"/>
    </row>
    <row r="9">
      <c r="A9" s="70">
        <v>2.0</v>
      </c>
      <c r="B9" s="111" t="s">
        <v>88</v>
      </c>
      <c r="C9" s="78"/>
      <c r="D9" s="78"/>
      <c r="E9" s="78"/>
      <c r="F9" s="78"/>
      <c r="G9" s="77"/>
      <c r="H9" s="77"/>
      <c r="I9" s="77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24"/>
    </row>
    <row r="10">
      <c r="A10" s="70">
        <v>3.0</v>
      </c>
      <c r="B10" s="111" t="s">
        <v>89</v>
      </c>
      <c r="C10" s="78"/>
      <c r="D10" s="78"/>
      <c r="E10" s="78"/>
      <c r="F10" s="77"/>
      <c r="G10" s="77"/>
      <c r="H10" s="77"/>
      <c r="I10" s="77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24"/>
    </row>
    <row r="11">
      <c r="A11" s="70">
        <v>4.0</v>
      </c>
      <c r="B11" s="111" t="s">
        <v>90</v>
      </c>
      <c r="C11" s="78"/>
      <c r="D11" s="78"/>
      <c r="E11" s="78"/>
      <c r="F11" s="77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70">
        <v>5.0</v>
      </c>
      <c r="B12" s="111" t="s">
        <v>91</v>
      </c>
      <c r="C12" s="78"/>
      <c r="D12" s="78"/>
      <c r="E12" s="78"/>
      <c r="F12" s="77"/>
      <c r="G12" s="78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70">
        <v>6.0</v>
      </c>
      <c r="B13" s="111" t="s">
        <v>92</v>
      </c>
      <c r="C13" s="78"/>
      <c r="D13" s="78"/>
      <c r="E13" s="78"/>
      <c r="F13" s="77"/>
      <c r="G13" s="78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70">
        <v>7.0</v>
      </c>
      <c r="B14" s="111" t="s">
        <v>93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70">
        <v>8.0</v>
      </c>
      <c r="B15" s="111" t="s">
        <v>94</v>
      </c>
      <c r="C15" s="17"/>
      <c r="D15" s="17"/>
      <c r="E15" s="17"/>
      <c r="F15" s="77"/>
      <c r="G15" s="77"/>
      <c r="H15" s="77"/>
      <c r="I15" s="7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70">
        <v>9.0</v>
      </c>
      <c r="B16" s="111" t="s">
        <v>95</v>
      </c>
      <c r="C16" s="78"/>
      <c r="D16" s="78"/>
      <c r="E16" s="78"/>
      <c r="F16" s="77"/>
      <c r="G16" s="77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17"/>
      <c r="AK16" s="17"/>
      <c r="AL16" s="17"/>
      <c r="AM16" s="17"/>
      <c r="AN16" s="78"/>
      <c r="AO16" s="17"/>
      <c r="AP16" s="17"/>
      <c r="AQ16" s="17"/>
      <c r="AR16" s="17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24"/>
    </row>
    <row r="17">
      <c r="A17" s="70">
        <v>10.0</v>
      </c>
      <c r="B17" s="111" t="s">
        <v>96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</row>
    <row r="18">
      <c r="A18" s="70">
        <v>11.0</v>
      </c>
      <c r="B18" s="111" t="s">
        <v>97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</row>
    <row r="19">
      <c r="A19" s="70">
        <v>12.0</v>
      </c>
      <c r="B19" s="111" t="s">
        <v>98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2" t="s">
        <v>37</v>
      </c>
      <c r="C21" s="82">
        <f t="shared" ref="C21:BD21" si="1">SUM(C8:C19)</f>
        <v>0</v>
      </c>
      <c r="D21" s="82">
        <f t="shared" si="1"/>
        <v>0</v>
      </c>
      <c r="E21" s="82">
        <f t="shared" si="1"/>
        <v>0</v>
      </c>
      <c r="F21" s="82">
        <f t="shared" si="1"/>
        <v>0</v>
      </c>
      <c r="G21" s="82">
        <f t="shared" si="1"/>
        <v>0</v>
      </c>
      <c r="H21" s="82">
        <f t="shared" si="1"/>
        <v>0</v>
      </c>
      <c r="I21" s="82">
        <f t="shared" si="1"/>
        <v>0</v>
      </c>
      <c r="J21" s="82">
        <f t="shared" si="1"/>
        <v>0</v>
      </c>
      <c r="K21" s="82">
        <f t="shared" si="1"/>
        <v>0</v>
      </c>
      <c r="L21" s="82">
        <f t="shared" si="1"/>
        <v>0</v>
      </c>
      <c r="M21" s="82">
        <f t="shared" si="1"/>
        <v>0</v>
      </c>
      <c r="N21" s="82">
        <f t="shared" si="1"/>
        <v>0</v>
      </c>
      <c r="O21" s="82">
        <f t="shared" si="1"/>
        <v>0</v>
      </c>
      <c r="P21" s="82">
        <f t="shared" si="1"/>
        <v>0</v>
      </c>
      <c r="Q21" s="82">
        <f t="shared" si="1"/>
        <v>0</v>
      </c>
      <c r="R21" s="82">
        <f t="shared" si="1"/>
        <v>0</v>
      </c>
      <c r="S21" s="82">
        <f t="shared" si="1"/>
        <v>0</v>
      </c>
      <c r="T21" s="82">
        <f t="shared" si="1"/>
        <v>0</v>
      </c>
      <c r="U21" s="82">
        <f t="shared" si="1"/>
        <v>0</v>
      </c>
      <c r="V21" s="82">
        <f t="shared" si="1"/>
        <v>0</v>
      </c>
      <c r="W21" s="82">
        <f t="shared" si="1"/>
        <v>0</v>
      </c>
      <c r="X21" s="82">
        <f t="shared" si="1"/>
        <v>0</v>
      </c>
      <c r="Y21" s="82">
        <f t="shared" si="1"/>
        <v>0</v>
      </c>
      <c r="Z21" s="82">
        <f t="shared" si="1"/>
        <v>0</v>
      </c>
      <c r="AA21" s="82">
        <f t="shared" si="1"/>
        <v>0</v>
      </c>
      <c r="AB21" s="82">
        <f t="shared" si="1"/>
        <v>0</v>
      </c>
      <c r="AC21" s="82">
        <f t="shared" si="1"/>
        <v>0</v>
      </c>
      <c r="AD21" s="82">
        <f t="shared" si="1"/>
        <v>0</v>
      </c>
      <c r="AE21" s="82">
        <f t="shared" si="1"/>
        <v>0</v>
      </c>
      <c r="AF21" s="82">
        <f t="shared" si="1"/>
        <v>0</v>
      </c>
      <c r="AG21" s="82">
        <f t="shared" si="1"/>
        <v>0</v>
      </c>
      <c r="AH21" s="82">
        <f t="shared" si="1"/>
        <v>0</v>
      </c>
      <c r="AI21" s="82">
        <f t="shared" si="1"/>
        <v>0</v>
      </c>
      <c r="AJ21" s="82">
        <f t="shared" si="1"/>
        <v>0</v>
      </c>
      <c r="AK21" s="82">
        <f t="shared" si="1"/>
        <v>0</v>
      </c>
      <c r="AL21" s="82">
        <f t="shared" si="1"/>
        <v>0</v>
      </c>
      <c r="AM21" s="82">
        <f t="shared" si="1"/>
        <v>0</v>
      </c>
      <c r="AN21" s="82">
        <f t="shared" si="1"/>
        <v>0</v>
      </c>
      <c r="AO21" s="82">
        <f t="shared" si="1"/>
        <v>0</v>
      </c>
      <c r="AP21" s="82">
        <f t="shared" si="1"/>
        <v>0</v>
      </c>
      <c r="AQ21" s="82">
        <f t="shared" si="1"/>
        <v>0</v>
      </c>
      <c r="AR21" s="82">
        <f t="shared" si="1"/>
        <v>0</v>
      </c>
      <c r="AS21" s="82">
        <f t="shared" si="1"/>
        <v>0</v>
      </c>
      <c r="AT21" s="82">
        <f t="shared" si="1"/>
        <v>0</v>
      </c>
      <c r="AU21" s="82">
        <f t="shared" si="1"/>
        <v>0</v>
      </c>
      <c r="AV21" s="82">
        <f t="shared" si="1"/>
        <v>0</v>
      </c>
      <c r="AW21" s="82">
        <f t="shared" si="1"/>
        <v>0</v>
      </c>
      <c r="AX21" s="82">
        <f t="shared" si="1"/>
        <v>0</v>
      </c>
      <c r="AY21" s="82">
        <f t="shared" si="1"/>
        <v>0</v>
      </c>
      <c r="AZ21" s="82">
        <f t="shared" si="1"/>
        <v>0</v>
      </c>
      <c r="BA21" s="82">
        <f t="shared" si="1"/>
        <v>0</v>
      </c>
      <c r="BB21" s="82">
        <f t="shared" si="1"/>
        <v>0</v>
      </c>
      <c r="BC21" s="82">
        <f t="shared" si="1"/>
        <v>0</v>
      </c>
      <c r="BD21" s="82">
        <f t="shared" si="1"/>
        <v>0</v>
      </c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2" t="s">
        <v>226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3" t="s">
        <v>227</v>
      </c>
      <c r="B27" s="87"/>
      <c r="C27" s="87"/>
      <c r="D27" s="87"/>
      <c r="E27" s="87"/>
      <c r="F27" s="87"/>
      <c r="G27" s="87"/>
      <c r="H27" s="8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88" t="s">
        <v>228</v>
      </c>
      <c r="B28" s="114" t="s">
        <v>229</v>
      </c>
      <c r="C28" s="114" t="s">
        <v>230</v>
      </c>
      <c r="D28" s="53" t="s">
        <v>231</v>
      </c>
      <c r="E28" s="33"/>
      <c r="F28" s="33"/>
      <c r="G28" s="8"/>
      <c r="H28" s="53" t="s">
        <v>232</v>
      </c>
      <c r="I28" s="33"/>
      <c r="J28" s="33"/>
      <c r="K28" s="33"/>
      <c r="L28" s="33"/>
      <c r="M28" s="33"/>
      <c r="N28" s="8"/>
      <c r="O28" s="53" t="s">
        <v>233</v>
      </c>
      <c r="P28" s="33"/>
      <c r="Q28" s="8"/>
      <c r="R28" s="53" t="s">
        <v>234</v>
      </c>
      <c r="S28" s="33"/>
      <c r="T28" s="8"/>
      <c r="U28" s="89" t="s">
        <v>235</v>
      </c>
      <c r="V28" s="60"/>
      <c r="W28" s="89" t="s">
        <v>236</v>
      </c>
      <c r="X28" s="60"/>
      <c r="Y28" s="115" t="s">
        <v>237</v>
      </c>
      <c r="Z28" s="60"/>
      <c r="AA28" s="116" t="s">
        <v>238</v>
      </c>
      <c r="AB28" s="117" t="s">
        <v>239</v>
      </c>
      <c r="AC28" s="60"/>
      <c r="AD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65"/>
      <c r="B29" s="65"/>
      <c r="C29" s="65"/>
      <c r="D29" s="53" t="s">
        <v>240</v>
      </c>
      <c r="E29" s="8"/>
      <c r="F29" s="53" t="s">
        <v>241</v>
      </c>
      <c r="G29" s="8"/>
      <c r="H29" s="53" t="s">
        <v>242</v>
      </c>
      <c r="I29" s="8"/>
      <c r="J29" s="53" t="s">
        <v>243</v>
      </c>
      <c r="K29" s="8"/>
      <c r="L29" s="53" t="s">
        <v>244</v>
      </c>
      <c r="M29" s="8"/>
      <c r="N29" s="88" t="s">
        <v>245</v>
      </c>
      <c r="O29" s="116" t="s">
        <v>246</v>
      </c>
      <c r="P29" s="53" t="s">
        <v>247</v>
      </c>
      <c r="Q29" s="8"/>
      <c r="R29" s="116" t="s">
        <v>246</v>
      </c>
      <c r="S29" s="53" t="s">
        <v>248</v>
      </c>
      <c r="T29" s="8"/>
      <c r="U29" s="66"/>
      <c r="V29" s="68"/>
      <c r="W29" s="66"/>
      <c r="X29" s="68"/>
      <c r="Y29" s="118" t="s">
        <v>249</v>
      </c>
      <c r="Z29" s="119"/>
      <c r="AA29" s="120" t="s">
        <v>250</v>
      </c>
      <c r="AB29" s="67"/>
      <c r="AC29" s="68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"/>
      <c r="B30" s="10"/>
      <c r="C30" s="10"/>
      <c r="D30" s="28" t="s">
        <v>229</v>
      </c>
      <c r="E30" s="28" t="s">
        <v>230</v>
      </c>
      <c r="F30" s="28" t="s">
        <v>229</v>
      </c>
      <c r="G30" s="28" t="s">
        <v>230</v>
      </c>
      <c r="H30" s="28" t="s">
        <v>251</v>
      </c>
      <c r="I30" s="28" t="s">
        <v>252</v>
      </c>
      <c r="J30" s="28" t="s">
        <v>251</v>
      </c>
      <c r="K30" s="28" t="s">
        <v>253</v>
      </c>
      <c r="L30" s="28" t="s">
        <v>251</v>
      </c>
      <c r="M30" s="28" t="s">
        <v>252</v>
      </c>
      <c r="N30" s="10"/>
      <c r="O30" s="121" t="s">
        <v>254</v>
      </c>
      <c r="P30" s="28" t="s">
        <v>255</v>
      </c>
      <c r="Q30" s="28" t="s">
        <v>256</v>
      </c>
      <c r="R30" s="121" t="s">
        <v>257</v>
      </c>
      <c r="S30" s="28" t="s">
        <v>255</v>
      </c>
      <c r="T30" s="28" t="s">
        <v>256</v>
      </c>
      <c r="U30" s="28" t="s">
        <v>258</v>
      </c>
      <c r="V30" s="28" t="s">
        <v>256</v>
      </c>
      <c r="W30" s="28" t="s">
        <v>258</v>
      </c>
      <c r="X30" s="28" t="s">
        <v>256</v>
      </c>
      <c r="Y30" s="28" t="s">
        <v>258</v>
      </c>
      <c r="Z30" s="53" t="s">
        <v>256</v>
      </c>
      <c r="AA30" s="122"/>
      <c r="AB30" s="123" t="s">
        <v>229</v>
      </c>
      <c r="AC30" s="28" t="s">
        <v>259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4">
        <v>1.0</v>
      </c>
      <c r="B31" s="124">
        <v>2.0</v>
      </c>
      <c r="C31" s="125">
        <v>3.0</v>
      </c>
      <c r="D31" s="124">
        <v>4.0</v>
      </c>
      <c r="E31" s="124">
        <v>5.0</v>
      </c>
      <c r="F31" s="124">
        <v>6.0</v>
      </c>
      <c r="G31" s="124">
        <v>7.0</v>
      </c>
      <c r="H31" s="124">
        <v>8.0</v>
      </c>
      <c r="I31" s="126">
        <v>9.0</v>
      </c>
      <c r="J31" s="126">
        <v>10.0</v>
      </c>
      <c r="K31" s="126">
        <v>11.0</v>
      </c>
      <c r="L31" s="126">
        <v>12.0</v>
      </c>
      <c r="M31" s="126">
        <v>13.0</v>
      </c>
      <c r="N31" s="126">
        <v>14.0</v>
      </c>
      <c r="O31" s="127">
        <v>15.0</v>
      </c>
      <c r="P31" s="126">
        <v>16.0</v>
      </c>
      <c r="Q31" s="126">
        <v>17.0</v>
      </c>
      <c r="R31" s="127">
        <v>18.0</v>
      </c>
      <c r="S31" s="126">
        <v>19.0</v>
      </c>
      <c r="T31" s="126">
        <v>20.0</v>
      </c>
      <c r="U31" s="124">
        <v>21.0</v>
      </c>
      <c r="V31" s="124">
        <v>22.0</v>
      </c>
      <c r="W31" s="124">
        <v>23.0</v>
      </c>
      <c r="X31" s="124">
        <v>24.0</v>
      </c>
      <c r="Y31" s="124">
        <v>25.0</v>
      </c>
      <c r="Z31" s="128">
        <v>26.0</v>
      </c>
      <c r="AA31" s="129">
        <v>27.0</v>
      </c>
      <c r="AB31" s="130">
        <v>28.0</v>
      </c>
      <c r="AC31" s="124">
        <v>29.0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31">
        <v>45658.0</v>
      </c>
      <c r="B32" s="132"/>
      <c r="C32" s="133"/>
      <c r="D32" s="132"/>
      <c r="E32" s="132"/>
      <c r="F32" s="132"/>
      <c r="G32" s="132"/>
      <c r="H32" s="76"/>
      <c r="I32" s="134"/>
      <c r="J32" s="134"/>
      <c r="K32" s="134"/>
      <c r="L32" s="134"/>
      <c r="M32" s="134"/>
      <c r="N32" s="134"/>
      <c r="O32" s="95"/>
      <c r="P32" s="95"/>
      <c r="Q32" s="95"/>
      <c r="R32" s="95"/>
      <c r="S32" s="95"/>
      <c r="T32" s="95"/>
      <c r="U32" s="132"/>
      <c r="V32" s="132"/>
      <c r="W32" s="132"/>
      <c r="X32" s="132"/>
      <c r="Y32" s="132"/>
      <c r="Z32" s="132"/>
      <c r="AA32" s="135"/>
      <c r="AB32" s="132"/>
      <c r="AC32" s="13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31">
        <v>45689.0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1">
        <v>45717.0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45748.0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45778.0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45809.0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45839.0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45870.0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45901.0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45931.0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45962.0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45992.0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13" t="s">
        <v>260</v>
      </c>
      <c r="B47" s="87"/>
      <c r="C47" s="87"/>
      <c r="D47" s="87"/>
      <c r="E47" s="87"/>
      <c r="F47" s="87"/>
      <c r="G47" s="87"/>
      <c r="H47" s="8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88" t="s">
        <v>228</v>
      </c>
      <c r="B48" s="88" t="s">
        <v>261</v>
      </c>
      <c r="C48" s="88" t="s">
        <v>262</v>
      </c>
      <c r="D48" s="53" t="s">
        <v>231</v>
      </c>
      <c r="E48" s="33"/>
      <c r="F48" s="33"/>
      <c r="G48" s="8"/>
      <c r="H48" s="53" t="s">
        <v>263</v>
      </c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8"/>
      <c r="W48" s="89" t="s">
        <v>264</v>
      </c>
      <c r="X48" s="59"/>
      <c r="Y48" s="59"/>
      <c r="Z48" s="59"/>
      <c r="AA48" s="59"/>
      <c r="AB48" s="59"/>
      <c r="AC48" s="60"/>
      <c r="AD48" s="88" t="s">
        <v>265</v>
      </c>
      <c r="AE48" s="53" t="s">
        <v>266</v>
      </c>
      <c r="AF48" s="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65"/>
      <c r="B49" s="136" t="s">
        <v>267</v>
      </c>
      <c r="C49" s="136" t="s">
        <v>268</v>
      </c>
      <c r="D49" s="53" t="s">
        <v>240</v>
      </c>
      <c r="E49" s="8"/>
      <c r="F49" s="53" t="s">
        <v>241</v>
      </c>
      <c r="G49" s="8"/>
      <c r="H49" s="53" t="s">
        <v>269</v>
      </c>
      <c r="I49" s="8"/>
      <c r="J49" s="53" t="s">
        <v>270</v>
      </c>
      <c r="K49" s="33"/>
      <c r="L49" s="33"/>
      <c r="M49" s="8"/>
      <c r="N49" s="137" t="s">
        <v>271</v>
      </c>
      <c r="O49" s="8"/>
      <c r="P49" s="53" t="s">
        <v>272</v>
      </c>
      <c r="Q49" s="8"/>
      <c r="R49" s="138" t="s">
        <v>273</v>
      </c>
      <c r="S49" s="8"/>
      <c r="T49" s="139" t="s">
        <v>243</v>
      </c>
      <c r="U49" s="8"/>
      <c r="V49" s="140" t="s">
        <v>245</v>
      </c>
      <c r="W49" s="66"/>
      <c r="X49" s="67"/>
      <c r="Y49" s="67"/>
      <c r="Z49" s="67"/>
      <c r="AA49" s="67"/>
      <c r="AB49" s="67"/>
      <c r="AC49" s="68"/>
      <c r="AD49" s="65"/>
      <c r="AE49" s="97" t="s">
        <v>261</v>
      </c>
      <c r="AF49" s="97" t="s">
        <v>274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"/>
      <c r="B50" s="141"/>
      <c r="C50" s="142" t="s">
        <v>275</v>
      </c>
      <c r="D50" s="28" t="s">
        <v>261</v>
      </c>
      <c r="E50" s="28" t="s">
        <v>276</v>
      </c>
      <c r="F50" s="28" t="s">
        <v>261</v>
      </c>
      <c r="G50" s="28" t="s">
        <v>276</v>
      </c>
      <c r="H50" s="28" t="s">
        <v>277</v>
      </c>
      <c r="I50" s="28" t="s">
        <v>278</v>
      </c>
      <c r="J50" s="28" t="s">
        <v>279</v>
      </c>
      <c r="K50" s="28" t="s">
        <v>280</v>
      </c>
      <c r="L50" s="28" t="s">
        <v>281</v>
      </c>
      <c r="M50" s="28" t="s">
        <v>282</v>
      </c>
      <c r="N50" s="143" t="s">
        <v>283</v>
      </c>
      <c r="O50" s="144" t="s">
        <v>284</v>
      </c>
      <c r="P50" s="28" t="s">
        <v>281</v>
      </c>
      <c r="Q50" s="28" t="s">
        <v>282</v>
      </c>
      <c r="R50" s="121" t="s">
        <v>283</v>
      </c>
      <c r="S50" s="28" t="s">
        <v>284</v>
      </c>
      <c r="T50" s="28" t="s">
        <v>283</v>
      </c>
      <c r="U50" s="28" t="s">
        <v>284</v>
      </c>
      <c r="V50" s="28" t="s">
        <v>285</v>
      </c>
      <c r="W50" s="28" t="s">
        <v>286</v>
      </c>
      <c r="X50" s="28" t="s">
        <v>287</v>
      </c>
      <c r="Y50" s="145" t="s">
        <v>288</v>
      </c>
      <c r="Z50" s="53" t="s">
        <v>289</v>
      </c>
      <c r="AA50" s="122" t="s">
        <v>290</v>
      </c>
      <c r="AB50" s="123" t="s">
        <v>291</v>
      </c>
      <c r="AC50" s="28" t="s">
        <v>292</v>
      </c>
      <c r="AD50" s="10"/>
      <c r="AE50" s="97" t="s">
        <v>293</v>
      </c>
      <c r="AF50" s="97" t="s">
        <v>294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4">
        <v>1.0</v>
      </c>
      <c r="B51" s="124">
        <v>2.0</v>
      </c>
      <c r="C51" s="125">
        <v>3.0</v>
      </c>
      <c r="D51" s="124">
        <v>4.0</v>
      </c>
      <c r="E51" s="124">
        <v>5.0</v>
      </c>
      <c r="F51" s="124">
        <v>6.0</v>
      </c>
      <c r="G51" s="124">
        <v>7.0</v>
      </c>
      <c r="H51" s="124">
        <v>8.0</v>
      </c>
      <c r="I51" s="126">
        <v>9.0</v>
      </c>
      <c r="J51" s="126">
        <v>10.0</v>
      </c>
      <c r="K51" s="126">
        <v>11.0</v>
      </c>
      <c r="L51" s="126">
        <v>12.0</v>
      </c>
      <c r="M51" s="126">
        <v>13.0</v>
      </c>
      <c r="N51" s="126">
        <v>14.0</v>
      </c>
      <c r="O51" s="127">
        <v>15.0</v>
      </c>
      <c r="P51" s="126">
        <v>16.0</v>
      </c>
      <c r="Q51" s="126">
        <v>17.0</v>
      </c>
      <c r="R51" s="127">
        <v>18.0</v>
      </c>
      <c r="S51" s="126">
        <v>19.0</v>
      </c>
      <c r="T51" s="126">
        <v>20.0</v>
      </c>
      <c r="U51" s="124">
        <v>21.0</v>
      </c>
      <c r="V51" s="124">
        <v>22.0</v>
      </c>
      <c r="W51" s="124">
        <v>23.0</v>
      </c>
      <c r="X51" s="124">
        <v>24.0</v>
      </c>
      <c r="Y51" s="124">
        <v>25.0</v>
      </c>
      <c r="Z51" s="128">
        <v>26.0</v>
      </c>
      <c r="AA51" s="129">
        <v>27.0</v>
      </c>
      <c r="AB51" s="130">
        <v>28.0</v>
      </c>
      <c r="AC51" s="124">
        <v>29.0</v>
      </c>
      <c r="AD51" s="124">
        <v>30.0</v>
      </c>
      <c r="AE51" s="124">
        <v>31.0</v>
      </c>
      <c r="AF51" s="124">
        <v>32.0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1">
        <v>45658.0</v>
      </c>
      <c r="B52" s="132"/>
      <c r="C52" s="133"/>
      <c r="D52" s="132"/>
      <c r="E52" s="132"/>
      <c r="F52" s="132"/>
      <c r="G52" s="132"/>
      <c r="H52" s="76"/>
      <c r="I52" s="134"/>
      <c r="J52" s="134"/>
      <c r="K52" s="134"/>
      <c r="L52" s="134"/>
      <c r="M52" s="134"/>
      <c r="N52" s="134"/>
      <c r="O52" s="95"/>
      <c r="P52" s="95"/>
      <c r="Q52" s="95"/>
      <c r="R52" s="95"/>
      <c r="S52" s="95"/>
      <c r="T52" s="95"/>
      <c r="U52" s="132"/>
      <c r="V52" s="132"/>
      <c r="W52" s="132"/>
      <c r="X52" s="132"/>
      <c r="Y52" s="132"/>
      <c r="Z52" s="132"/>
      <c r="AA52" s="135"/>
      <c r="AB52" s="132"/>
      <c r="AC52" s="132"/>
      <c r="AD52" s="95"/>
      <c r="AE52" s="95"/>
      <c r="AF52" s="95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46" t="s">
        <v>295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1">
        <v>45717.0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45748.0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1">
        <v>45778.0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45809.0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45839.0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45870.0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45901.0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45931.0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45962.0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7">
        <v>45992.0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13" t="s">
        <v>296</v>
      </c>
      <c r="B67" s="87"/>
      <c r="C67" s="87"/>
      <c r="D67" s="87"/>
      <c r="E67" s="87"/>
      <c r="F67" s="87"/>
      <c r="G67" s="87"/>
      <c r="H67" s="8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88" t="s">
        <v>228</v>
      </c>
      <c r="B68" s="148" t="s">
        <v>231</v>
      </c>
      <c r="C68" s="59"/>
      <c r="D68" s="59"/>
      <c r="E68" s="59"/>
      <c r="F68" s="59"/>
      <c r="G68" s="60"/>
      <c r="H68" s="53" t="s">
        <v>297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8"/>
      <c r="X68" s="88" t="s">
        <v>298</v>
      </c>
      <c r="Y68" s="88" t="s">
        <v>298</v>
      </c>
      <c r="Z68" s="149"/>
      <c r="AA68" s="149"/>
      <c r="AB68" s="149"/>
      <c r="AC68" s="149"/>
      <c r="AD68" s="149"/>
      <c r="AE68" s="150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65"/>
      <c r="B69" s="89" t="s">
        <v>299</v>
      </c>
      <c r="C69" s="88" t="s">
        <v>300</v>
      </c>
      <c r="D69" s="139" t="s">
        <v>240</v>
      </c>
      <c r="E69" s="8"/>
      <c r="F69" s="53" t="s">
        <v>241</v>
      </c>
      <c r="G69" s="8"/>
      <c r="H69" s="53" t="s">
        <v>301</v>
      </c>
      <c r="I69" s="33"/>
      <c r="J69" s="33"/>
      <c r="K69" s="33"/>
      <c r="L69" s="8"/>
      <c r="M69" s="53" t="s">
        <v>302</v>
      </c>
      <c r="N69" s="33"/>
      <c r="O69" s="33"/>
      <c r="P69" s="33"/>
      <c r="Q69" s="33"/>
      <c r="R69" s="33"/>
      <c r="S69" s="33"/>
      <c r="T69" s="33"/>
      <c r="U69" s="8"/>
      <c r="V69" s="89" t="s">
        <v>245</v>
      </c>
      <c r="W69" s="136" t="s">
        <v>303</v>
      </c>
      <c r="X69" s="136" t="s">
        <v>304</v>
      </c>
      <c r="Y69" s="136" t="s">
        <v>305</v>
      </c>
      <c r="Z69" s="149"/>
      <c r="AA69" s="149"/>
      <c r="AB69" s="149"/>
      <c r="AC69" s="149"/>
      <c r="AE69" s="85"/>
      <c r="AF69" s="85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5"/>
      <c r="B70" s="151" t="s">
        <v>306</v>
      </c>
      <c r="C70" s="136" t="s">
        <v>306</v>
      </c>
      <c r="D70" s="152" t="s">
        <v>307</v>
      </c>
      <c r="E70" s="88" t="s">
        <v>308</v>
      </c>
      <c r="F70" s="88" t="s">
        <v>307</v>
      </c>
      <c r="G70" s="88" t="s">
        <v>308</v>
      </c>
      <c r="H70" s="88" t="s">
        <v>309</v>
      </c>
      <c r="I70" s="88" t="s">
        <v>310</v>
      </c>
      <c r="J70" s="88" t="s">
        <v>283</v>
      </c>
      <c r="K70" s="88" t="s">
        <v>311</v>
      </c>
      <c r="L70" s="88" t="s">
        <v>312</v>
      </c>
      <c r="M70" s="88" t="s">
        <v>313</v>
      </c>
      <c r="N70" s="53" t="s">
        <v>244</v>
      </c>
      <c r="O70" s="33"/>
      <c r="P70" s="8"/>
      <c r="Q70" s="53" t="s">
        <v>314</v>
      </c>
      <c r="R70" s="33"/>
      <c r="S70" s="8"/>
      <c r="T70" s="153" t="s">
        <v>315</v>
      </c>
      <c r="U70" s="8"/>
      <c r="V70" s="154" t="s">
        <v>316</v>
      </c>
      <c r="W70" s="155" t="s">
        <v>317</v>
      </c>
      <c r="X70" s="155" t="s">
        <v>318</v>
      </c>
      <c r="Y70" s="155" t="s">
        <v>319</v>
      </c>
      <c r="Z70" s="150"/>
      <c r="AA70" s="156"/>
      <c r="AB70" s="150"/>
      <c r="AC70" s="150"/>
      <c r="AE70" s="85"/>
      <c r="AF70" s="85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0"/>
      <c r="B71" s="157"/>
      <c r="C71" s="158"/>
      <c r="D71" s="68"/>
      <c r="E71" s="10"/>
      <c r="F71" s="10"/>
      <c r="G71" s="10"/>
      <c r="H71" s="10"/>
      <c r="I71" s="10"/>
      <c r="J71" s="10"/>
      <c r="K71" s="10"/>
      <c r="L71" s="10"/>
      <c r="M71" s="10"/>
      <c r="N71" s="28" t="s">
        <v>320</v>
      </c>
      <c r="O71" s="159" t="s">
        <v>283</v>
      </c>
      <c r="P71" s="28" t="s">
        <v>321</v>
      </c>
      <c r="Q71" s="28" t="s">
        <v>320</v>
      </c>
      <c r="R71" s="28" t="s">
        <v>283</v>
      </c>
      <c r="S71" s="28" t="s">
        <v>321</v>
      </c>
      <c r="T71" s="160" t="s">
        <v>322</v>
      </c>
      <c r="U71" s="161" t="s">
        <v>323</v>
      </c>
      <c r="V71" s="162" t="s">
        <v>245</v>
      </c>
      <c r="W71" s="159" t="s">
        <v>324</v>
      </c>
      <c r="X71" s="159" t="s">
        <v>292</v>
      </c>
      <c r="Y71" s="159" t="s">
        <v>325</v>
      </c>
      <c r="Z71" s="163"/>
      <c r="AA71" s="163"/>
      <c r="AB71" s="163"/>
      <c r="AC71" s="163"/>
      <c r="AD71" s="163"/>
      <c r="AE71" s="163"/>
      <c r="AF71" s="16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24">
        <v>1.0</v>
      </c>
      <c r="B72" s="129">
        <v>2.0</v>
      </c>
      <c r="C72" s="158">
        <v>3.0</v>
      </c>
      <c r="D72" s="124"/>
      <c r="E72" s="124">
        <v>5.0</v>
      </c>
      <c r="F72" s="124">
        <v>6.0</v>
      </c>
      <c r="G72" s="124">
        <v>7.0</v>
      </c>
      <c r="H72" s="124">
        <v>8.0</v>
      </c>
      <c r="I72" s="126">
        <v>9.0</v>
      </c>
      <c r="J72" s="126">
        <v>10.0</v>
      </c>
      <c r="K72" s="126">
        <v>11.0</v>
      </c>
      <c r="L72" s="126">
        <v>12.0</v>
      </c>
      <c r="M72" s="126">
        <v>13.0</v>
      </c>
      <c r="N72" s="126">
        <v>14.0</v>
      </c>
      <c r="O72" s="127">
        <v>15.0</v>
      </c>
      <c r="P72" s="126">
        <v>16.0</v>
      </c>
      <c r="Q72" s="126">
        <v>17.0</v>
      </c>
      <c r="R72" s="127">
        <v>18.0</v>
      </c>
      <c r="S72" s="126">
        <v>19.0</v>
      </c>
      <c r="T72" s="126">
        <v>20.0</v>
      </c>
      <c r="U72" s="124">
        <v>21.0</v>
      </c>
      <c r="V72" s="129">
        <v>22.0</v>
      </c>
      <c r="W72" s="129">
        <v>23.0</v>
      </c>
      <c r="X72" s="129">
        <v>24.0</v>
      </c>
      <c r="Y72" s="129">
        <v>25.0</v>
      </c>
      <c r="Z72" s="163"/>
      <c r="AA72" s="163"/>
      <c r="AB72" s="163"/>
      <c r="AC72" s="163"/>
      <c r="AD72" s="163"/>
      <c r="AE72" s="163"/>
      <c r="AF72" s="16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31">
        <v>45658.0</v>
      </c>
      <c r="B73" s="132"/>
      <c r="C73" s="133"/>
      <c r="D73" s="132"/>
      <c r="E73" s="132"/>
      <c r="F73" s="132"/>
      <c r="G73" s="132"/>
      <c r="H73" s="76"/>
      <c r="I73" s="134"/>
      <c r="J73" s="134"/>
      <c r="K73" s="134"/>
      <c r="L73" s="134"/>
      <c r="M73" s="134"/>
      <c r="N73" s="134"/>
      <c r="O73" s="95"/>
      <c r="P73" s="95"/>
      <c r="Q73" s="95"/>
      <c r="R73" s="95"/>
      <c r="S73" s="95"/>
      <c r="T73" s="95"/>
      <c r="U73" s="132"/>
      <c r="V73" s="132"/>
      <c r="W73" s="132"/>
      <c r="X73" s="132"/>
      <c r="Y73" s="132"/>
      <c r="Z73" s="87"/>
      <c r="AA73" s="164"/>
      <c r="AB73" s="87"/>
      <c r="AC73" s="87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46" t="s">
        <v>295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1">
        <v>45717.0</v>
      </c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45748.0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1">
        <v>45778.0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45809.0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45839.0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45870.0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45901.0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45931.0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45962.0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45992.0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13" t="s">
        <v>326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03" t="s">
        <v>228</v>
      </c>
      <c r="B89" s="107" t="s">
        <v>327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8"/>
      <c r="AK89" s="165" t="s">
        <v>328</v>
      </c>
      <c r="AL89" s="166" t="s">
        <v>298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65"/>
      <c r="B90" s="167" t="s">
        <v>301</v>
      </c>
      <c r="C90" s="33"/>
      <c r="D90" s="33"/>
      <c r="E90" s="33"/>
      <c r="F90" s="8"/>
      <c r="G90" s="167" t="s">
        <v>329</v>
      </c>
      <c r="H90" s="33"/>
      <c r="I90" s="33"/>
      <c r="J90" s="33"/>
      <c r="K90" s="33"/>
      <c r="L90" s="33"/>
      <c r="M90" s="33"/>
      <c r="N90" s="33"/>
      <c r="O90" s="33"/>
      <c r="P90" s="33"/>
      <c r="Q90" s="8"/>
      <c r="R90" s="89" t="s">
        <v>330</v>
      </c>
      <c r="S90" s="60"/>
      <c r="T90" s="107" t="s">
        <v>331</v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8"/>
      <c r="AK90" s="168" t="s">
        <v>332</v>
      </c>
      <c r="AL90" s="169" t="s">
        <v>332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5"/>
      <c r="B91" s="88" t="s">
        <v>309</v>
      </c>
      <c r="C91" s="88" t="s">
        <v>310</v>
      </c>
      <c r="D91" s="88" t="s">
        <v>283</v>
      </c>
      <c r="E91" s="88" t="s">
        <v>311</v>
      </c>
      <c r="F91" s="88" t="s">
        <v>312</v>
      </c>
      <c r="G91" s="167" t="s">
        <v>313</v>
      </c>
      <c r="H91" s="8"/>
      <c r="I91" s="167" t="s">
        <v>244</v>
      </c>
      <c r="J91" s="33"/>
      <c r="K91" s="33"/>
      <c r="L91" s="170" t="s">
        <v>314</v>
      </c>
      <c r="M91" s="33"/>
      <c r="N91" s="8"/>
      <c r="O91" s="171" t="s">
        <v>333</v>
      </c>
      <c r="P91" s="33"/>
      <c r="Q91" s="8"/>
      <c r="R91" s="172" t="s">
        <v>321</v>
      </c>
      <c r="S91" s="88" t="s">
        <v>283</v>
      </c>
      <c r="T91" s="107" t="s">
        <v>334</v>
      </c>
      <c r="U91" s="33"/>
      <c r="V91" s="33"/>
      <c r="W91" s="33"/>
      <c r="X91" s="8"/>
      <c r="Y91" s="167" t="s">
        <v>335</v>
      </c>
      <c r="Z91" s="33"/>
      <c r="AA91" s="33"/>
      <c r="AB91" s="8"/>
      <c r="AC91" s="167" t="s">
        <v>335</v>
      </c>
      <c r="AD91" s="33"/>
      <c r="AE91" s="33"/>
      <c r="AF91" s="8"/>
      <c r="AG91" s="167" t="s">
        <v>335</v>
      </c>
      <c r="AH91" s="33"/>
      <c r="AI91" s="33"/>
      <c r="AJ91" s="8"/>
      <c r="AK91" s="168" t="s">
        <v>331</v>
      </c>
      <c r="AL91" s="169" t="s">
        <v>331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5"/>
      <c r="B92" s="65"/>
      <c r="C92" s="65"/>
      <c r="D92" s="65"/>
      <c r="E92" s="65"/>
      <c r="F92" s="65"/>
      <c r="G92" s="173" t="s">
        <v>336</v>
      </c>
      <c r="H92" s="174" t="s">
        <v>337</v>
      </c>
      <c r="I92" s="136" t="s">
        <v>320</v>
      </c>
      <c r="J92" s="88" t="s">
        <v>283</v>
      </c>
      <c r="K92" s="88" t="s">
        <v>321</v>
      </c>
      <c r="L92" s="88" t="s">
        <v>320</v>
      </c>
      <c r="M92" s="88" t="s">
        <v>283</v>
      </c>
      <c r="N92" s="88" t="s">
        <v>321</v>
      </c>
      <c r="O92" s="107" t="s">
        <v>338</v>
      </c>
      <c r="P92" s="33"/>
      <c r="Q92" s="8"/>
      <c r="R92" s="10"/>
      <c r="S92" s="10"/>
      <c r="T92" s="143" t="s">
        <v>339</v>
      </c>
      <c r="U92" s="167" t="s">
        <v>340</v>
      </c>
      <c r="V92" s="8"/>
      <c r="W92" s="167" t="s">
        <v>341</v>
      </c>
      <c r="X92" s="8"/>
      <c r="Y92" s="167" t="s">
        <v>342</v>
      </c>
      <c r="Z92" s="8"/>
      <c r="AA92" s="175" t="s">
        <v>343</v>
      </c>
      <c r="AB92" s="68"/>
      <c r="AC92" s="167" t="s">
        <v>344</v>
      </c>
      <c r="AD92" s="8"/>
      <c r="AE92" s="175" t="s">
        <v>345</v>
      </c>
      <c r="AF92" s="68"/>
      <c r="AG92" s="167" t="s">
        <v>346</v>
      </c>
      <c r="AH92" s="8"/>
      <c r="AI92" s="175" t="s">
        <v>347</v>
      </c>
      <c r="AJ92" s="68"/>
      <c r="AK92" s="168" t="s">
        <v>348</v>
      </c>
      <c r="AL92" s="169" t="s">
        <v>325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67" t="s">
        <v>349</v>
      </c>
      <c r="P93" s="143" t="s">
        <v>350</v>
      </c>
      <c r="Q93" s="143" t="s">
        <v>351</v>
      </c>
      <c r="R93" s="176" t="s">
        <v>349</v>
      </c>
      <c r="S93" s="143" t="s">
        <v>352</v>
      </c>
      <c r="T93" s="177" t="s">
        <v>353</v>
      </c>
      <c r="U93" s="177" t="s">
        <v>354</v>
      </c>
      <c r="V93" s="177" t="s">
        <v>355</v>
      </c>
      <c r="W93" s="143" t="s">
        <v>356</v>
      </c>
      <c r="X93" s="143" t="s">
        <v>357</v>
      </c>
      <c r="Y93" s="143" t="s">
        <v>258</v>
      </c>
      <c r="Z93" s="167" t="s">
        <v>256</v>
      </c>
      <c r="AA93" s="176" t="s">
        <v>258</v>
      </c>
      <c r="AB93" s="178" t="s">
        <v>256</v>
      </c>
      <c r="AC93" s="143" t="s">
        <v>258</v>
      </c>
      <c r="AD93" s="167" t="s">
        <v>256</v>
      </c>
      <c r="AE93" s="176" t="s">
        <v>258</v>
      </c>
      <c r="AF93" s="178" t="s">
        <v>256</v>
      </c>
      <c r="AG93" s="143" t="s">
        <v>258</v>
      </c>
      <c r="AH93" s="167" t="s">
        <v>256</v>
      </c>
      <c r="AI93" s="176" t="s">
        <v>258</v>
      </c>
      <c r="AJ93" s="107" t="s">
        <v>256</v>
      </c>
      <c r="AK93" s="179" t="s">
        <v>292</v>
      </c>
      <c r="AL93" s="180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81">
        <v>1.0</v>
      </c>
      <c r="B94" s="182">
        <v>2.0</v>
      </c>
      <c r="C94" s="182">
        <v>3.0</v>
      </c>
      <c r="D94" s="182">
        <v>4.0</v>
      </c>
      <c r="E94" s="182">
        <v>5.0</v>
      </c>
      <c r="F94" s="182">
        <v>6.0</v>
      </c>
      <c r="G94" s="182">
        <v>7.0</v>
      </c>
      <c r="H94" s="182">
        <v>8.0</v>
      </c>
      <c r="I94" s="183">
        <v>9.0</v>
      </c>
      <c r="J94" s="182">
        <v>10.0</v>
      </c>
      <c r="K94" s="182">
        <v>11.0</v>
      </c>
      <c r="L94" s="183">
        <v>12.0</v>
      </c>
      <c r="M94" s="182">
        <v>13.0</v>
      </c>
      <c r="N94" s="182">
        <v>14.0</v>
      </c>
      <c r="O94" s="182">
        <v>15.0</v>
      </c>
      <c r="P94" s="181">
        <v>16.0</v>
      </c>
      <c r="Q94" s="181">
        <v>17.0</v>
      </c>
      <c r="R94" s="184">
        <v>18.0</v>
      </c>
      <c r="S94" s="181">
        <v>19.0</v>
      </c>
      <c r="T94" s="181">
        <v>20.0</v>
      </c>
      <c r="U94" s="181">
        <v>21.0</v>
      </c>
      <c r="V94" s="181">
        <v>22.0</v>
      </c>
      <c r="W94" s="181">
        <v>23.0</v>
      </c>
      <c r="X94" s="181">
        <v>24.0</v>
      </c>
      <c r="Y94" s="181">
        <v>25.0</v>
      </c>
      <c r="Z94" s="185">
        <v>26.0</v>
      </c>
      <c r="AA94" s="184">
        <v>27.0</v>
      </c>
      <c r="AB94" s="186">
        <v>28.0</v>
      </c>
      <c r="AC94" s="181">
        <v>29.0</v>
      </c>
      <c r="AD94" s="181">
        <v>30.0</v>
      </c>
      <c r="AE94" s="181">
        <v>31.0</v>
      </c>
      <c r="AF94" s="181">
        <v>32.0</v>
      </c>
      <c r="AG94" s="187">
        <v>33.0</v>
      </c>
      <c r="AH94" s="187">
        <v>34.0</v>
      </c>
      <c r="AI94" s="187">
        <v>35.0</v>
      </c>
      <c r="AJ94" s="187">
        <v>36.0</v>
      </c>
      <c r="AK94" s="188">
        <v>37.0</v>
      </c>
      <c r="AL94" s="188">
        <v>38.0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89">
        <v>45658.0</v>
      </c>
      <c r="B95" s="95"/>
      <c r="C95" s="190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91" t="s">
        <v>295</v>
      </c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9">
        <v>45717.0</v>
      </c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45748.0</v>
      </c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>
        <v>45778.0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45809.0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45839.0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45870.0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45901.0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45931.0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45962.0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45992.0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</sheetData>
  <mergeCells count="128">
    <mergeCell ref="C5:C6"/>
    <mergeCell ref="D5:D6"/>
    <mergeCell ref="F4:F6"/>
    <mergeCell ref="G5:G6"/>
    <mergeCell ref="H5:H6"/>
    <mergeCell ref="I5:I6"/>
    <mergeCell ref="J5:J6"/>
    <mergeCell ref="K5:K6"/>
    <mergeCell ref="L5:L6"/>
    <mergeCell ref="M5:M6"/>
    <mergeCell ref="N5:N6"/>
    <mergeCell ref="O5:P6"/>
    <mergeCell ref="AT5:AY6"/>
    <mergeCell ref="AZ5:BA6"/>
    <mergeCell ref="AB4:AY4"/>
    <mergeCell ref="AZ4:BC4"/>
    <mergeCell ref="BD4:BD6"/>
    <mergeCell ref="AB5:AC6"/>
    <mergeCell ref="AD5:AI6"/>
    <mergeCell ref="AJ5:AQ6"/>
    <mergeCell ref="AR5:AS6"/>
    <mergeCell ref="BB5:BC6"/>
    <mergeCell ref="H28:N28"/>
    <mergeCell ref="O28:Q28"/>
    <mergeCell ref="U28:V29"/>
    <mergeCell ref="W28:X29"/>
    <mergeCell ref="Y28:Z28"/>
    <mergeCell ref="AB28:AC29"/>
    <mergeCell ref="H29:I29"/>
    <mergeCell ref="S29:T29"/>
    <mergeCell ref="N29:N30"/>
    <mergeCell ref="P29:Q29"/>
    <mergeCell ref="H48:V48"/>
    <mergeCell ref="W48:AC49"/>
    <mergeCell ref="AD48:AD50"/>
    <mergeCell ref="AE48:AF48"/>
    <mergeCell ref="H49:I49"/>
    <mergeCell ref="T49:U49"/>
    <mergeCell ref="U5:V6"/>
    <mergeCell ref="W5:X6"/>
    <mergeCell ref="A4:A6"/>
    <mergeCell ref="B4:B6"/>
    <mergeCell ref="C4:E4"/>
    <mergeCell ref="G4:N4"/>
    <mergeCell ref="O4:Z4"/>
    <mergeCell ref="AA4:AA6"/>
    <mergeCell ref="E5:E6"/>
    <mergeCell ref="Y5:Z6"/>
    <mergeCell ref="J29:K29"/>
    <mergeCell ref="L29:M29"/>
    <mergeCell ref="Q5:R6"/>
    <mergeCell ref="S5:T6"/>
    <mergeCell ref="A21:B21"/>
    <mergeCell ref="A28:A30"/>
    <mergeCell ref="B28:B30"/>
    <mergeCell ref="C28:C30"/>
    <mergeCell ref="R28:T28"/>
    <mergeCell ref="J49:M49"/>
    <mergeCell ref="N49:O49"/>
    <mergeCell ref="P49:Q49"/>
    <mergeCell ref="R49:S49"/>
    <mergeCell ref="D28:G28"/>
    <mergeCell ref="D29:E29"/>
    <mergeCell ref="F29:G29"/>
    <mergeCell ref="A48:A50"/>
    <mergeCell ref="D48:G48"/>
    <mergeCell ref="D49:E49"/>
    <mergeCell ref="F49:G49"/>
    <mergeCell ref="T70:U70"/>
    <mergeCell ref="B89:AJ89"/>
    <mergeCell ref="T90:AJ90"/>
    <mergeCell ref="T91:X91"/>
    <mergeCell ref="Y91:AB91"/>
    <mergeCell ref="AC91:AF91"/>
    <mergeCell ref="AG91:AJ91"/>
    <mergeCell ref="A68:A71"/>
    <mergeCell ref="B68:G68"/>
    <mergeCell ref="H68:W68"/>
    <mergeCell ref="AD68:AD70"/>
    <mergeCell ref="AE68:AF68"/>
    <mergeCell ref="D69:E69"/>
    <mergeCell ref="F69:G69"/>
    <mergeCell ref="F91:F93"/>
    <mergeCell ref="G92:G93"/>
    <mergeCell ref="H92:H93"/>
    <mergeCell ref="I92:I93"/>
    <mergeCell ref="J92:J93"/>
    <mergeCell ref="K92:K93"/>
    <mergeCell ref="L92:L93"/>
    <mergeCell ref="M92:M93"/>
    <mergeCell ref="O91:Q91"/>
    <mergeCell ref="O92:Q92"/>
    <mergeCell ref="U92:V92"/>
    <mergeCell ref="W92:X92"/>
    <mergeCell ref="Y92:Z92"/>
    <mergeCell ref="AA92:AB92"/>
    <mergeCell ref="AC92:AD92"/>
    <mergeCell ref="AE92:AF92"/>
    <mergeCell ref="AG92:AH92"/>
    <mergeCell ref="AI92:AJ92"/>
    <mergeCell ref="E91:E93"/>
    <mergeCell ref="G91:H91"/>
    <mergeCell ref="I91:K91"/>
    <mergeCell ref="L91:N91"/>
    <mergeCell ref="R91:R92"/>
    <mergeCell ref="S91:S92"/>
    <mergeCell ref="N92:N93"/>
    <mergeCell ref="H69:L69"/>
    <mergeCell ref="M69:U69"/>
    <mergeCell ref="F70:F71"/>
    <mergeCell ref="G70:G71"/>
    <mergeCell ref="H70:H71"/>
    <mergeCell ref="I70:I71"/>
    <mergeCell ref="J70:J71"/>
    <mergeCell ref="K70:K71"/>
    <mergeCell ref="L70:L71"/>
    <mergeCell ref="M70:M71"/>
    <mergeCell ref="G90:Q90"/>
    <mergeCell ref="R90:S90"/>
    <mergeCell ref="N70:P70"/>
    <mergeCell ref="Q70:S70"/>
    <mergeCell ref="D70:D71"/>
    <mergeCell ref="E70:E71"/>
    <mergeCell ref="A89:A93"/>
    <mergeCell ref="B90:F90"/>
    <mergeCell ref="B91:B93"/>
    <mergeCell ref="C91:C93"/>
    <mergeCell ref="D91:D9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11.0"/>
    <col customWidth="1" min="4" max="4" width="13.38"/>
    <col customWidth="1" min="9" max="9" width="41.63"/>
    <col customWidth="1" min="10" max="10" width="63.25"/>
  </cols>
  <sheetData>
    <row r="1">
      <c r="A1" s="35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 t="str">
        <f>DATABASE!C2</f>
        <v>:  TEGAL YOSO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7.0" customHeight="1">
      <c r="A5" s="192" t="s">
        <v>40</v>
      </c>
      <c r="B5" s="192" t="s">
        <v>41</v>
      </c>
      <c r="C5" s="192" t="s">
        <v>359</v>
      </c>
      <c r="D5" s="192" t="s">
        <v>360</v>
      </c>
      <c r="E5" s="192" t="s">
        <v>44</v>
      </c>
      <c r="F5" s="192" t="s">
        <v>43</v>
      </c>
      <c r="G5" s="192" t="s">
        <v>45</v>
      </c>
      <c r="H5" s="192" t="s">
        <v>361</v>
      </c>
      <c r="I5" s="192" t="s">
        <v>362</v>
      </c>
      <c r="J5" s="193" t="s">
        <v>363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4" t="s">
        <v>48</v>
      </c>
      <c r="K6" s="195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364</v>
      </c>
      <c r="C8" s="42" t="str">
        <f>DATABASE!B6</f>
        <v>Dahlia</v>
      </c>
      <c r="D8" s="26" t="s">
        <v>365</v>
      </c>
      <c r="E8" s="44" t="s">
        <v>366</v>
      </c>
      <c r="F8" s="198" t="s">
        <v>367</v>
      </c>
      <c r="G8" s="44" t="s">
        <v>368</v>
      </c>
      <c r="H8" s="44" t="s">
        <v>369</v>
      </c>
      <c r="I8" s="44" t="s">
        <v>370</v>
      </c>
      <c r="J8" s="44" t="s">
        <v>371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2" t="str">
        <f>DATABASE!B7</f>
        <v>Kenanga</v>
      </c>
      <c r="D9" s="44"/>
      <c r="E9" s="44"/>
      <c r="F9" s="44"/>
      <c r="G9" s="44"/>
      <c r="H9" s="44"/>
      <c r="I9" s="44"/>
      <c r="J9" s="24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2" t="str">
        <f>DATABASE!B8</f>
        <v>Mawar</v>
      </c>
      <c r="D10" s="44"/>
      <c r="E10" s="44"/>
      <c r="F10" s="44"/>
      <c r="G10" s="44"/>
      <c r="H10" s="44"/>
      <c r="I10" s="44"/>
      <c r="J10" s="24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2" t="str">
        <f>DATABASE!B9</f>
        <v>Melati</v>
      </c>
      <c r="D11" s="44"/>
      <c r="E11" s="44"/>
      <c r="F11" s="44"/>
      <c r="G11" s="44"/>
      <c r="H11" s="44"/>
      <c r="I11" s="44"/>
      <c r="J11" s="24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2" t="str">
        <f>DATABASE!B10</f>
        <v>Anggrek</v>
      </c>
      <c r="D12" s="26"/>
      <c r="E12" s="44"/>
      <c r="F12" s="44"/>
      <c r="G12" s="44"/>
      <c r="H12" s="44"/>
      <c r="I12" s="24"/>
      <c r="J12" s="24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0"/>
      <c r="C13" s="42" t="str">
        <f>DATABASE!B11</f>
        <v>Cempaka</v>
      </c>
      <c r="D13" s="44"/>
      <c r="E13" s="44"/>
      <c r="F13" s="24"/>
      <c r="G13" s="44"/>
      <c r="H13" s="44"/>
      <c r="I13" s="44"/>
      <c r="J13" s="24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/>
      <c r="B14" s="48"/>
      <c r="C14" s="44"/>
      <c r="D14" s="44"/>
      <c r="E14" s="44"/>
      <c r="F14" s="24"/>
      <c r="G14" s="44"/>
      <c r="H14" s="44"/>
      <c r="I14" s="44"/>
      <c r="J14" s="24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3" max="3" width="10.75"/>
    <col customWidth="1" min="10" max="10" width="19.88"/>
    <col customWidth="1" min="11" max="11" width="47.88"/>
  </cols>
  <sheetData>
    <row r="1">
      <c r="A1" s="201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372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 t="str">
        <f>DATABASE!C2</f>
        <v>:  TEGAL YOSO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02" t="s">
        <v>40</v>
      </c>
      <c r="B4" s="202" t="s">
        <v>41</v>
      </c>
      <c r="C4" s="202" t="s">
        <v>42</v>
      </c>
      <c r="D4" s="202" t="s">
        <v>44</v>
      </c>
      <c r="E4" s="202" t="s">
        <v>43</v>
      </c>
      <c r="F4" s="202" t="s">
        <v>45</v>
      </c>
      <c r="G4" s="203" t="s">
        <v>373</v>
      </c>
      <c r="H4" s="33"/>
      <c r="I4" s="33"/>
      <c r="J4" s="33"/>
      <c r="K4" s="8"/>
      <c r="L4" s="204" t="s">
        <v>363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05" t="s">
        <v>374</v>
      </c>
      <c r="H5" s="205" t="s">
        <v>375</v>
      </c>
      <c r="I5" s="205" t="s">
        <v>376</v>
      </c>
      <c r="J5" s="205" t="s">
        <v>377</v>
      </c>
      <c r="K5" s="205" t="s">
        <v>378</v>
      </c>
      <c r="L5" s="205" t="s">
        <v>48</v>
      </c>
      <c r="M5" s="206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2" t="str">
        <f>DATABASE!B6</f>
        <v>Dahlia</v>
      </c>
      <c r="D7" s="44" t="s">
        <v>379</v>
      </c>
      <c r="E7" s="44" t="s">
        <v>380</v>
      </c>
      <c r="F7" s="44" t="s">
        <v>381</v>
      </c>
      <c r="G7" s="24"/>
      <c r="H7" s="24"/>
      <c r="I7" s="24"/>
      <c r="J7" s="24"/>
      <c r="K7" s="44" t="s">
        <v>382</v>
      </c>
      <c r="L7" s="24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2" t="str">
        <f>DATABASE!B7</f>
        <v>Kenanga</v>
      </c>
      <c r="D8" s="44"/>
      <c r="E8" s="44"/>
      <c r="F8" s="44"/>
      <c r="G8" s="24"/>
      <c r="H8" s="24"/>
      <c r="I8" s="24"/>
      <c r="J8" s="24"/>
      <c r="K8" s="44"/>
      <c r="L8" s="24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2" t="str">
        <f>DATABASE!B8</f>
        <v>Mawar</v>
      </c>
      <c r="D9" s="44"/>
      <c r="E9" s="44"/>
      <c r="F9" s="44"/>
      <c r="G9" s="44"/>
      <c r="H9" s="44"/>
      <c r="I9" s="24"/>
      <c r="J9" s="24"/>
      <c r="K9" s="44"/>
      <c r="L9" s="24"/>
      <c r="M9" s="20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4"/>
      <c r="C10" s="42" t="str">
        <f>DATABASE!B9</f>
        <v>Melati</v>
      </c>
      <c r="D10" s="24"/>
      <c r="E10" s="24"/>
      <c r="F10" s="24"/>
      <c r="G10" s="24"/>
      <c r="H10" s="24"/>
      <c r="I10" s="24"/>
      <c r="J10" s="24"/>
      <c r="K10" s="24"/>
      <c r="L10" s="24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4"/>
      <c r="C11" s="42" t="str">
        <f>DATABASE!B10</f>
        <v>Anggrek</v>
      </c>
      <c r="D11" s="24"/>
      <c r="E11" s="24"/>
      <c r="F11" s="24"/>
      <c r="G11" s="24"/>
      <c r="H11" s="24"/>
      <c r="I11" s="24"/>
      <c r="J11" s="24"/>
      <c r="K11" s="24"/>
      <c r="L11" s="24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4"/>
      <c r="C12" s="42" t="str">
        <f>DATABASE!B11</f>
        <v>Cempaka</v>
      </c>
      <c r="D12" s="24"/>
      <c r="E12" s="24"/>
      <c r="F12" s="24"/>
      <c r="G12" s="24"/>
      <c r="H12" s="24"/>
      <c r="I12" s="24"/>
      <c r="J12" s="24"/>
      <c r="K12" s="24"/>
      <c r="L12" s="24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10.75"/>
    <col customWidth="1" min="7" max="7" width="24.75"/>
  </cols>
  <sheetData>
    <row r="1">
      <c r="A1" s="35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 t="str">
        <f>'KESEHATAN SIP 6'!B25</f>
        <v>:  TEGAL YOSO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40</v>
      </c>
      <c r="B4" s="37" t="s">
        <v>41</v>
      </c>
      <c r="C4" s="37" t="s">
        <v>42</v>
      </c>
      <c r="D4" s="37" t="s">
        <v>43</v>
      </c>
      <c r="E4" s="37" t="s">
        <v>44</v>
      </c>
      <c r="F4" s="37" t="s">
        <v>45</v>
      </c>
      <c r="G4" s="208" t="s">
        <v>46</v>
      </c>
      <c r="H4" s="38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48</v>
      </c>
      <c r="I5" s="39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 t="s">
        <v>384</v>
      </c>
      <c r="C7" s="42" t="str">
        <f>DATABASE!B6</f>
        <v>Dahlia</v>
      </c>
      <c r="D7" s="44" t="s">
        <v>385</v>
      </c>
      <c r="E7" s="44" t="s">
        <v>386</v>
      </c>
      <c r="F7" s="44" t="s">
        <v>387</v>
      </c>
      <c r="G7" s="44" t="s">
        <v>388</v>
      </c>
      <c r="H7" s="44" t="s">
        <v>389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42" t="str">
        <f>DATABASE!B7</f>
        <v>Kenanga</v>
      </c>
      <c r="D8" s="44"/>
      <c r="E8" s="44"/>
      <c r="F8" s="44"/>
      <c r="G8" s="44"/>
      <c r="H8" s="44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2" t="str">
        <f>DATABASE!B8</f>
        <v>Mawar</v>
      </c>
      <c r="D9" s="44"/>
      <c r="E9" s="44"/>
      <c r="F9" s="44"/>
      <c r="G9" s="44"/>
      <c r="H9" s="4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44"/>
      <c r="C10" s="42" t="str">
        <f>DATABASE!B9</f>
        <v>Melati</v>
      </c>
      <c r="D10" s="209"/>
      <c r="E10" s="44"/>
      <c r="F10" s="44"/>
      <c r="G10" s="44"/>
      <c r="H10" s="4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00"/>
      <c r="C11" s="42" t="str">
        <f>DATABASE!B10</f>
        <v>Anggrek</v>
      </c>
      <c r="D11" s="44"/>
      <c r="E11" s="44"/>
      <c r="F11" s="44"/>
      <c r="G11" s="44"/>
      <c r="H11" s="4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4"/>
      <c r="C12" s="42" t="str">
        <f>DATABASE!B11</f>
        <v>Cempaka</v>
      </c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0.13"/>
    <col customWidth="1" min="7" max="7" width="23.63"/>
    <col customWidth="1" min="8" max="8" width="33.25"/>
  </cols>
  <sheetData>
    <row r="1">
      <c r="A1" s="34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390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150" t="str">
        <f>'TRANTIB LINMAS'!C3</f>
        <v>:  TEGAL YOSO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02" t="s">
        <v>40</v>
      </c>
      <c r="B5" s="202" t="s">
        <v>41</v>
      </c>
      <c r="C5" s="202" t="s">
        <v>42</v>
      </c>
      <c r="D5" s="202" t="s">
        <v>43</v>
      </c>
      <c r="E5" s="202" t="s">
        <v>44</v>
      </c>
      <c r="F5" s="202" t="s">
        <v>45</v>
      </c>
      <c r="G5" s="192" t="s">
        <v>46</v>
      </c>
      <c r="H5" s="204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205" t="s">
        <v>48</v>
      </c>
      <c r="I6" s="205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79">
        <v>3.0</v>
      </c>
      <c r="D7" s="41">
        <v>4.0</v>
      </c>
      <c r="E7" s="79">
        <v>5.0</v>
      </c>
      <c r="F7" s="41">
        <v>6.0</v>
      </c>
      <c r="G7" s="79">
        <v>7.0</v>
      </c>
      <c r="H7" s="41">
        <v>8.0</v>
      </c>
      <c r="I7" s="7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391</v>
      </c>
      <c r="C8" s="42" t="str">
        <f>DATABASE!B6</f>
        <v>Dahlia</v>
      </c>
      <c r="D8" s="43" t="s">
        <v>392</v>
      </c>
      <c r="E8" s="44" t="s">
        <v>393</v>
      </c>
      <c r="F8" s="44" t="s">
        <v>394</v>
      </c>
      <c r="G8" s="44" t="s">
        <v>395</v>
      </c>
      <c r="H8" s="44" t="s">
        <v>396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4"/>
      <c r="C9" s="42" t="str">
        <f>DATABASE!B7</f>
        <v>Kenanga</v>
      </c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3.0</v>
      </c>
      <c r="B10" s="44"/>
      <c r="C10" s="42" t="str">
        <f>DATABASE!B8</f>
        <v>Mawar</v>
      </c>
      <c r="D10" s="210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4.0</v>
      </c>
      <c r="B11" s="211"/>
      <c r="C11" s="42" t="str">
        <f>DATABASE!B9</f>
        <v>Melati</v>
      </c>
      <c r="D11" s="24"/>
      <c r="E11" s="24"/>
      <c r="F11" s="24"/>
      <c r="G11" s="44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5.0</v>
      </c>
      <c r="B12" s="212"/>
      <c r="C12" s="42" t="str">
        <f>DATABASE!B10</f>
        <v>Anggrek</v>
      </c>
      <c r="D12" s="209"/>
      <c r="E12" s="44"/>
      <c r="F12" s="44"/>
      <c r="G12" s="44"/>
      <c r="H12" s="4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13"/>
      <c r="C13" s="42" t="str">
        <f>DATABASE!B11</f>
        <v>Cempaka</v>
      </c>
      <c r="D13" s="44"/>
      <c r="E13" s="44"/>
      <c r="F13" s="44"/>
      <c r="G13" s="44"/>
      <c r="H13" s="2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