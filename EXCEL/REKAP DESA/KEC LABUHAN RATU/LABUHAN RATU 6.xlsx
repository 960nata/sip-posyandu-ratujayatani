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<sst xmlns="http://schemas.openxmlformats.org/spreadsheetml/2006/main" count="621" uniqueCount="328">
  <si>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</si>
  <si>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</si>
  <si>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</si>
  <si>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</si>
  <si>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</si>
  <si>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</si>
  <si>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</si>
  <si>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</si>
  <si>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</si>
  <si>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</si>
  <si>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</si>
  <si>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</si>
  <si>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</si>
  <si>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</si>
  <si>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</si>
  <si>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</si>
  <si>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</si>
  <si>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</si>
  <si>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</si>
  <si>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</si>
  <si>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</si>
  <si>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</si>
  <si>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PADI 1</t>
  </si>
  <si>
    <t>TGL 11</t>
  </si>
  <si>
    <t>PADI 2</t>
  </si>
  <si>
    <t>TGL 17</t>
  </si>
  <si>
    <t>PADI 3</t>
  </si>
  <si>
    <t>TGL 15</t>
  </si>
  <si>
    <t>PADI 4</t>
  </si>
  <si>
    <t>TGL 13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</si>
  <si>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</si>
  <si>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</si>
  <si>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</si>
  <si>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</si>
  <si>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</si>
  <si>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</si>
  <si>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</si>
  <si>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</si>
  <si>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</si>
  <si>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</si>
  <si>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</si>
  <si>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</si>
  <si>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</si>
  <si>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</si>
  <si>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</si>
  <si>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</si>
  <si>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</si>
  <si>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</si>
  <si>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</si>
  <si>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</si>
  <si>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</si>
  <si>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</si>
  <si>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</si>
  <si>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</si>
  <si>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</si>
  <si>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</si>
  <si>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</si>
  <si>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</si>
  <si>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</si>
  <si>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</si>
  <si>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</si>
  <si>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</si>
  <si>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</si>
  <si>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</si>
  <si>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</si>
  <si>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</si>
  <si>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</si>
  <si>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</si>
  <si>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</si>
  <si>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</si>
  <si>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</si>
  <si>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</si>
  <si>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</si>
  <si>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</si>
  <si>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</si>
  <si>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</si>
  <si>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</si>
  <si>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</si>
  <si>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</si>
  <si>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</si>
  <si>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</si>
  <si>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</si>
  <si>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</si>
  <si>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</si>
  <si>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</si>
  <si>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</si>
  <si>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</si>
  <si>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</si>
  <si>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</si>
  <si>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</si>
  <si>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</si>
  <si>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</si>
  <si>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</si>
  <si>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</si>
  <si>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</si>
  <si>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</si>
  <si>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</si>
  <si>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</si>
  <si>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</si>
  <si>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</si>
  <si>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</si>
  <si>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</si>
  <si>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</si>
  <si>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</si>
  <si>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</si>
  <si>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</si>
  <si>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</si>
  <si>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</si>
  <si>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</si>
  <si>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</si>
  <si>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</si>
  <si>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</si>
  <si>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</si>
  <si>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</si>
  <si>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</si>
  <si>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</si>
  <si>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</si>
  <si>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</si>
  <si>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</si>
  <si>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</si>
  <si>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</si>
  <si>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</si>
  <si>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</si>
  <si>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</si>
  <si>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</si>
  <si>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</si>
  <si>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</si>
  <si>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</si>
  <si>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</si>
  <si>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</si>
  <si>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</si>
  <si>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</si>
  <si>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</si>
  <si>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</si>
  <si>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</si>
  <si>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</si>
  <si>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</si>
  <si>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</si>
  <si>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</si>
  <si>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</si>
  <si>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</si>
  <si>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</si>
  <si>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</si>
  <si>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</si>
  <si>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</si>
  <si>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</si>
  <si>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</si>
  <si>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</si>
  <si>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</si>
  <si>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</si>
  <si>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</si>
  <si>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</si>
  <si>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</si>
  <si>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</si>
  <si>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</si>
  <si>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</si>
  <si>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</si>
  <si>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</si>
  <si>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</si>
  <si>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</si>
  <si>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</si>
  <si>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</si>
  <si>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</si>
  <si>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</si>
  <si>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</si>
  <si>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</si>
  <si>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</si>
  <si>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</si>
  <si>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</si>
  <si>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</si>
  <si>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</si>
  <si>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</si>
  <si>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</si>
  <si>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</si>
  <si>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</si>
  <si>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</si>
  <si>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</si>
  <si>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</si>
  <si>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</si>
  <si>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</si>
  <si>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</si>
  <si>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</si>
  <si>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</si>
  <si>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</si>
  <si>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</si>
  <si>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</si>
  <si>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</si>
  <si>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</si>
  <si>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</si>
  <si>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</si>
  <si>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</si>
  <si>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</si>
  <si>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</si>
  <si>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</si>
  <si>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>Jumlah Bayi dan Balita</t>
  </si>
  <si>
    <t>Jumlah Balita Sakit</t>
  </si>
  <si>
    <t>Jumlah Sasaran Dirujuk</t>
  </si>
  <si>
    <t>(0-6 bulan)</t>
  </si>
  <si>
    <t>(6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</si>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</sst>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/>
      <c r="E6" s="16">
        <v>257.0</v>
      </c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24</v>
      </c>
      <c r="C7" s="14" t="s">
        <v>25</v>
      </c>
      <c r="D7" s="14"/>
      <c r="E7" s="23">
        <v>282.0</v>
      </c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26</v>
      </c>
      <c r="C8" s="14" t="s">
        <v>27</v>
      </c>
      <c r="D8" s="15"/>
      <c r="E8" s="16">
        <v>284.0</v>
      </c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28</v>
      </c>
      <c r="C9" s="14" t="s">
        <v>29</v>
      </c>
      <c r="D9" s="14"/>
      <c r="E9" s="23">
        <v>201.0</v>
      </c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30</v>
      </c>
      <c r="B31" s="31"/>
      <c r="C31" s="8"/>
      <c r="D31" s="20">
        <f t="shared" ref="D31:H31" si="1">SUM(D6:D30)</f>
        <v>0</v>
      </c>
      <c r="E31" s="20">
        <f t="shared" si="1"/>
        <v>1024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33</v>
      </c>
      <c r="B5" s="35" t="s">
        <v>34</v>
      </c>
      <c r="C5" s="35" t="s">
        <v>35</v>
      </c>
      <c r="D5" s="35" t="s">
        <v>36</v>
      </c>
      <c r="E5" s="35" t="s">
        <v>37</v>
      </c>
      <c r="F5" s="35" t="s">
        <v>38</v>
      </c>
      <c r="G5" s="35" t="s">
        <v>39</v>
      </c>
      <c r="H5" s="36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41</v>
      </c>
      <c r="I6" s="37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43</v>
      </c>
      <c r="C8" s="40" t="s">
        <v>44</v>
      </c>
      <c r="D8" s="19" t="s">
        <v>45</v>
      </c>
      <c r="E8" s="19" t="s">
        <v>46</v>
      </c>
      <c r="F8" s="41" t="s">
        <v>47</v>
      </c>
      <c r="G8" s="41" t="s">
        <v>48</v>
      </c>
      <c r="H8" s="41" t="s">
        <v>49</v>
      </c>
      <c r="I8" s="20" t="s">
        <v>50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51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52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53</v>
      </c>
      <c r="C4" s="50" t="s">
        <v>54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55</v>
      </c>
      <c r="AB4" s="31"/>
      <c r="AC4" s="31"/>
      <c r="AD4" s="31"/>
      <c r="AE4" s="31"/>
      <c r="AF4" s="8"/>
      <c r="AG4" s="51" t="s">
        <v>56</v>
      </c>
      <c r="AH4" s="31"/>
      <c r="AI4" s="31"/>
      <c r="AJ4" s="8"/>
      <c r="AK4" s="52" t="s">
        <v>57</v>
      </c>
      <c r="AL4" s="2"/>
    </row>
    <row r="5">
      <c r="A5" s="53"/>
      <c r="B5" s="53"/>
      <c r="C5" s="54" t="s">
        <v>58</v>
      </c>
      <c r="D5" s="31"/>
      <c r="E5" s="31"/>
      <c r="F5" s="31"/>
      <c r="G5" s="31"/>
      <c r="H5" s="31"/>
      <c r="I5" s="31"/>
      <c r="J5" s="8"/>
      <c r="K5" s="55" t="s">
        <v>59</v>
      </c>
      <c r="L5" s="56"/>
      <c r="M5" s="56"/>
      <c r="N5" s="57"/>
      <c r="O5" s="58" t="s">
        <v>60</v>
      </c>
      <c r="R5" s="59"/>
      <c r="S5" s="58" t="s">
        <v>61</v>
      </c>
      <c r="V5" s="59"/>
      <c r="W5" s="60" t="s">
        <v>62</v>
      </c>
      <c r="X5" s="51" t="s">
        <v>63</v>
      </c>
      <c r="Y5" s="31"/>
      <c r="Z5" s="8"/>
      <c r="AA5" s="49" t="s">
        <v>64</v>
      </c>
      <c r="AB5" s="57"/>
      <c r="AC5" s="49" t="s">
        <v>65</v>
      </c>
      <c r="AD5" s="57"/>
      <c r="AE5" s="49" t="s">
        <v>66</v>
      </c>
      <c r="AF5" s="57"/>
      <c r="AG5" s="49" t="s">
        <v>67</v>
      </c>
      <c r="AH5" s="57"/>
      <c r="AI5" s="49" t="s">
        <v>68</v>
      </c>
      <c r="AJ5" s="57"/>
      <c r="AK5" s="61"/>
      <c r="AL5" s="2"/>
    </row>
    <row r="6">
      <c r="A6" s="53"/>
      <c r="B6" s="53"/>
      <c r="C6" s="54" t="s">
        <v>69</v>
      </c>
      <c r="D6" s="31"/>
      <c r="E6" s="31"/>
      <c r="F6" s="8"/>
      <c r="G6" s="51" t="s">
        <v>70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71</v>
      </c>
      <c r="Y6" s="60" t="s">
        <v>72</v>
      </c>
      <c r="Z6" s="60" t="s">
        <v>73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74</v>
      </c>
      <c r="D7" s="8"/>
      <c r="E7" s="51" t="s">
        <v>75</v>
      </c>
      <c r="F7" s="8"/>
      <c r="G7" s="51" t="s">
        <v>74</v>
      </c>
      <c r="H7" s="8"/>
      <c r="I7" s="51" t="s">
        <v>75</v>
      </c>
      <c r="J7" s="8"/>
      <c r="K7" s="65" t="s">
        <v>74</v>
      </c>
      <c r="L7" s="64"/>
      <c r="M7" s="65" t="s">
        <v>75</v>
      </c>
      <c r="N7" s="64"/>
      <c r="O7" s="65" t="s">
        <v>74</v>
      </c>
      <c r="P7" s="64"/>
      <c r="Q7" s="65" t="s">
        <v>75</v>
      </c>
      <c r="R7" s="64"/>
      <c r="S7" s="65" t="s">
        <v>74</v>
      </c>
      <c r="T7" s="64"/>
      <c r="U7" s="65" t="s">
        <v>75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76</v>
      </c>
      <c r="D8" s="67" t="s">
        <v>77</v>
      </c>
      <c r="E8" s="67" t="s">
        <v>76</v>
      </c>
      <c r="F8" s="67" t="s">
        <v>77</v>
      </c>
      <c r="G8" s="67" t="s">
        <v>76</v>
      </c>
      <c r="H8" s="67" t="s">
        <v>77</v>
      </c>
      <c r="I8" s="67" t="s">
        <v>76</v>
      </c>
      <c r="J8" s="67" t="s">
        <v>77</v>
      </c>
      <c r="K8" s="68" t="s">
        <v>76</v>
      </c>
      <c r="L8" s="68" t="s">
        <v>77</v>
      </c>
      <c r="M8" s="68" t="s">
        <v>76</v>
      </c>
      <c r="N8" s="68" t="s">
        <v>77</v>
      </c>
      <c r="O8" s="68" t="s">
        <v>76</v>
      </c>
      <c r="P8" s="68" t="s">
        <v>77</v>
      </c>
      <c r="Q8" s="68" t="s">
        <v>76</v>
      </c>
      <c r="R8" s="68" t="s">
        <v>77</v>
      </c>
      <c r="S8" s="68" t="s">
        <v>76</v>
      </c>
      <c r="T8" s="68" t="s">
        <v>77</v>
      </c>
      <c r="U8" s="68" t="s">
        <v>76</v>
      </c>
      <c r="V8" s="68" t="s">
        <v>77</v>
      </c>
      <c r="W8" s="10"/>
      <c r="X8" s="10"/>
      <c r="Y8" s="10"/>
      <c r="Z8" s="10"/>
      <c r="AA8" s="67" t="s">
        <v>76</v>
      </c>
      <c r="AB8" s="67" t="s">
        <v>77</v>
      </c>
      <c r="AC8" s="67" t="s">
        <v>76</v>
      </c>
      <c r="AD8" s="67" t="s">
        <v>77</v>
      </c>
      <c r="AE8" s="67" t="s">
        <v>76</v>
      </c>
      <c r="AF8" s="67" t="s">
        <v>77</v>
      </c>
      <c r="AG8" s="67" t="s">
        <v>76</v>
      </c>
      <c r="AH8" s="67" t="s">
        <v>77</v>
      </c>
      <c r="AI8" s="67" t="s">
        <v>76</v>
      </c>
      <c r="AJ8" s="67" t="s">
        <v>77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78</v>
      </c>
      <c r="C10" s="17">
        <v>1.0</v>
      </c>
      <c r="D10" s="17">
        <v>2.0</v>
      </c>
      <c r="E10" s="74">
        <v>36.0</v>
      </c>
      <c r="F10" s="74">
        <v>28.0</v>
      </c>
      <c r="G10" s="75">
        <v>1.0</v>
      </c>
      <c r="H10" s="75">
        <v>1.0</v>
      </c>
      <c r="I10" s="74">
        <v>140.0</v>
      </c>
      <c r="J10" s="74">
        <v>133.0</v>
      </c>
      <c r="K10" s="76">
        <v>4.0</v>
      </c>
      <c r="L10" s="77">
        <v>3.0</v>
      </c>
      <c r="M10" s="78">
        <v>9.0</v>
      </c>
      <c r="N10" s="78">
        <v>8.0</v>
      </c>
      <c r="O10" s="77">
        <v>4.0</v>
      </c>
      <c r="P10" s="77">
        <v>5.0</v>
      </c>
      <c r="Q10" s="78">
        <v>99.0</v>
      </c>
      <c r="R10" s="78">
        <v>91.0</v>
      </c>
      <c r="S10" s="77">
        <v>5.0</v>
      </c>
      <c r="T10" s="77">
        <v>3.0</v>
      </c>
      <c r="U10" s="77">
        <v>33.0</v>
      </c>
      <c r="V10" s="77">
        <v>30.0</v>
      </c>
      <c r="W10" s="74">
        <v>1203.0</v>
      </c>
      <c r="X10" s="74">
        <v>1322.0</v>
      </c>
      <c r="Y10" s="74">
        <v>3.0</v>
      </c>
      <c r="Z10" s="74">
        <v>145.0</v>
      </c>
      <c r="AA10" s="79">
        <v>0.0</v>
      </c>
      <c r="AB10" s="74">
        <v>32.0</v>
      </c>
      <c r="AC10" s="79">
        <v>0.0</v>
      </c>
      <c r="AD10" s="79">
        <v>0.0</v>
      </c>
      <c r="AE10" s="79">
        <v>0.0</v>
      </c>
      <c r="AF10" s="74">
        <v>1.0</v>
      </c>
      <c r="AG10" s="17">
        <v>1.0</v>
      </c>
      <c r="AH10" s="17">
        <v>2.0</v>
      </c>
      <c r="AI10" s="79">
        <v>0.0</v>
      </c>
      <c r="AJ10" s="79">
        <v>0.0</v>
      </c>
      <c r="AK10" s="24"/>
      <c r="AL10" s="2"/>
    </row>
    <row r="11">
      <c r="A11" s="72">
        <v>2.0</v>
      </c>
      <c r="B11" s="73" t="s">
        <v>79</v>
      </c>
      <c r="C11" s="17">
        <v>1.0</v>
      </c>
      <c r="D11" s="17">
        <v>2.0</v>
      </c>
      <c r="E11" s="74">
        <v>37.0</v>
      </c>
      <c r="F11" s="74">
        <v>29.0</v>
      </c>
      <c r="G11" s="80">
        <v>1.0</v>
      </c>
      <c r="H11" s="80">
        <v>0.0</v>
      </c>
      <c r="I11" s="74">
        <v>145.0</v>
      </c>
      <c r="J11" s="74">
        <v>136.0</v>
      </c>
      <c r="K11" s="81">
        <v>2.0</v>
      </c>
      <c r="L11" s="67">
        <v>4.0</v>
      </c>
      <c r="M11" s="68">
        <v>10.0</v>
      </c>
      <c r="N11" s="67">
        <v>9.0</v>
      </c>
      <c r="O11" s="67">
        <v>4.0</v>
      </c>
      <c r="P11" s="67">
        <v>4.0</v>
      </c>
      <c r="Q11" s="77">
        <v>94.0</v>
      </c>
      <c r="R11" s="77">
        <v>93.0</v>
      </c>
      <c r="S11" s="67">
        <v>4.0</v>
      </c>
      <c r="T11" s="67">
        <v>5.0</v>
      </c>
      <c r="U11" s="67">
        <v>34.0</v>
      </c>
      <c r="V11" s="67">
        <v>31.0</v>
      </c>
      <c r="W11" s="74">
        <v>1200.0</v>
      </c>
      <c r="X11" s="74">
        <v>1320.0</v>
      </c>
      <c r="Y11" s="74">
        <v>7.0</v>
      </c>
      <c r="Z11" s="74">
        <v>144.0</v>
      </c>
      <c r="AA11" s="79">
        <v>0.0</v>
      </c>
      <c r="AB11" s="74">
        <v>32.0</v>
      </c>
      <c r="AC11" s="79">
        <v>0.0</v>
      </c>
      <c r="AD11" s="79">
        <v>0.0</v>
      </c>
      <c r="AE11" s="79">
        <v>0.0</v>
      </c>
      <c r="AF11" s="74">
        <v>1.0</v>
      </c>
      <c r="AG11" s="17">
        <v>1.0</v>
      </c>
      <c r="AH11" s="17">
        <v>2.0</v>
      </c>
      <c r="AI11" s="79">
        <v>0.0</v>
      </c>
      <c r="AJ11" s="79">
        <v>0.0</v>
      </c>
      <c r="AK11" s="24"/>
      <c r="AL11" s="2"/>
    </row>
    <row r="12">
      <c r="A12" s="72">
        <v>3.0</v>
      </c>
      <c r="B12" s="73" t="s">
        <v>80</v>
      </c>
      <c r="C12" s="17">
        <v>1.0</v>
      </c>
      <c r="D12" s="17">
        <v>2.0</v>
      </c>
      <c r="E12" s="74">
        <v>33.0</v>
      </c>
      <c r="F12" s="74">
        <v>32.0</v>
      </c>
      <c r="G12" s="80">
        <v>2.0</v>
      </c>
      <c r="H12" s="80">
        <v>0.0</v>
      </c>
      <c r="I12" s="74">
        <v>142.0</v>
      </c>
      <c r="J12" s="74">
        <v>133.0</v>
      </c>
      <c r="K12" s="81">
        <v>3.0</v>
      </c>
      <c r="L12" s="67">
        <v>3.0</v>
      </c>
      <c r="M12" s="67">
        <v>8.0</v>
      </c>
      <c r="N12" s="68">
        <v>9.0</v>
      </c>
      <c r="O12" s="67">
        <v>3.0</v>
      </c>
      <c r="P12" s="67">
        <v>6.0</v>
      </c>
      <c r="Q12" s="78">
        <v>100.0</v>
      </c>
      <c r="R12" s="77">
        <v>94.0</v>
      </c>
      <c r="S12" s="67">
        <v>4.0</v>
      </c>
      <c r="T12" s="67">
        <v>4.0</v>
      </c>
      <c r="U12" s="67">
        <v>33.0</v>
      </c>
      <c r="V12" s="67">
        <v>30.0</v>
      </c>
      <c r="W12" s="74">
        <v>1201.0</v>
      </c>
      <c r="X12" s="74">
        <v>1319.0</v>
      </c>
      <c r="Y12" s="74">
        <v>7.0</v>
      </c>
      <c r="Z12" s="74">
        <v>142.0</v>
      </c>
      <c r="AA12" s="79">
        <v>0.0</v>
      </c>
      <c r="AB12" s="74">
        <v>32.0</v>
      </c>
      <c r="AC12" s="79">
        <v>0.0</v>
      </c>
      <c r="AD12" s="79">
        <v>0.0</v>
      </c>
      <c r="AE12" s="79">
        <v>0.0</v>
      </c>
      <c r="AF12" s="74">
        <v>1.0</v>
      </c>
      <c r="AG12" s="17">
        <v>1.0</v>
      </c>
      <c r="AH12" s="17">
        <v>2.0</v>
      </c>
      <c r="AI12" s="79">
        <v>0.0</v>
      </c>
      <c r="AJ12" s="79">
        <v>0.0</v>
      </c>
      <c r="AK12" s="67"/>
      <c r="AL12" s="2"/>
    </row>
    <row r="13">
      <c r="A13" s="72">
        <v>4.0</v>
      </c>
      <c r="B13" s="73" t="s">
        <v>81</v>
      </c>
      <c r="C13" s="17">
        <v>8.0</v>
      </c>
      <c r="D13" s="17">
        <v>1.0</v>
      </c>
      <c r="E13" s="74">
        <v>28.0</v>
      </c>
      <c r="F13" s="74">
        <v>30.0</v>
      </c>
      <c r="G13" s="80">
        <v>2.0</v>
      </c>
      <c r="H13" s="80">
        <v>4.0</v>
      </c>
      <c r="I13" s="74">
        <v>140.0</v>
      </c>
      <c r="J13" s="74">
        <v>132.0</v>
      </c>
      <c r="K13" s="81">
        <v>4.0</v>
      </c>
      <c r="L13" s="67">
        <v>4.0</v>
      </c>
      <c r="M13" s="67">
        <v>9.0</v>
      </c>
      <c r="N13" s="68">
        <v>12.0</v>
      </c>
      <c r="O13" s="67">
        <v>5.0</v>
      </c>
      <c r="P13" s="67">
        <v>4.0</v>
      </c>
      <c r="Q13" s="77">
        <v>93.0</v>
      </c>
      <c r="R13" s="77">
        <v>91.0</v>
      </c>
      <c r="S13" s="67">
        <v>6.0</v>
      </c>
      <c r="T13" s="67">
        <v>4.0</v>
      </c>
      <c r="U13" s="67">
        <v>30.0</v>
      </c>
      <c r="V13" s="67">
        <v>32.0</v>
      </c>
      <c r="W13" s="74">
        <v>1202.0</v>
      </c>
      <c r="X13" s="74">
        <v>1320.0</v>
      </c>
      <c r="Y13" s="74">
        <v>5.0</v>
      </c>
      <c r="Z13" s="74">
        <v>146.0</v>
      </c>
      <c r="AA13" s="79">
        <v>0.0</v>
      </c>
      <c r="AB13" s="74">
        <v>32.0</v>
      </c>
      <c r="AC13" s="79">
        <v>0.0</v>
      </c>
      <c r="AD13" s="79">
        <v>0.0</v>
      </c>
      <c r="AE13" s="79">
        <v>0.0</v>
      </c>
      <c r="AF13" s="74">
        <v>1.0</v>
      </c>
      <c r="AG13" s="17">
        <v>8.0</v>
      </c>
      <c r="AH13" s="17">
        <v>1.0</v>
      </c>
      <c r="AI13" s="79">
        <v>0.0</v>
      </c>
      <c r="AJ13" s="79">
        <v>0.0</v>
      </c>
      <c r="AK13" s="67"/>
      <c r="AL13" s="2"/>
    </row>
    <row r="14">
      <c r="A14" s="72">
        <v>5.0</v>
      </c>
      <c r="B14" s="73" t="s">
        <v>82</v>
      </c>
      <c r="C14" s="17">
        <v>1.0</v>
      </c>
      <c r="D14" s="17">
        <v>2.0</v>
      </c>
      <c r="E14" s="74">
        <v>33.0</v>
      </c>
      <c r="F14" s="74">
        <v>30.0</v>
      </c>
      <c r="G14" s="80">
        <v>3.0</v>
      </c>
      <c r="H14" s="80">
        <v>4.0</v>
      </c>
      <c r="I14" s="74">
        <v>139.0</v>
      </c>
      <c r="J14" s="74">
        <v>133.0</v>
      </c>
      <c r="K14" s="81">
        <v>3.0</v>
      </c>
      <c r="L14" s="67">
        <v>2.0</v>
      </c>
      <c r="M14" s="67">
        <v>8.0</v>
      </c>
      <c r="N14" s="67">
        <v>8.0</v>
      </c>
      <c r="O14" s="67">
        <v>5.0</v>
      </c>
      <c r="P14" s="67">
        <v>5.0</v>
      </c>
      <c r="Q14" s="77">
        <v>90.0</v>
      </c>
      <c r="R14" s="78">
        <v>97.0</v>
      </c>
      <c r="S14" s="67">
        <v>5.0</v>
      </c>
      <c r="T14" s="67">
        <v>5.0</v>
      </c>
      <c r="U14" s="67">
        <v>31.0</v>
      </c>
      <c r="V14" s="67">
        <v>33.0</v>
      </c>
      <c r="W14" s="74">
        <v>1205.0</v>
      </c>
      <c r="X14" s="74">
        <v>1319.0</v>
      </c>
      <c r="Y14" s="74">
        <v>4.0</v>
      </c>
      <c r="Z14" s="74">
        <v>143.0</v>
      </c>
      <c r="AA14" s="79">
        <v>0.0</v>
      </c>
      <c r="AB14" s="74">
        <v>32.0</v>
      </c>
      <c r="AC14" s="79">
        <v>0.0</v>
      </c>
      <c r="AD14" s="79">
        <v>0.0</v>
      </c>
      <c r="AE14" s="79">
        <v>0.0</v>
      </c>
      <c r="AF14" s="74">
        <v>1.0</v>
      </c>
      <c r="AG14" s="17">
        <v>1.0</v>
      </c>
      <c r="AH14" s="17">
        <v>2.0</v>
      </c>
      <c r="AI14" s="79">
        <v>0.0</v>
      </c>
      <c r="AJ14" s="79">
        <v>0.0</v>
      </c>
      <c r="AK14" s="67"/>
      <c r="AL14" s="2"/>
    </row>
    <row r="15">
      <c r="A15" s="72">
        <v>6.0</v>
      </c>
      <c r="B15" s="73" t="s">
        <v>83</v>
      </c>
      <c r="C15" s="17">
        <v>0.0</v>
      </c>
      <c r="D15" s="17">
        <v>4.0</v>
      </c>
      <c r="E15" s="74">
        <v>32.0</v>
      </c>
      <c r="F15" s="74">
        <v>31.0</v>
      </c>
      <c r="G15" s="80">
        <v>2.0</v>
      </c>
      <c r="H15" s="80">
        <v>3.0</v>
      </c>
      <c r="I15" s="74">
        <v>141.0</v>
      </c>
      <c r="J15" s="74">
        <v>130.0</v>
      </c>
      <c r="K15" s="81">
        <v>4.0</v>
      </c>
      <c r="L15" s="67">
        <v>3.0</v>
      </c>
      <c r="M15" s="68">
        <v>10.0</v>
      </c>
      <c r="N15" s="67">
        <v>7.0</v>
      </c>
      <c r="O15" s="67">
        <v>4.0</v>
      </c>
      <c r="P15" s="67">
        <v>4.0</v>
      </c>
      <c r="Q15" s="77">
        <v>92.0</v>
      </c>
      <c r="R15" s="77">
        <v>90.0</v>
      </c>
      <c r="S15" s="67">
        <v>4.0</v>
      </c>
      <c r="T15" s="67">
        <v>6.0</v>
      </c>
      <c r="U15" s="67">
        <v>30.0</v>
      </c>
      <c r="V15" s="67">
        <v>30.0</v>
      </c>
      <c r="W15" s="74">
        <v>1202.0</v>
      </c>
      <c r="X15" s="74">
        <v>1321.0</v>
      </c>
      <c r="Y15" s="74">
        <v>5.0</v>
      </c>
      <c r="Z15" s="74">
        <v>142.0</v>
      </c>
      <c r="AA15" s="79">
        <v>0.0</v>
      </c>
      <c r="AB15" s="74">
        <v>32.0</v>
      </c>
      <c r="AC15" s="79">
        <v>0.0</v>
      </c>
      <c r="AD15" s="79">
        <v>0.0</v>
      </c>
      <c r="AE15" s="79">
        <v>0.0</v>
      </c>
      <c r="AF15" s="74">
        <v>1.0</v>
      </c>
      <c r="AG15" s="17">
        <v>0.0</v>
      </c>
      <c r="AH15" s="17">
        <v>4.0</v>
      </c>
      <c r="AI15" s="79">
        <v>0.0</v>
      </c>
      <c r="AJ15" s="79">
        <v>0.0</v>
      </c>
      <c r="AK15" s="24"/>
      <c r="AL15" s="2"/>
    </row>
    <row r="16">
      <c r="A16" s="72">
        <v>7.0</v>
      </c>
      <c r="B16" s="73" t="s">
        <v>84</v>
      </c>
      <c r="C16" s="17">
        <v>3.0</v>
      </c>
      <c r="D16" s="17">
        <v>3.0</v>
      </c>
      <c r="E16" s="74">
        <v>32.0</v>
      </c>
      <c r="F16" s="74">
        <v>31.0</v>
      </c>
      <c r="G16" s="75">
        <v>2.0</v>
      </c>
      <c r="H16" s="75">
        <v>2.0</v>
      </c>
      <c r="I16" s="74">
        <v>141.0</v>
      </c>
      <c r="J16" s="74">
        <v>129.0</v>
      </c>
      <c r="K16" s="76">
        <v>4.0</v>
      </c>
      <c r="L16" s="77">
        <v>4.0</v>
      </c>
      <c r="M16" s="77">
        <v>8.0</v>
      </c>
      <c r="N16" s="78">
        <v>10.0</v>
      </c>
      <c r="O16" s="77">
        <v>5.0</v>
      </c>
      <c r="P16" s="77">
        <v>3.0</v>
      </c>
      <c r="Q16" s="77">
        <v>91.0</v>
      </c>
      <c r="R16" s="77">
        <v>92.0</v>
      </c>
      <c r="S16" s="77">
        <v>4.0</v>
      </c>
      <c r="T16" s="77">
        <v>4.0</v>
      </c>
      <c r="U16" s="77">
        <v>32.0</v>
      </c>
      <c r="V16" s="77">
        <v>32.0</v>
      </c>
      <c r="W16" s="74">
        <v>1201.0</v>
      </c>
      <c r="X16" s="74">
        <v>1323.0</v>
      </c>
      <c r="Y16" s="17">
        <v>5.0</v>
      </c>
      <c r="Z16" s="74">
        <v>140.0</v>
      </c>
      <c r="AA16" s="79">
        <v>0.0</v>
      </c>
      <c r="AB16" s="74">
        <v>32.0</v>
      </c>
      <c r="AC16" s="79">
        <v>0.0</v>
      </c>
      <c r="AD16" s="79">
        <v>0.0</v>
      </c>
      <c r="AE16" s="79">
        <v>0.0</v>
      </c>
      <c r="AF16" s="74">
        <v>1.0</v>
      </c>
      <c r="AG16" s="17">
        <v>3.0</v>
      </c>
      <c r="AH16" s="17">
        <v>3.0</v>
      </c>
      <c r="AI16" s="79">
        <v>0.0</v>
      </c>
      <c r="AJ16" s="79">
        <v>0.0</v>
      </c>
      <c r="AK16" s="67"/>
      <c r="AL16" s="2"/>
    </row>
    <row r="17">
      <c r="A17" s="72">
        <v>8.0</v>
      </c>
      <c r="B17" s="73" t="s">
        <v>85</v>
      </c>
      <c r="C17" s="17">
        <v>4.0</v>
      </c>
      <c r="D17" s="17">
        <v>1.0</v>
      </c>
      <c r="E17" s="17">
        <v>30.0</v>
      </c>
      <c r="F17" s="17">
        <v>33.0</v>
      </c>
      <c r="G17" s="80">
        <v>1.0</v>
      </c>
      <c r="H17" s="80">
        <v>2.0</v>
      </c>
      <c r="I17" s="17">
        <v>149.0</v>
      </c>
      <c r="J17" s="17">
        <v>135.0</v>
      </c>
      <c r="K17" s="82">
        <v>5.0</v>
      </c>
      <c r="L17" s="29">
        <v>3.0</v>
      </c>
      <c r="M17" s="83">
        <v>9.0</v>
      </c>
      <c r="N17" s="29">
        <v>8.0</v>
      </c>
      <c r="O17" s="29">
        <v>4.0</v>
      </c>
      <c r="P17" s="29">
        <v>6.0</v>
      </c>
      <c r="Q17" s="84">
        <v>96.0</v>
      </c>
      <c r="R17" s="84">
        <v>93.0</v>
      </c>
      <c r="S17" s="29">
        <v>5.0</v>
      </c>
      <c r="T17" s="29">
        <v>6.0</v>
      </c>
      <c r="U17" s="29">
        <v>31.0</v>
      </c>
      <c r="V17" s="29">
        <v>34.0</v>
      </c>
      <c r="W17" s="74">
        <v>1203.0</v>
      </c>
      <c r="X17" s="74">
        <v>1318.0</v>
      </c>
      <c r="Y17" s="74">
        <v>4.0</v>
      </c>
      <c r="Z17" s="74">
        <v>142.0</v>
      </c>
      <c r="AA17" s="79">
        <v>0.0</v>
      </c>
      <c r="AB17" s="74">
        <v>32.0</v>
      </c>
      <c r="AC17" s="79">
        <v>0.0</v>
      </c>
      <c r="AD17" s="79">
        <v>0.0</v>
      </c>
      <c r="AE17" s="79">
        <v>0.0</v>
      </c>
      <c r="AF17" s="74">
        <v>1.0</v>
      </c>
      <c r="AG17" s="17">
        <v>4.0</v>
      </c>
      <c r="AH17" s="17">
        <v>1.0</v>
      </c>
      <c r="AI17" s="79">
        <v>0.0</v>
      </c>
      <c r="AJ17" s="79">
        <v>0.0</v>
      </c>
      <c r="AK17" s="24"/>
      <c r="AL17" s="2"/>
    </row>
    <row r="18">
      <c r="A18" s="72">
        <v>9.0</v>
      </c>
      <c r="B18" s="73" t="s">
        <v>86</v>
      </c>
      <c r="C18" s="74">
        <v>3.0</v>
      </c>
      <c r="D18" s="74">
        <v>3.0</v>
      </c>
      <c r="E18" s="74">
        <v>32.0</v>
      </c>
      <c r="F18" s="74">
        <v>29.0</v>
      </c>
      <c r="G18" s="80">
        <v>3.0</v>
      </c>
      <c r="H18" s="80">
        <v>0.0</v>
      </c>
      <c r="I18" s="74">
        <v>144.0</v>
      </c>
      <c r="J18" s="74">
        <v>132.0</v>
      </c>
      <c r="K18" s="85">
        <v>3.0</v>
      </c>
      <c r="L18" s="86">
        <v>4.0</v>
      </c>
      <c r="M18" s="86">
        <v>7.0</v>
      </c>
      <c r="N18" s="87">
        <v>8.0</v>
      </c>
      <c r="O18" s="86">
        <v>5.0</v>
      </c>
      <c r="P18" s="86">
        <v>5.0</v>
      </c>
      <c r="Q18" s="77">
        <v>95.0</v>
      </c>
      <c r="R18" s="77">
        <v>90.0</v>
      </c>
      <c r="S18" s="86">
        <v>5.0</v>
      </c>
      <c r="T18" s="86">
        <v>4.0</v>
      </c>
      <c r="U18" s="86">
        <v>35.0</v>
      </c>
      <c r="V18" s="86">
        <v>30.0</v>
      </c>
      <c r="W18" s="74">
        <v>1204.0</v>
      </c>
      <c r="X18" s="74">
        <v>1320.0</v>
      </c>
      <c r="Y18" s="88">
        <v>4.0</v>
      </c>
      <c r="Z18" s="74">
        <v>144.0</v>
      </c>
      <c r="AA18" s="79">
        <v>0.0</v>
      </c>
      <c r="AB18" s="74">
        <v>32.0</v>
      </c>
      <c r="AC18" s="79">
        <v>0.0</v>
      </c>
      <c r="AD18" s="79">
        <v>0.0</v>
      </c>
      <c r="AE18" s="79">
        <v>0.0</v>
      </c>
      <c r="AF18" s="74">
        <v>1.0</v>
      </c>
      <c r="AG18" s="74">
        <v>3.0</v>
      </c>
      <c r="AH18" s="74">
        <v>3.0</v>
      </c>
      <c r="AI18" s="79">
        <v>0.0</v>
      </c>
      <c r="AJ18" s="79">
        <v>0.0</v>
      </c>
      <c r="AK18" s="24"/>
      <c r="AL18" s="2"/>
    </row>
    <row r="19">
      <c r="A19" s="72">
        <v>10.0</v>
      </c>
      <c r="B19" s="73" t="s">
        <v>87</v>
      </c>
      <c r="C19" s="88">
        <v>0.0</v>
      </c>
      <c r="D19" s="88">
        <v>4.0</v>
      </c>
      <c r="E19" s="88">
        <v>34.0</v>
      </c>
      <c r="F19" s="88">
        <v>30.0</v>
      </c>
      <c r="G19" s="86">
        <v>3.0</v>
      </c>
      <c r="H19" s="86">
        <v>1.0</v>
      </c>
      <c r="I19" s="88">
        <v>140.0</v>
      </c>
      <c r="J19" s="88">
        <v>131.0</v>
      </c>
      <c r="K19" s="85">
        <v>3.0</v>
      </c>
      <c r="L19" s="86">
        <v>3.0</v>
      </c>
      <c r="M19" s="87">
        <v>9.0</v>
      </c>
      <c r="N19" s="86">
        <v>8.0</v>
      </c>
      <c r="O19" s="86">
        <v>2.0</v>
      </c>
      <c r="P19" s="86">
        <v>7.0</v>
      </c>
      <c r="Q19" s="89">
        <v>89.0</v>
      </c>
      <c r="R19" s="89">
        <v>93.0</v>
      </c>
      <c r="S19" s="86">
        <v>6.0</v>
      </c>
      <c r="T19" s="86">
        <v>3.0</v>
      </c>
      <c r="U19" s="86">
        <v>33.0</v>
      </c>
      <c r="V19" s="86">
        <v>32.0</v>
      </c>
      <c r="W19" s="74">
        <v>1203.0</v>
      </c>
      <c r="X19" s="74">
        <v>1322.0</v>
      </c>
      <c r="Y19" s="88">
        <v>6.0</v>
      </c>
      <c r="Z19" s="74">
        <v>145.0</v>
      </c>
      <c r="AA19" s="88">
        <v>0.0</v>
      </c>
      <c r="AB19" s="74">
        <v>32.0</v>
      </c>
      <c r="AC19" s="88">
        <v>0.0</v>
      </c>
      <c r="AD19" s="88">
        <v>0.0</v>
      </c>
      <c r="AE19" s="88">
        <v>0.0</v>
      </c>
      <c r="AF19" s="74">
        <v>1.0</v>
      </c>
      <c r="AG19" s="88">
        <v>0.0</v>
      </c>
      <c r="AH19" s="88">
        <v>4.0</v>
      </c>
      <c r="AI19" s="88">
        <v>1.0</v>
      </c>
      <c r="AJ19" s="88">
        <v>0.0</v>
      </c>
      <c r="AK19" s="24"/>
      <c r="AL19" s="2"/>
    </row>
    <row r="20">
      <c r="A20" s="72">
        <v>11.0</v>
      </c>
      <c r="B20" s="73" t="s">
        <v>88</v>
      </c>
      <c r="C20" s="88">
        <v>1.0</v>
      </c>
      <c r="D20" s="88">
        <v>0.0</v>
      </c>
      <c r="E20" s="88">
        <v>33.0</v>
      </c>
      <c r="F20" s="88">
        <v>32.0</v>
      </c>
      <c r="G20" s="86">
        <v>0.0</v>
      </c>
      <c r="H20" s="86">
        <v>1.0</v>
      </c>
      <c r="I20" s="88">
        <v>141.0</v>
      </c>
      <c r="J20" s="88">
        <v>132.0</v>
      </c>
      <c r="K20" s="85">
        <v>4.0</v>
      </c>
      <c r="L20" s="86">
        <v>4.0</v>
      </c>
      <c r="M20" s="87">
        <v>10.0</v>
      </c>
      <c r="N20" s="86">
        <v>8.0</v>
      </c>
      <c r="O20" s="86">
        <v>5.0</v>
      </c>
      <c r="P20" s="86">
        <v>3.0</v>
      </c>
      <c r="Q20" s="89">
        <v>91.0</v>
      </c>
      <c r="R20" s="89">
        <v>90.0</v>
      </c>
      <c r="S20" s="86">
        <v>4.0</v>
      </c>
      <c r="T20" s="86">
        <v>4.0</v>
      </c>
      <c r="U20" s="86">
        <v>30.0</v>
      </c>
      <c r="V20" s="86">
        <v>34.0</v>
      </c>
      <c r="W20" s="74">
        <v>1205.0</v>
      </c>
      <c r="X20" s="74">
        <v>1319.0</v>
      </c>
      <c r="Y20" s="88">
        <v>3.0</v>
      </c>
      <c r="Z20" s="74">
        <v>144.0</v>
      </c>
      <c r="AA20" s="88">
        <v>0.0</v>
      </c>
      <c r="AB20" s="74">
        <v>32.0</v>
      </c>
      <c r="AC20" s="88">
        <v>0.0</v>
      </c>
      <c r="AD20" s="88">
        <v>0.0</v>
      </c>
      <c r="AE20" s="88">
        <v>0.0</v>
      </c>
      <c r="AF20" s="74">
        <v>1.0</v>
      </c>
      <c r="AG20" s="88">
        <v>1.0</v>
      </c>
      <c r="AH20" s="88">
        <v>0.0</v>
      </c>
      <c r="AI20" s="88">
        <v>0.0</v>
      </c>
      <c r="AJ20" s="88">
        <v>0.0</v>
      </c>
      <c r="AK20" s="24"/>
      <c r="AL20" s="2"/>
    </row>
    <row r="21">
      <c r="A21" s="72">
        <v>12.0</v>
      </c>
      <c r="B21" s="73" t="s">
        <v>89</v>
      </c>
      <c r="C21" s="88">
        <v>2.0</v>
      </c>
      <c r="D21" s="88">
        <v>1.0</v>
      </c>
      <c r="E21" s="24"/>
      <c r="F21" s="24"/>
      <c r="G21" s="89">
        <v>5.0</v>
      </c>
      <c r="H21" s="89">
        <v>3.0</v>
      </c>
      <c r="I21" s="88">
        <v>141.0</v>
      </c>
      <c r="J21" s="88">
        <v>132.0</v>
      </c>
      <c r="K21" s="90">
        <v>3.0</v>
      </c>
      <c r="L21" s="89">
        <v>3.0</v>
      </c>
      <c r="M21" s="89">
        <v>8.0</v>
      </c>
      <c r="N21" s="89">
        <v>8.0</v>
      </c>
      <c r="O21" s="89">
        <v>6.0</v>
      </c>
      <c r="P21" s="89">
        <v>4.0</v>
      </c>
      <c r="Q21" s="89">
        <v>93.0</v>
      </c>
      <c r="R21" s="89">
        <v>92.0</v>
      </c>
      <c r="S21" s="89">
        <v>2.0</v>
      </c>
      <c r="T21" s="89">
        <v>5.0</v>
      </c>
      <c r="U21" s="89">
        <v>32.0</v>
      </c>
      <c r="V21" s="89">
        <v>30.0</v>
      </c>
      <c r="W21" s="74">
        <v>1203.0</v>
      </c>
      <c r="X21" s="74">
        <v>1322.0</v>
      </c>
      <c r="Y21" s="89">
        <v>2.0</v>
      </c>
      <c r="Z21" s="74">
        <v>142.0</v>
      </c>
      <c r="AA21" s="88">
        <v>0.0</v>
      </c>
      <c r="AB21" s="74">
        <v>32.0</v>
      </c>
      <c r="AC21" s="88">
        <v>0.0</v>
      </c>
      <c r="AD21" s="88">
        <v>0.0</v>
      </c>
      <c r="AE21" s="88">
        <v>0.0</v>
      </c>
      <c r="AF21" s="74">
        <v>1.0</v>
      </c>
      <c r="AG21" s="88">
        <v>2.0</v>
      </c>
      <c r="AH21" s="88">
        <v>1.0</v>
      </c>
      <c r="AI21" s="88">
        <v>0.0</v>
      </c>
      <c r="AJ21" s="88">
        <v>0.0</v>
      </c>
      <c r="AK21" s="24"/>
      <c r="AL21" s="2"/>
    </row>
    <row r="22">
      <c r="A22" s="9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9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2" t="s">
        <v>90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3" t="s">
        <v>91</v>
      </c>
      <c r="B25" s="9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3" t="s">
        <v>92</v>
      </c>
      <c r="B26" s="9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3"/>
      <c r="B27" s="9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5" t="s">
        <v>93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7" t="s">
        <v>2</v>
      </c>
      <c r="B29" s="98" t="s">
        <v>94</v>
      </c>
      <c r="C29" s="56"/>
      <c r="D29" s="56"/>
      <c r="E29" s="50" t="s">
        <v>95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9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3" t="s">
        <v>96</v>
      </c>
      <c r="C30" s="83" t="s">
        <v>97</v>
      </c>
      <c r="D30" s="83" t="s">
        <v>98</v>
      </c>
      <c r="E30" s="83" t="s">
        <v>99</v>
      </c>
      <c r="F30" s="83" t="s">
        <v>100</v>
      </c>
      <c r="G30" s="83" t="s">
        <v>101</v>
      </c>
      <c r="H30" s="83" t="s">
        <v>102</v>
      </c>
      <c r="I30" s="83" t="s">
        <v>82</v>
      </c>
      <c r="J30" s="83" t="s">
        <v>103</v>
      </c>
      <c r="K30" s="83" t="s">
        <v>104</v>
      </c>
      <c r="L30" s="83" t="s">
        <v>105</v>
      </c>
      <c r="M30" s="83" t="s">
        <v>106</v>
      </c>
      <c r="N30" s="83" t="s">
        <v>107</v>
      </c>
      <c r="O30" s="83" t="s">
        <v>108</v>
      </c>
      <c r="P30" s="83" t="s">
        <v>109</v>
      </c>
      <c r="Q30" s="9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0">
        <v>1.0</v>
      </c>
      <c r="B31" s="100">
        <v>2.0</v>
      </c>
      <c r="C31" s="100">
        <v>3.0</v>
      </c>
      <c r="D31" s="100">
        <v>4.0</v>
      </c>
      <c r="E31" s="100">
        <v>5.0</v>
      </c>
      <c r="F31" s="100">
        <v>6.0</v>
      </c>
      <c r="G31" s="100">
        <v>7.0</v>
      </c>
      <c r="H31" s="100">
        <v>8.0</v>
      </c>
      <c r="I31" s="100">
        <v>9.0</v>
      </c>
      <c r="J31" s="100">
        <v>10.0</v>
      </c>
      <c r="K31" s="100">
        <v>11.0</v>
      </c>
      <c r="L31" s="100">
        <v>12.0</v>
      </c>
      <c r="M31" s="100">
        <v>13.0</v>
      </c>
      <c r="N31" s="100">
        <v>14.0</v>
      </c>
      <c r="O31" s="100">
        <v>15.0</v>
      </c>
      <c r="P31" s="100">
        <v>16.0</v>
      </c>
      <c r="Q31" s="10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2">
        <v>1.0</v>
      </c>
      <c r="B32" s="103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2">
        <v>2.0</v>
      </c>
      <c r="B33" s="103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2">
        <v>3.0</v>
      </c>
      <c r="B34" s="102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2">
        <v>4.0</v>
      </c>
      <c r="B35" s="102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2">
        <v>5.0</v>
      </c>
      <c r="B36" s="102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2">
        <v>6.0</v>
      </c>
      <c r="B37" s="102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2">
        <v>7.0</v>
      </c>
      <c r="B38" s="102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2">
        <v>8.0</v>
      </c>
      <c r="B39" s="102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2">
        <v>9.0</v>
      </c>
      <c r="B40" s="102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2">
        <v>10.0</v>
      </c>
      <c r="B41" s="102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2">
        <v>11.0</v>
      </c>
      <c r="B42" s="102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2">
        <v>12.0</v>
      </c>
      <c r="B43" s="102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5" t="s">
        <v>110</v>
      </c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7" t="s">
        <v>2</v>
      </c>
      <c r="B47" s="106" t="s">
        <v>111</v>
      </c>
      <c r="C47" s="97" t="s">
        <v>112</v>
      </c>
      <c r="D47" s="97" t="s">
        <v>113</v>
      </c>
      <c r="E47" s="50" t="s">
        <v>114</v>
      </c>
      <c r="F47" s="8"/>
      <c r="G47" s="50" t="s">
        <v>115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3" t="s">
        <v>63</v>
      </c>
      <c r="F48" s="83" t="s">
        <v>116</v>
      </c>
      <c r="G48" s="83" t="s">
        <v>99</v>
      </c>
      <c r="H48" s="83" t="s">
        <v>100</v>
      </c>
      <c r="I48" s="83" t="s">
        <v>101</v>
      </c>
      <c r="J48" s="83" t="s">
        <v>102</v>
      </c>
      <c r="K48" s="83" t="s">
        <v>82</v>
      </c>
      <c r="L48" s="83" t="s">
        <v>103</v>
      </c>
      <c r="M48" s="83" t="s">
        <v>104</v>
      </c>
      <c r="N48" s="83" t="s">
        <v>105</v>
      </c>
      <c r="O48" s="83" t="s">
        <v>106</v>
      </c>
      <c r="P48" s="83" t="s">
        <v>107</v>
      </c>
      <c r="Q48" s="83" t="s">
        <v>108</v>
      </c>
      <c r="R48" s="107" t="s">
        <v>109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0">
        <v>1.0</v>
      </c>
      <c r="B49" s="100">
        <v>2.0</v>
      </c>
      <c r="C49" s="100">
        <v>3.0</v>
      </c>
      <c r="D49" s="100">
        <v>4.0</v>
      </c>
      <c r="E49" s="100">
        <v>5.0</v>
      </c>
      <c r="F49" s="100">
        <v>6.0</v>
      </c>
      <c r="G49" s="100">
        <v>7.0</v>
      </c>
      <c r="H49" s="100">
        <v>8.0</v>
      </c>
      <c r="I49" s="100">
        <v>9.0</v>
      </c>
      <c r="J49" s="100">
        <v>10.0</v>
      </c>
      <c r="K49" s="100">
        <v>11.0</v>
      </c>
      <c r="L49" s="100">
        <v>12.0</v>
      </c>
      <c r="M49" s="100">
        <v>13.0</v>
      </c>
      <c r="N49" s="100">
        <v>14.0</v>
      </c>
      <c r="O49" s="100">
        <v>15.0</v>
      </c>
      <c r="P49" s="100">
        <v>16.0</v>
      </c>
      <c r="Q49" s="100">
        <v>17.0</v>
      </c>
      <c r="R49" s="10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7">
        <v>1.0</v>
      </c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7">
        <v>2.0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7">
        <v>3.0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7">
        <v>4.0</v>
      </c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7">
        <v>5.0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7">
        <v>6.0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7">
        <v>7.0</v>
      </c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7">
        <v>8.0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5" t="s">
        <v>117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7" t="s">
        <v>2</v>
      </c>
      <c r="B62" s="97" t="s">
        <v>118</v>
      </c>
      <c r="C62" s="97" t="s">
        <v>112</v>
      </c>
      <c r="D62" s="97" t="s">
        <v>113</v>
      </c>
      <c r="E62" s="50" t="s">
        <v>114</v>
      </c>
      <c r="F62" s="8"/>
      <c r="G62" s="50" t="s">
        <v>119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3" t="s">
        <v>63</v>
      </c>
      <c r="F63" s="83" t="s">
        <v>116</v>
      </c>
      <c r="G63" s="83" t="s">
        <v>99</v>
      </c>
      <c r="H63" s="83" t="s">
        <v>100</v>
      </c>
      <c r="I63" s="83" t="s">
        <v>101</v>
      </c>
      <c r="J63" s="83" t="s">
        <v>102</v>
      </c>
      <c r="K63" s="83" t="s">
        <v>82</v>
      </c>
      <c r="L63" s="83" t="s">
        <v>103</v>
      </c>
      <c r="M63" s="83" t="s">
        <v>104</v>
      </c>
      <c r="N63" s="83" t="s">
        <v>105</v>
      </c>
      <c r="O63" s="83" t="s">
        <v>106</v>
      </c>
      <c r="P63" s="83" t="s">
        <v>107</v>
      </c>
      <c r="Q63" s="83" t="s">
        <v>108</v>
      </c>
      <c r="R63" s="107" t="s">
        <v>109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0">
        <v>1.0</v>
      </c>
      <c r="B64" s="100">
        <v>2.0</v>
      </c>
      <c r="C64" s="100">
        <v>3.0</v>
      </c>
      <c r="D64" s="100">
        <v>4.0</v>
      </c>
      <c r="E64" s="100">
        <v>5.0</v>
      </c>
      <c r="F64" s="100">
        <v>6.0</v>
      </c>
      <c r="G64" s="100">
        <v>7.0</v>
      </c>
      <c r="H64" s="100">
        <v>8.0</v>
      </c>
      <c r="I64" s="100">
        <v>9.0</v>
      </c>
      <c r="J64" s="100">
        <v>10.0</v>
      </c>
      <c r="K64" s="100">
        <v>11.0</v>
      </c>
      <c r="L64" s="100">
        <v>12.0</v>
      </c>
      <c r="M64" s="100">
        <v>13.0</v>
      </c>
      <c r="N64" s="100">
        <v>14.0</v>
      </c>
      <c r="O64" s="100">
        <v>15.0</v>
      </c>
      <c r="P64" s="100">
        <v>16.0</v>
      </c>
      <c r="Q64" s="100">
        <v>17.0</v>
      </c>
      <c r="R64" s="10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7">
        <v>1.0</v>
      </c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7">
        <v>2.0</v>
      </c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7">
        <v>3.0</v>
      </c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7">
        <v>4.0</v>
      </c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7">
        <v>5.0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7">
        <v>6.0</v>
      </c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7">
        <v>7.0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7">
        <v>8.0</v>
      </c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5" t="s">
        <v>120</v>
      </c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7" t="s">
        <v>2</v>
      </c>
      <c r="B77" s="97" t="s">
        <v>114</v>
      </c>
      <c r="C77" s="97" t="s">
        <v>112</v>
      </c>
      <c r="D77" s="97" t="s">
        <v>113</v>
      </c>
      <c r="E77" s="50" t="s">
        <v>114</v>
      </c>
      <c r="F77" s="8"/>
      <c r="G77" s="50" t="s">
        <v>121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3" t="s">
        <v>63</v>
      </c>
      <c r="F78" s="83" t="s">
        <v>116</v>
      </c>
      <c r="G78" s="83" t="s">
        <v>99</v>
      </c>
      <c r="H78" s="83" t="s">
        <v>100</v>
      </c>
      <c r="I78" s="83" t="s">
        <v>101</v>
      </c>
      <c r="J78" s="83" t="s">
        <v>102</v>
      </c>
      <c r="K78" s="83" t="s">
        <v>82</v>
      </c>
      <c r="L78" s="83" t="s">
        <v>103</v>
      </c>
      <c r="M78" s="83" t="s">
        <v>104</v>
      </c>
      <c r="N78" s="83" t="s">
        <v>105</v>
      </c>
      <c r="O78" s="83" t="s">
        <v>106</v>
      </c>
      <c r="P78" s="83" t="s">
        <v>107</v>
      </c>
      <c r="Q78" s="83" t="s">
        <v>108</v>
      </c>
      <c r="R78" s="107" t="s">
        <v>109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0">
        <v>1.0</v>
      </c>
      <c r="B79" s="100">
        <v>2.0</v>
      </c>
      <c r="C79" s="100">
        <v>3.0</v>
      </c>
      <c r="D79" s="100">
        <v>4.0</v>
      </c>
      <c r="E79" s="100">
        <v>5.0</v>
      </c>
      <c r="F79" s="100">
        <v>6.0</v>
      </c>
      <c r="G79" s="100">
        <v>7.0</v>
      </c>
      <c r="H79" s="100">
        <v>8.0</v>
      </c>
      <c r="I79" s="100">
        <v>9.0</v>
      </c>
      <c r="J79" s="100">
        <v>10.0</v>
      </c>
      <c r="K79" s="100">
        <v>11.0</v>
      </c>
      <c r="L79" s="100">
        <v>12.0</v>
      </c>
      <c r="M79" s="100">
        <v>13.0</v>
      </c>
      <c r="N79" s="100">
        <v>14.0</v>
      </c>
      <c r="O79" s="100">
        <v>15.0</v>
      </c>
      <c r="P79" s="100">
        <v>16.0</v>
      </c>
      <c r="Q79" s="100">
        <v>17.0</v>
      </c>
      <c r="R79" s="10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7">
        <v>1.0</v>
      </c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7">
        <v>2.0</v>
      </c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7">
        <v>3.0</v>
      </c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7">
        <v>4.0</v>
      </c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7">
        <v>5.0</v>
      </c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7">
        <v>6.0</v>
      </c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7">
        <v>7.0</v>
      </c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7">
        <v>8.0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53</v>
      </c>
      <c r="C4" s="51" t="s">
        <v>123</v>
      </c>
      <c r="D4" s="31"/>
      <c r="E4" s="8"/>
      <c r="F4" s="108" t="s">
        <v>124</v>
      </c>
      <c r="G4" s="51" t="s">
        <v>125</v>
      </c>
      <c r="H4" s="31"/>
      <c r="I4" s="31"/>
      <c r="J4" s="31"/>
      <c r="K4" s="31"/>
      <c r="L4" s="31"/>
      <c r="M4" s="31"/>
      <c r="N4" s="8"/>
      <c r="O4" s="51" t="s">
        <v>126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9" t="s">
        <v>127</v>
      </c>
      <c r="AB4" s="110" t="s">
        <v>128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129</v>
      </c>
      <c r="BA4" s="31"/>
      <c r="BB4" s="31"/>
      <c r="BC4" s="8"/>
      <c r="BD4" s="52" t="s">
        <v>130</v>
      </c>
    </row>
    <row r="5">
      <c r="A5" s="61"/>
      <c r="B5" s="61"/>
      <c r="C5" s="111" t="s">
        <v>30</v>
      </c>
      <c r="D5" s="111" t="s">
        <v>131</v>
      </c>
      <c r="E5" s="111" t="s">
        <v>132</v>
      </c>
      <c r="F5" s="61"/>
      <c r="G5" s="111" t="s">
        <v>133</v>
      </c>
      <c r="H5" s="111" t="s">
        <v>134</v>
      </c>
      <c r="I5" s="111" t="s">
        <v>135</v>
      </c>
      <c r="J5" s="111" t="s">
        <v>136</v>
      </c>
      <c r="K5" s="111" t="s">
        <v>137</v>
      </c>
      <c r="L5" s="111" t="s">
        <v>138</v>
      </c>
      <c r="M5" s="111" t="s">
        <v>139</v>
      </c>
      <c r="N5" s="111" t="s">
        <v>140</v>
      </c>
      <c r="O5" s="112" t="s">
        <v>141</v>
      </c>
      <c r="P5" s="57"/>
      <c r="Q5" s="112" t="s">
        <v>142</v>
      </c>
      <c r="R5" s="57"/>
      <c r="S5" s="112" t="s">
        <v>143</v>
      </c>
      <c r="T5" s="57"/>
      <c r="U5" s="112" t="s">
        <v>144</v>
      </c>
      <c r="V5" s="57"/>
      <c r="W5" s="112" t="s">
        <v>145</v>
      </c>
      <c r="X5" s="57"/>
      <c r="Y5" s="112" t="s">
        <v>146</v>
      </c>
      <c r="Z5" s="57"/>
      <c r="AA5" s="61"/>
      <c r="AB5" s="112" t="s">
        <v>147</v>
      </c>
      <c r="AC5" s="57"/>
      <c r="AD5" s="112" t="s">
        <v>148</v>
      </c>
      <c r="AE5" s="56"/>
      <c r="AF5" s="56"/>
      <c r="AG5" s="56"/>
      <c r="AH5" s="56"/>
      <c r="AI5" s="57"/>
      <c r="AJ5" s="112" t="s">
        <v>149</v>
      </c>
      <c r="AK5" s="56"/>
      <c r="AL5" s="56"/>
      <c r="AM5" s="56"/>
      <c r="AN5" s="56"/>
      <c r="AO5" s="56"/>
      <c r="AP5" s="56"/>
      <c r="AQ5" s="57"/>
      <c r="AR5" s="112" t="s">
        <v>150</v>
      </c>
      <c r="AS5" s="57"/>
      <c r="AT5" s="112" t="s">
        <v>151</v>
      </c>
      <c r="AU5" s="56"/>
      <c r="AV5" s="56"/>
      <c r="AW5" s="56"/>
      <c r="AX5" s="56"/>
      <c r="AY5" s="57"/>
      <c r="AZ5" s="112" t="s">
        <v>30</v>
      </c>
      <c r="BA5" s="57"/>
      <c r="BB5" s="112" t="s">
        <v>152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12" t="s">
        <v>153</v>
      </c>
      <c r="AE7" s="57"/>
      <c r="AF7" s="112" t="s">
        <v>154</v>
      </c>
      <c r="AG7" s="57"/>
      <c r="AH7" s="112" t="s">
        <v>155</v>
      </c>
      <c r="AI7" s="57"/>
      <c r="AJ7" s="112" t="s">
        <v>153</v>
      </c>
      <c r="AK7" s="57"/>
      <c r="AL7" s="112" t="s">
        <v>154</v>
      </c>
      <c r="AM7" s="57"/>
      <c r="AN7" s="112" t="s">
        <v>155</v>
      </c>
      <c r="AO7" s="57"/>
      <c r="AP7" s="112" t="s">
        <v>156</v>
      </c>
      <c r="AQ7" s="57"/>
      <c r="AR7" s="53"/>
      <c r="AS7" s="59"/>
      <c r="AT7" s="112" t="s">
        <v>153</v>
      </c>
      <c r="AU7" s="57"/>
      <c r="AV7" s="112" t="s">
        <v>154</v>
      </c>
      <c r="AW7" s="57"/>
      <c r="AX7" s="112" t="s">
        <v>155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3" t="s">
        <v>76</v>
      </c>
      <c r="P9" s="113" t="s">
        <v>77</v>
      </c>
      <c r="Q9" s="114" t="s">
        <v>76</v>
      </c>
      <c r="R9" s="114" t="s">
        <v>77</v>
      </c>
      <c r="S9" s="114" t="s">
        <v>76</v>
      </c>
      <c r="T9" s="114" t="s">
        <v>77</v>
      </c>
      <c r="U9" s="114" t="s">
        <v>76</v>
      </c>
      <c r="V9" s="114" t="s">
        <v>77</v>
      </c>
      <c r="W9" s="114" t="s">
        <v>76</v>
      </c>
      <c r="X9" s="114" t="s">
        <v>77</v>
      </c>
      <c r="Y9" s="114" t="s">
        <v>76</v>
      </c>
      <c r="Z9" s="114" t="s">
        <v>77</v>
      </c>
      <c r="AA9" s="24"/>
      <c r="AB9" s="114" t="s">
        <v>76</v>
      </c>
      <c r="AC9" s="114" t="s">
        <v>77</v>
      </c>
      <c r="AD9" s="114" t="s">
        <v>76</v>
      </c>
      <c r="AE9" s="114" t="s">
        <v>77</v>
      </c>
      <c r="AF9" s="114" t="s">
        <v>76</v>
      </c>
      <c r="AG9" s="114" t="s">
        <v>77</v>
      </c>
      <c r="AH9" s="114" t="s">
        <v>76</v>
      </c>
      <c r="AI9" s="114" t="s">
        <v>77</v>
      </c>
      <c r="AJ9" s="114" t="s">
        <v>76</v>
      </c>
      <c r="AK9" s="114" t="s">
        <v>77</v>
      </c>
      <c r="AL9" s="114" t="s">
        <v>76</v>
      </c>
      <c r="AM9" s="114" t="s">
        <v>77</v>
      </c>
      <c r="AN9" s="114" t="s">
        <v>76</v>
      </c>
      <c r="AO9" s="114" t="s">
        <v>77</v>
      </c>
      <c r="AP9" s="114" t="s">
        <v>76</v>
      </c>
      <c r="AQ9" s="114" t="s">
        <v>77</v>
      </c>
      <c r="AR9" s="114" t="s">
        <v>76</v>
      </c>
      <c r="AS9" s="114" t="s">
        <v>77</v>
      </c>
      <c r="AT9" s="114" t="s">
        <v>76</v>
      </c>
      <c r="AU9" s="114" t="s">
        <v>77</v>
      </c>
      <c r="AV9" s="114" t="s">
        <v>76</v>
      </c>
      <c r="AW9" s="114" t="s">
        <v>77</v>
      </c>
      <c r="AX9" s="114" t="s">
        <v>76</v>
      </c>
      <c r="AY9" s="114" t="s">
        <v>77</v>
      </c>
      <c r="AZ9" s="114" t="s">
        <v>76</v>
      </c>
      <c r="BA9" s="114" t="s">
        <v>77</v>
      </c>
      <c r="BB9" s="114" t="s">
        <v>76</v>
      </c>
      <c r="BC9" s="114" t="s">
        <v>77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15" t="s">
        <v>78</v>
      </c>
      <c r="C11" s="74">
        <v>5.0</v>
      </c>
      <c r="D11" s="74">
        <v>5.0</v>
      </c>
      <c r="E11" s="74">
        <v>5.0</v>
      </c>
      <c r="F11" s="74">
        <v>145.0</v>
      </c>
      <c r="G11" s="79"/>
      <c r="H11" s="79"/>
      <c r="I11" s="79"/>
      <c r="J11" s="74"/>
      <c r="K11" s="74"/>
      <c r="L11" s="74"/>
      <c r="M11" s="74"/>
      <c r="N11" s="74"/>
      <c r="O11" s="74">
        <v>174.0</v>
      </c>
      <c r="P11" s="74">
        <v>166.0</v>
      </c>
      <c r="Q11" s="74">
        <v>174.0</v>
      </c>
      <c r="R11" s="74">
        <v>166.0</v>
      </c>
      <c r="S11" s="74">
        <v>140.0</v>
      </c>
      <c r="T11" s="74">
        <v>133.0</v>
      </c>
      <c r="U11" s="74">
        <v>106.0</v>
      </c>
      <c r="V11" s="74">
        <v>100.0</v>
      </c>
      <c r="W11" s="74"/>
      <c r="X11" s="74"/>
      <c r="Y11" s="74">
        <v>0.0</v>
      </c>
      <c r="Z11" s="74">
        <v>0.0</v>
      </c>
      <c r="AA11" s="74">
        <v>3.0</v>
      </c>
      <c r="AB11" s="17">
        <v>1.0</v>
      </c>
      <c r="AC11" s="17">
        <v>2.0</v>
      </c>
      <c r="AD11" s="17">
        <v>2.0</v>
      </c>
      <c r="AE11" s="17">
        <v>1.0</v>
      </c>
      <c r="AF11" s="17">
        <v>1.0</v>
      </c>
      <c r="AG11" s="17">
        <v>1.0</v>
      </c>
      <c r="AH11" s="17">
        <v>2.0</v>
      </c>
      <c r="AI11" s="17">
        <v>1.0</v>
      </c>
      <c r="AJ11" s="17">
        <v>1.0</v>
      </c>
      <c r="AK11" s="17">
        <v>2.0</v>
      </c>
      <c r="AL11" s="17">
        <v>2.0</v>
      </c>
      <c r="AM11" s="17">
        <v>1.0</v>
      </c>
      <c r="AN11" s="17">
        <v>1.0</v>
      </c>
      <c r="AO11" s="17">
        <v>1.0</v>
      </c>
      <c r="AP11" s="17">
        <v>2.0</v>
      </c>
      <c r="AQ11" s="17">
        <v>1.0</v>
      </c>
      <c r="AR11" s="17">
        <v>3.0</v>
      </c>
      <c r="AS11" s="17">
        <v>2.0</v>
      </c>
      <c r="AT11" s="17">
        <v>2.0</v>
      </c>
      <c r="AU11" s="17">
        <v>1.0</v>
      </c>
      <c r="AV11" s="17">
        <v>1.0</v>
      </c>
      <c r="AW11" s="17">
        <v>1.0</v>
      </c>
      <c r="AX11" s="17">
        <v>2.0</v>
      </c>
      <c r="AY11" s="17">
        <v>1.0</v>
      </c>
      <c r="AZ11" s="17">
        <v>0.0</v>
      </c>
      <c r="BA11" s="17">
        <v>0.0</v>
      </c>
      <c r="BB11" s="17">
        <v>0.0</v>
      </c>
      <c r="BC11" s="17">
        <v>0.0</v>
      </c>
      <c r="BD11" s="24"/>
    </row>
    <row r="12">
      <c r="A12" s="66">
        <v>2.0</v>
      </c>
      <c r="B12" s="115" t="s">
        <v>79</v>
      </c>
      <c r="C12" s="74">
        <v>3.0</v>
      </c>
      <c r="D12" s="74">
        <v>3.0</v>
      </c>
      <c r="E12" s="74">
        <v>3.0</v>
      </c>
      <c r="F12" s="74">
        <v>144.0</v>
      </c>
      <c r="G12" s="79"/>
      <c r="H12" s="79"/>
      <c r="I12" s="79"/>
      <c r="J12" s="74"/>
      <c r="K12" s="74"/>
      <c r="L12" s="74"/>
      <c r="M12" s="74"/>
      <c r="N12" s="74"/>
      <c r="O12" s="74">
        <v>176.0</v>
      </c>
      <c r="P12" s="74">
        <v>165.0</v>
      </c>
      <c r="Q12" s="74">
        <v>176.0</v>
      </c>
      <c r="R12" s="74">
        <v>165.0</v>
      </c>
      <c r="S12" s="74">
        <v>145.0</v>
      </c>
      <c r="T12" s="74">
        <v>136.0</v>
      </c>
      <c r="U12" s="74">
        <v>109.0</v>
      </c>
      <c r="V12" s="74">
        <v>101.0</v>
      </c>
      <c r="W12" s="74">
        <v>148.0</v>
      </c>
      <c r="X12" s="74">
        <v>141.0</v>
      </c>
      <c r="Y12" s="74">
        <v>0.0</v>
      </c>
      <c r="Z12" s="74">
        <v>0.0</v>
      </c>
      <c r="AA12" s="74">
        <v>1.0</v>
      </c>
      <c r="AB12" s="17">
        <v>1.0</v>
      </c>
      <c r="AC12" s="17">
        <v>2.0</v>
      </c>
      <c r="AD12" s="17">
        <v>1.0</v>
      </c>
      <c r="AE12" s="17">
        <v>1.0</v>
      </c>
      <c r="AF12" s="17">
        <v>2.0</v>
      </c>
      <c r="AG12" s="17">
        <v>1.0</v>
      </c>
      <c r="AH12" s="17">
        <v>1.0</v>
      </c>
      <c r="AI12" s="17">
        <v>1.0</v>
      </c>
      <c r="AJ12" s="17">
        <v>1.0</v>
      </c>
      <c r="AK12" s="17">
        <v>2.0</v>
      </c>
      <c r="AL12" s="17">
        <v>1.0</v>
      </c>
      <c r="AM12" s="17">
        <v>1.0</v>
      </c>
      <c r="AN12" s="17">
        <v>2.0</v>
      </c>
      <c r="AO12" s="17">
        <v>1.0</v>
      </c>
      <c r="AP12" s="17">
        <v>1.0</v>
      </c>
      <c r="AQ12" s="17">
        <v>1.0</v>
      </c>
      <c r="AR12" s="17">
        <v>2.0</v>
      </c>
      <c r="AS12" s="17">
        <v>3.0</v>
      </c>
      <c r="AT12" s="17">
        <v>1.0</v>
      </c>
      <c r="AU12" s="17">
        <v>1.0</v>
      </c>
      <c r="AV12" s="17">
        <v>2.0</v>
      </c>
      <c r="AW12" s="17">
        <v>1.0</v>
      </c>
      <c r="AX12" s="17">
        <v>1.0</v>
      </c>
      <c r="AY12" s="17">
        <v>1.0</v>
      </c>
      <c r="AZ12" s="17">
        <v>0.0</v>
      </c>
      <c r="BA12" s="17">
        <v>0.0</v>
      </c>
      <c r="BB12" s="17">
        <v>0.0</v>
      </c>
      <c r="BC12" s="17">
        <v>0.0</v>
      </c>
      <c r="BD12" s="24"/>
    </row>
    <row r="13">
      <c r="A13" s="66">
        <v>3.0</v>
      </c>
      <c r="B13" s="115" t="s">
        <v>80</v>
      </c>
      <c r="C13" s="74">
        <v>7.0</v>
      </c>
      <c r="D13" s="74">
        <v>7.0</v>
      </c>
      <c r="E13" s="74">
        <v>7.0</v>
      </c>
      <c r="F13" s="74">
        <v>142.0</v>
      </c>
      <c r="G13" s="79"/>
      <c r="H13" s="79"/>
      <c r="I13" s="79"/>
      <c r="J13" s="74"/>
      <c r="K13" s="74"/>
      <c r="L13" s="74"/>
      <c r="M13" s="74"/>
      <c r="N13" s="74"/>
      <c r="O13" s="74">
        <v>176.0</v>
      </c>
      <c r="P13" s="74">
        <v>164.0</v>
      </c>
      <c r="Q13" s="74">
        <v>176.0</v>
      </c>
      <c r="R13" s="74">
        <v>164.0</v>
      </c>
      <c r="S13" s="74">
        <v>142.0</v>
      </c>
      <c r="T13" s="74">
        <v>133.0</v>
      </c>
      <c r="U13" s="74">
        <v>107.0</v>
      </c>
      <c r="V13" s="74">
        <v>103.0</v>
      </c>
      <c r="W13" s="74"/>
      <c r="X13" s="74"/>
      <c r="Y13" s="74">
        <v>0.0</v>
      </c>
      <c r="Z13" s="74">
        <v>0.0</v>
      </c>
      <c r="AA13" s="74">
        <v>3.0</v>
      </c>
      <c r="AB13" s="17">
        <v>1.0</v>
      </c>
      <c r="AC13" s="17">
        <v>2.0</v>
      </c>
      <c r="AD13" s="17">
        <v>1.0</v>
      </c>
      <c r="AE13" s="17">
        <v>2.0</v>
      </c>
      <c r="AF13" s="17">
        <v>1.0</v>
      </c>
      <c r="AG13" s="17">
        <v>1.0</v>
      </c>
      <c r="AH13" s="17">
        <v>2.0</v>
      </c>
      <c r="AI13" s="17">
        <v>1.0</v>
      </c>
      <c r="AJ13" s="17">
        <v>1.0</v>
      </c>
      <c r="AK13" s="17">
        <v>2.0</v>
      </c>
      <c r="AL13" s="17">
        <v>1.0</v>
      </c>
      <c r="AM13" s="17">
        <v>2.0</v>
      </c>
      <c r="AN13" s="17">
        <v>1.0</v>
      </c>
      <c r="AO13" s="17">
        <v>1.0</v>
      </c>
      <c r="AP13" s="17">
        <v>2.0</v>
      </c>
      <c r="AQ13" s="17">
        <v>1.0</v>
      </c>
      <c r="AR13" s="17">
        <v>3.0</v>
      </c>
      <c r="AS13" s="17">
        <v>3.0</v>
      </c>
      <c r="AT13" s="17">
        <v>1.0</v>
      </c>
      <c r="AU13" s="17">
        <v>2.0</v>
      </c>
      <c r="AV13" s="17">
        <v>1.0</v>
      </c>
      <c r="AW13" s="17">
        <v>1.0</v>
      </c>
      <c r="AX13" s="17">
        <v>2.0</v>
      </c>
      <c r="AY13" s="17">
        <v>1.0</v>
      </c>
      <c r="AZ13" s="17">
        <v>0.0</v>
      </c>
      <c r="BA13" s="17">
        <v>0.0</v>
      </c>
      <c r="BB13" s="17">
        <v>0.0</v>
      </c>
      <c r="BC13" s="17">
        <v>0.0</v>
      </c>
      <c r="BD13" s="24"/>
    </row>
    <row r="14">
      <c r="A14" s="66">
        <v>4.0</v>
      </c>
      <c r="B14" s="115" t="s">
        <v>81</v>
      </c>
      <c r="C14" s="74">
        <v>7.0</v>
      </c>
      <c r="D14" s="74">
        <v>7.0</v>
      </c>
      <c r="E14" s="74">
        <v>7.0</v>
      </c>
      <c r="F14" s="74">
        <v>146.0</v>
      </c>
      <c r="G14" s="79"/>
      <c r="H14" s="79"/>
      <c r="I14" s="79"/>
      <c r="J14" s="74"/>
      <c r="K14" s="74"/>
      <c r="L14" s="74"/>
      <c r="M14" s="74"/>
      <c r="N14" s="74"/>
      <c r="O14" s="74">
        <v>175.0</v>
      </c>
      <c r="P14" s="74">
        <v>165.0</v>
      </c>
      <c r="Q14" s="74">
        <v>175.0</v>
      </c>
      <c r="R14" s="74">
        <v>165.0</v>
      </c>
      <c r="S14" s="74">
        <v>140.0</v>
      </c>
      <c r="T14" s="74">
        <v>132.0</v>
      </c>
      <c r="U14" s="74">
        <v>105.0</v>
      </c>
      <c r="V14" s="74">
        <v>101.0</v>
      </c>
      <c r="W14" s="74"/>
      <c r="X14" s="74"/>
      <c r="Y14" s="74">
        <v>0.0</v>
      </c>
      <c r="Z14" s="74">
        <v>0.0</v>
      </c>
      <c r="AA14" s="74">
        <v>3.0</v>
      </c>
      <c r="AB14" s="17">
        <v>8.0</v>
      </c>
      <c r="AC14" s="17">
        <v>1.0</v>
      </c>
      <c r="AD14" s="17">
        <v>1.0</v>
      </c>
      <c r="AE14" s="17">
        <v>2.0</v>
      </c>
      <c r="AF14" s="17">
        <v>1.0</v>
      </c>
      <c r="AG14" s="17">
        <v>2.0</v>
      </c>
      <c r="AH14" s="17">
        <v>1.0</v>
      </c>
      <c r="AI14" s="17">
        <v>1.0</v>
      </c>
      <c r="AJ14" s="17">
        <v>8.0</v>
      </c>
      <c r="AK14" s="17">
        <v>1.0</v>
      </c>
      <c r="AL14" s="17">
        <v>1.0</v>
      </c>
      <c r="AM14" s="17">
        <v>2.0</v>
      </c>
      <c r="AN14" s="17">
        <v>1.0</v>
      </c>
      <c r="AO14" s="17">
        <v>2.0</v>
      </c>
      <c r="AP14" s="17">
        <v>1.0</v>
      </c>
      <c r="AQ14" s="17">
        <v>1.0</v>
      </c>
      <c r="AR14" s="17">
        <v>2.0</v>
      </c>
      <c r="AS14" s="17">
        <v>2.0</v>
      </c>
      <c r="AT14" s="17">
        <v>1.0</v>
      </c>
      <c r="AU14" s="17">
        <v>2.0</v>
      </c>
      <c r="AV14" s="17">
        <v>1.0</v>
      </c>
      <c r="AW14" s="17">
        <v>2.0</v>
      </c>
      <c r="AX14" s="17">
        <v>1.0</v>
      </c>
      <c r="AY14" s="17">
        <v>1.0</v>
      </c>
      <c r="AZ14" s="17">
        <v>0.0</v>
      </c>
      <c r="BA14" s="17">
        <v>0.0</v>
      </c>
      <c r="BB14" s="17">
        <v>0.0</v>
      </c>
      <c r="BC14" s="17">
        <v>0.0</v>
      </c>
      <c r="BD14" s="24"/>
    </row>
    <row r="15">
      <c r="A15" s="66">
        <v>5.0</v>
      </c>
      <c r="B15" s="115" t="s">
        <v>82</v>
      </c>
      <c r="C15" s="74">
        <v>5.0</v>
      </c>
      <c r="D15" s="74">
        <v>5.0</v>
      </c>
      <c r="E15" s="74">
        <v>5.0</v>
      </c>
      <c r="F15" s="74">
        <v>143.0</v>
      </c>
      <c r="G15" s="74"/>
      <c r="H15" s="79"/>
      <c r="I15" s="79"/>
      <c r="J15" s="74"/>
      <c r="K15" s="74"/>
      <c r="L15" s="74"/>
      <c r="M15" s="74"/>
      <c r="N15" s="74"/>
      <c r="O15" s="74">
        <v>173.0</v>
      </c>
      <c r="P15" s="74">
        <v>166.0</v>
      </c>
      <c r="Q15" s="74">
        <v>173.0</v>
      </c>
      <c r="R15" s="74">
        <v>166.0</v>
      </c>
      <c r="S15" s="74">
        <v>139.0</v>
      </c>
      <c r="T15" s="74">
        <v>133.0</v>
      </c>
      <c r="U15" s="74">
        <v>105.0</v>
      </c>
      <c r="V15" s="74">
        <v>102.0</v>
      </c>
      <c r="W15" s="74"/>
      <c r="X15" s="74"/>
      <c r="Y15" s="74">
        <v>0.0</v>
      </c>
      <c r="Z15" s="74">
        <v>0.0</v>
      </c>
      <c r="AA15" s="74">
        <v>2.0</v>
      </c>
      <c r="AB15" s="17">
        <v>1.0</v>
      </c>
      <c r="AC15" s="17">
        <v>2.0</v>
      </c>
      <c r="AD15" s="17">
        <v>1.0</v>
      </c>
      <c r="AE15" s="17">
        <v>2.0</v>
      </c>
      <c r="AF15" s="17">
        <v>1.0</v>
      </c>
      <c r="AG15" s="17">
        <v>2.0</v>
      </c>
      <c r="AH15" s="17">
        <v>1.0</v>
      </c>
      <c r="AI15" s="17">
        <v>2.0</v>
      </c>
      <c r="AJ15" s="17">
        <v>1.0</v>
      </c>
      <c r="AK15" s="17">
        <v>2.0</v>
      </c>
      <c r="AL15" s="17">
        <v>1.0</v>
      </c>
      <c r="AM15" s="17">
        <v>2.0</v>
      </c>
      <c r="AN15" s="17">
        <v>1.0</v>
      </c>
      <c r="AO15" s="17">
        <v>2.0</v>
      </c>
      <c r="AP15" s="17">
        <v>1.0</v>
      </c>
      <c r="AQ15" s="17">
        <v>2.0</v>
      </c>
      <c r="AR15" s="17">
        <v>3.0</v>
      </c>
      <c r="AS15" s="17">
        <v>1.0</v>
      </c>
      <c r="AT15" s="17">
        <v>1.0</v>
      </c>
      <c r="AU15" s="17">
        <v>2.0</v>
      </c>
      <c r="AV15" s="17">
        <v>1.0</v>
      </c>
      <c r="AW15" s="17">
        <v>2.0</v>
      </c>
      <c r="AX15" s="17">
        <v>1.0</v>
      </c>
      <c r="AY15" s="17">
        <v>2.0</v>
      </c>
      <c r="AZ15" s="17">
        <v>0.0</v>
      </c>
      <c r="BA15" s="17">
        <v>0.0</v>
      </c>
      <c r="BB15" s="17">
        <v>0.0</v>
      </c>
      <c r="BC15" s="17">
        <v>0.0</v>
      </c>
      <c r="BD15" s="24"/>
    </row>
    <row r="16">
      <c r="A16" s="66">
        <v>6.0</v>
      </c>
      <c r="B16" s="115" t="s">
        <v>83</v>
      </c>
      <c r="C16" s="74">
        <v>4.0</v>
      </c>
      <c r="D16" s="74">
        <v>4.0</v>
      </c>
      <c r="E16" s="74">
        <v>4.0</v>
      </c>
      <c r="F16" s="74">
        <v>142.0</v>
      </c>
      <c r="G16" s="74"/>
      <c r="H16" s="79"/>
      <c r="I16" s="79"/>
      <c r="J16" s="74"/>
      <c r="K16" s="74"/>
      <c r="L16" s="74"/>
      <c r="M16" s="74"/>
      <c r="N16" s="74"/>
      <c r="O16" s="74">
        <v>175.0</v>
      </c>
      <c r="P16" s="74">
        <v>164.0</v>
      </c>
      <c r="Q16" s="74">
        <v>175.0</v>
      </c>
      <c r="R16" s="74">
        <v>164.0</v>
      </c>
      <c r="S16" s="74">
        <v>141.0</v>
      </c>
      <c r="T16" s="74">
        <v>130.0</v>
      </c>
      <c r="U16" s="74">
        <v>107.0</v>
      </c>
      <c r="V16" s="74">
        <v>100.0</v>
      </c>
      <c r="W16" s="74"/>
      <c r="X16" s="74"/>
      <c r="Y16" s="74">
        <v>0.0</v>
      </c>
      <c r="Z16" s="74">
        <v>0.0</v>
      </c>
      <c r="AA16" s="74">
        <v>1.0</v>
      </c>
      <c r="AB16" s="17">
        <v>0.0</v>
      </c>
      <c r="AC16" s="17">
        <v>4.0</v>
      </c>
      <c r="AD16" s="17">
        <v>8.0</v>
      </c>
      <c r="AE16" s="17">
        <v>1.0</v>
      </c>
      <c r="AF16" s="17">
        <v>1.0</v>
      </c>
      <c r="AG16" s="17">
        <v>2.0</v>
      </c>
      <c r="AH16" s="17">
        <v>1.0</v>
      </c>
      <c r="AI16" s="17">
        <v>2.0</v>
      </c>
      <c r="AJ16" s="17">
        <v>0.0</v>
      </c>
      <c r="AK16" s="17">
        <v>4.0</v>
      </c>
      <c r="AL16" s="17">
        <v>8.0</v>
      </c>
      <c r="AM16" s="17">
        <v>1.0</v>
      </c>
      <c r="AN16" s="17">
        <v>1.0</v>
      </c>
      <c r="AO16" s="17">
        <v>2.0</v>
      </c>
      <c r="AP16" s="17">
        <v>1.0</v>
      </c>
      <c r="AQ16" s="17">
        <v>2.0</v>
      </c>
      <c r="AR16" s="17">
        <v>2.0</v>
      </c>
      <c r="AS16" s="17">
        <v>3.0</v>
      </c>
      <c r="AT16" s="17">
        <v>8.0</v>
      </c>
      <c r="AU16" s="17">
        <v>1.0</v>
      </c>
      <c r="AV16" s="17">
        <v>1.0</v>
      </c>
      <c r="AW16" s="17">
        <v>2.0</v>
      </c>
      <c r="AX16" s="17">
        <v>1.0</v>
      </c>
      <c r="AY16" s="17">
        <v>2.0</v>
      </c>
      <c r="AZ16" s="17">
        <v>0.0</v>
      </c>
      <c r="BA16" s="17">
        <v>0.0</v>
      </c>
      <c r="BB16" s="17">
        <v>0.0</v>
      </c>
      <c r="BC16" s="17">
        <v>0.0</v>
      </c>
      <c r="BD16" s="24"/>
    </row>
    <row r="17">
      <c r="A17" s="66">
        <v>7.0</v>
      </c>
      <c r="B17" s="115" t="s">
        <v>84</v>
      </c>
      <c r="C17" s="74">
        <v>5.0</v>
      </c>
      <c r="D17" s="74">
        <v>5.0</v>
      </c>
      <c r="E17" s="74">
        <v>5.0</v>
      </c>
      <c r="F17" s="74">
        <v>140.0</v>
      </c>
      <c r="G17" s="79"/>
      <c r="H17" s="79"/>
      <c r="I17" s="79"/>
      <c r="J17" s="74"/>
      <c r="K17" s="74"/>
      <c r="L17" s="74"/>
      <c r="M17" s="74"/>
      <c r="N17" s="74"/>
      <c r="O17" s="74">
        <v>176.0</v>
      </c>
      <c r="P17" s="74">
        <v>163.0</v>
      </c>
      <c r="Q17" s="74">
        <v>176.0</v>
      </c>
      <c r="R17" s="74">
        <v>163.0</v>
      </c>
      <c r="S17" s="74">
        <v>141.0</v>
      </c>
      <c r="T17" s="74">
        <v>129.0</v>
      </c>
      <c r="U17" s="74">
        <v>108.0</v>
      </c>
      <c r="V17" s="74">
        <v>97.0</v>
      </c>
      <c r="W17" s="74"/>
      <c r="X17" s="74"/>
      <c r="Y17" s="74">
        <v>0.0</v>
      </c>
      <c r="Z17" s="74">
        <v>0.0</v>
      </c>
      <c r="AA17" s="74">
        <v>3.0</v>
      </c>
      <c r="AB17" s="17">
        <v>3.0</v>
      </c>
      <c r="AC17" s="17">
        <v>3.0</v>
      </c>
      <c r="AD17" s="17">
        <v>1.0</v>
      </c>
      <c r="AE17" s="17">
        <v>2.0</v>
      </c>
      <c r="AF17" s="17">
        <v>8.0</v>
      </c>
      <c r="AG17" s="17">
        <v>1.0</v>
      </c>
      <c r="AH17" s="17">
        <v>1.0</v>
      </c>
      <c r="AI17" s="17">
        <v>2.0</v>
      </c>
      <c r="AJ17" s="17">
        <v>3.0</v>
      </c>
      <c r="AK17" s="17">
        <v>3.0</v>
      </c>
      <c r="AL17" s="17">
        <v>1.0</v>
      </c>
      <c r="AM17" s="17">
        <v>2.0</v>
      </c>
      <c r="AN17" s="17">
        <v>8.0</v>
      </c>
      <c r="AO17" s="17">
        <v>1.0</v>
      </c>
      <c r="AP17" s="17">
        <v>1.0</v>
      </c>
      <c r="AQ17" s="17">
        <v>2.0</v>
      </c>
      <c r="AR17" s="17">
        <v>2.0</v>
      </c>
      <c r="AS17" s="17">
        <v>2.0</v>
      </c>
      <c r="AT17" s="17">
        <v>1.0</v>
      </c>
      <c r="AU17" s="17">
        <v>2.0</v>
      </c>
      <c r="AV17" s="17">
        <v>8.0</v>
      </c>
      <c r="AW17" s="17">
        <v>1.0</v>
      </c>
      <c r="AX17" s="17">
        <v>1.0</v>
      </c>
      <c r="AY17" s="17">
        <v>2.0</v>
      </c>
      <c r="AZ17" s="17">
        <v>0.0</v>
      </c>
      <c r="BA17" s="17">
        <v>0.0</v>
      </c>
      <c r="BB17" s="17">
        <v>0.0</v>
      </c>
      <c r="BC17" s="17">
        <v>0.0</v>
      </c>
      <c r="BD17" s="24"/>
    </row>
    <row r="18">
      <c r="A18" s="66">
        <v>8.0</v>
      </c>
      <c r="B18" s="115" t="s">
        <v>85</v>
      </c>
      <c r="C18" s="17">
        <v>5.0</v>
      </c>
      <c r="D18" s="17">
        <v>5.0</v>
      </c>
      <c r="E18" s="17">
        <v>5.0</v>
      </c>
      <c r="F18" s="74">
        <v>142.0</v>
      </c>
      <c r="G18" s="79"/>
      <c r="H18" s="79"/>
      <c r="I18" s="79"/>
      <c r="J18" s="17"/>
      <c r="K18" s="17"/>
      <c r="L18" s="17"/>
      <c r="M18" s="17"/>
      <c r="N18" s="17"/>
      <c r="O18" s="17">
        <v>176.0</v>
      </c>
      <c r="P18" s="17">
        <v>165.0</v>
      </c>
      <c r="Q18" s="17">
        <v>176.0</v>
      </c>
      <c r="R18" s="17">
        <v>165.0</v>
      </c>
      <c r="S18" s="17">
        <v>149.0</v>
      </c>
      <c r="T18" s="17">
        <v>135.0</v>
      </c>
      <c r="U18" s="17">
        <v>112.0</v>
      </c>
      <c r="V18" s="17">
        <v>102.0</v>
      </c>
      <c r="W18" s="17">
        <v>139.0</v>
      </c>
      <c r="X18" s="17">
        <v>121.0</v>
      </c>
      <c r="Y18" s="17">
        <v>0.0</v>
      </c>
      <c r="Z18" s="17">
        <v>0.0</v>
      </c>
      <c r="AA18" s="17">
        <v>2.0</v>
      </c>
      <c r="AB18" s="17">
        <v>4.0</v>
      </c>
      <c r="AC18" s="17">
        <v>1.0</v>
      </c>
      <c r="AD18" s="17">
        <v>0.0</v>
      </c>
      <c r="AE18" s="17">
        <v>4.0</v>
      </c>
      <c r="AF18" s="17">
        <v>1.0</v>
      </c>
      <c r="AG18" s="17">
        <v>2.0</v>
      </c>
      <c r="AH18" s="17">
        <v>8.0</v>
      </c>
      <c r="AI18" s="17">
        <v>1.0</v>
      </c>
      <c r="AJ18" s="17">
        <v>4.0</v>
      </c>
      <c r="AK18" s="17">
        <v>1.0</v>
      </c>
      <c r="AL18" s="17">
        <v>0.0</v>
      </c>
      <c r="AM18" s="17">
        <v>4.0</v>
      </c>
      <c r="AN18" s="17">
        <v>1.0</v>
      </c>
      <c r="AO18" s="17">
        <v>2.0</v>
      </c>
      <c r="AP18" s="17">
        <v>8.0</v>
      </c>
      <c r="AQ18" s="17">
        <v>1.0</v>
      </c>
      <c r="AR18" s="17">
        <v>3.0</v>
      </c>
      <c r="AS18" s="17">
        <v>2.0</v>
      </c>
      <c r="AT18" s="17">
        <v>0.0</v>
      </c>
      <c r="AU18" s="17">
        <v>4.0</v>
      </c>
      <c r="AV18" s="17">
        <v>1.0</v>
      </c>
      <c r="AW18" s="17">
        <v>2.0</v>
      </c>
      <c r="AX18" s="17">
        <v>8.0</v>
      </c>
      <c r="AY18" s="17">
        <v>1.0</v>
      </c>
      <c r="AZ18" s="17">
        <v>0.0</v>
      </c>
      <c r="BA18" s="17">
        <v>0.0</v>
      </c>
      <c r="BB18" s="17">
        <v>0.0</v>
      </c>
      <c r="BC18" s="17">
        <v>0.0</v>
      </c>
      <c r="BD18" s="24"/>
    </row>
    <row r="19">
      <c r="A19" s="66">
        <v>9.0</v>
      </c>
      <c r="B19" s="115" t="s">
        <v>86</v>
      </c>
      <c r="C19" s="74">
        <v>4.0</v>
      </c>
      <c r="D19" s="74">
        <v>4.0</v>
      </c>
      <c r="E19" s="74">
        <v>4.0</v>
      </c>
      <c r="F19" s="74">
        <v>144.0</v>
      </c>
      <c r="G19" s="79"/>
      <c r="H19" s="79"/>
      <c r="I19" s="79"/>
      <c r="J19" s="74"/>
      <c r="K19" s="74"/>
      <c r="L19" s="74"/>
      <c r="M19" s="74"/>
      <c r="N19" s="74"/>
      <c r="O19" s="74">
        <v>177.0</v>
      </c>
      <c r="P19" s="74">
        <v>165.0</v>
      </c>
      <c r="Q19" s="74">
        <v>177.0</v>
      </c>
      <c r="R19" s="74">
        <v>165.0</v>
      </c>
      <c r="S19" s="74">
        <v>144.0</v>
      </c>
      <c r="T19" s="74">
        <v>132.0</v>
      </c>
      <c r="U19" s="74">
        <v>108.0</v>
      </c>
      <c r="V19" s="74">
        <v>104.0</v>
      </c>
      <c r="W19" s="74"/>
      <c r="X19" s="74"/>
      <c r="Y19" s="74">
        <v>0.0</v>
      </c>
      <c r="Z19" s="74">
        <v>0.0</v>
      </c>
      <c r="AA19" s="74">
        <v>2.0</v>
      </c>
      <c r="AB19" s="74">
        <v>3.0</v>
      </c>
      <c r="AC19" s="74">
        <v>3.0</v>
      </c>
      <c r="AD19" s="17">
        <v>3.0</v>
      </c>
      <c r="AE19" s="17">
        <v>3.0</v>
      </c>
      <c r="AF19" s="17">
        <v>0.0</v>
      </c>
      <c r="AG19" s="17">
        <v>4.0</v>
      </c>
      <c r="AH19" s="17">
        <v>1.0</v>
      </c>
      <c r="AI19" s="17">
        <v>2.0</v>
      </c>
      <c r="AJ19" s="74">
        <v>3.0</v>
      </c>
      <c r="AK19" s="74">
        <v>3.0</v>
      </c>
      <c r="AL19" s="17">
        <v>3.0</v>
      </c>
      <c r="AM19" s="17">
        <v>3.0</v>
      </c>
      <c r="AN19" s="17">
        <v>0.0</v>
      </c>
      <c r="AO19" s="17">
        <v>4.0</v>
      </c>
      <c r="AP19" s="17">
        <v>1.0</v>
      </c>
      <c r="AQ19" s="17">
        <v>2.0</v>
      </c>
      <c r="AR19" s="17">
        <v>1.0</v>
      </c>
      <c r="AS19" s="74">
        <v>4.0</v>
      </c>
      <c r="AT19" s="17">
        <v>3.0</v>
      </c>
      <c r="AU19" s="17">
        <v>3.0</v>
      </c>
      <c r="AV19" s="17">
        <v>0.0</v>
      </c>
      <c r="AW19" s="17">
        <v>4.0</v>
      </c>
      <c r="AX19" s="17">
        <v>1.0</v>
      </c>
      <c r="AY19" s="17">
        <v>2.0</v>
      </c>
      <c r="AZ19" s="74">
        <v>0.0</v>
      </c>
      <c r="BA19" s="74">
        <v>0.0</v>
      </c>
      <c r="BB19" s="74">
        <v>0.0</v>
      </c>
      <c r="BC19" s="74">
        <v>0.0</v>
      </c>
      <c r="BD19" s="24"/>
    </row>
    <row r="20">
      <c r="A20" s="66">
        <v>10.0</v>
      </c>
      <c r="B20" s="115" t="s">
        <v>87</v>
      </c>
      <c r="C20" s="88">
        <v>4.0</v>
      </c>
      <c r="D20" s="88">
        <v>4.0</v>
      </c>
      <c r="E20" s="88">
        <v>4.0</v>
      </c>
      <c r="F20" s="74">
        <v>145.0</v>
      </c>
      <c r="G20" s="24"/>
      <c r="H20" s="24"/>
      <c r="I20" s="24"/>
      <c r="J20" s="24"/>
      <c r="K20" s="24"/>
      <c r="L20" s="24"/>
      <c r="M20" s="24"/>
      <c r="N20" s="24"/>
      <c r="O20" s="88">
        <v>174.0</v>
      </c>
      <c r="P20" s="88">
        <v>164.0</v>
      </c>
      <c r="Q20" s="88">
        <v>174.0</v>
      </c>
      <c r="R20" s="88">
        <v>164.0</v>
      </c>
      <c r="S20" s="88">
        <v>140.0</v>
      </c>
      <c r="T20" s="88">
        <v>131.0</v>
      </c>
      <c r="U20" s="88">
        <v>106.0</v>
      </c>
      <c r="V20" s="88">
        <v>99.0</v>
      </c>
      <c r="W20" s="24"/>
      <c r="X20" s="24"/>
      <c r="Y20" s="88">
        <v>0.0</v>
      </c>
      <c r="Z20" s="88">
        <v>0.0</v>
      </c>
      <c r="AA20" s="88">
        <v>2.0</v>
      </c>
      <c r="AB20" s="88">
        <v>0.0</v>
      </c>
      <c r="AC20" s="88">
        <v>4.0</v>
      </c>
      <c r="AD20" s="17">
        <v>4.0</v>
      </c>
      <c r="AE20" s="17">
        <v>1.0</v>
      </c>
      <c r="AF20" s="17">
        <v>3.0</v>
      </c>
      <c r="AG20" s="17">
        <v>3.0</v>
      </c>
      <c r="AH20" s="17">
        <v>0.0</v>
      </c>
      <c r="AI20" s="17">
        <v>4.0</v>
      </c>
      <c r="AJ20" s="88">
        <v>0.0</v>
      </c>
      <c r="AK20" s="88">
        <v>4.0</v>
      </c>
      <c r="AL20" s="17">
        <v>4.0</v>
      </c>
      <c r="AM20" s="17">
        <v>1.0</v>
      </c>
      <c r="AN20" s="17">
        <v>3.0</v>
      </c>
      <c r="AO20" s="17">
        <v>3.0</v>
      </c>
      <c r="AP20" s="17">
        <v>0.0</v>
      </c>
      <c r="AQ20" s="17">
        <v>4.0</v>
      </c>
      <c r="AR20" s="88">
        <v>4.0</v>
      </c>
      <c r="AS20" s="88">
        <v>0.0</v>
      </c>
      <c r="AT20" s="17">
        <v>4.0</v>
      </c>
      <c r="AU20" s="17">
        <v>1.0</v>
      </c>
      <c r="AV20" s="17">
        <v>3.0</v>
      </c>
      <c r="AW20" s="17">
        <v>3.0</v>
      </c>
      <c r="AX20" s="17">
        <v>0.0</v>
      </c>
      <c r="AY20" s="17">
        <v>4.0</v>
      </c>
      <c r="AZ20" s="88">
        <v>0.0</v>
      </c>
      <c r="BA20" s="88">
        <v>0.0</v>
      </c>
      <c r="BB20" s="88">
        <v>0.0</v>
      </c>
      <c r="BC20" s="88">
        <v>0.0</v>
      </c>
      <c r="BD20" s="24"/>
    </row>
    <row r="21">
      <c r="A21" s="66">
        <v>11.0</v>
      </c>
      <c r="B21" s="115" t="s">
        <v>88</v>
      </c>
      <c r="C21" s="88">
        <v>6.0</v>
      </c>
      <c r="D21" s="88">
        <v>6.0</v>
      </c>
      <c r="E21" s="88">
        <v>6.0</v>
      </c>
      <c r="F21" s="74">
        <v>144.0</v>
      </c>
      <c r="G21" s="24"/>
      <c r="H21" s="24"/>
      <c r="I21" s="24"/>
      <c r="J21" s="24"/>
      <c r="K21" s="24"/>
      <c r="L21" s="24"/>
      <c r="M21" s="24"/>
      <c r="N21" s="24"/>
      <c r="O21" s="88">
        <v>175.0</v>
      </c>
      <c r="P21" s="88">
        <v>163.0</v>
      </c>
      <c r="Q21" s="88">
        <v>175.0</v>
      </c>
      <c r="R21" s="88">
        <v>163.0</v>
      </c>
      <c r="S21" s="88">
        <v>141.0</v>
      </c>
      <c r="T21" s="88">
        <v>132.0</v>
      </c>
      <c r="U21" s="88">
        <v>108.0</v>
      </c>
      <c r="V21" s="88">
        <v>100.0</v>
      </c>
      <c r="W21" s="24"/>
      <c r="X21" s="24"/>
      <c r="Y21" s="88">
        <v>0.0</v>
      </c>
      <c r="Z21" s="88">
        <v>0.0</v>
      </c>
      <c r="AA21" s="88">
        <v>3.0</v>
      </c>
      <c r="AB21" s="88">
        <v>1.0</v>
      </c>
      <c r="AC21" s="88">
        <v>0.0</v>
      </c>
      <c r="AD21" s="74">
        <v>3.0</v>
      </c>
      <c r="AE21" s="74">
        <v>3.0</v>
      </c>
      <c r="AF21" s="17">
        <v>4.0</v>
      </c>
      <c r="AG21" s="17">
        <v>1.0</v>
      </c>
      <c r="AH21" s="17">
        <v>3.0</v>
      </c>
      <c r="AI21" s="17">
        <v>3.0</v>
      </c>
      <c r="AJ21" s="88">
        <v>1.0</v>
      </c>
      <c r="AK21" s="88">
        <v>0.0</v>
      </c>
      <c r="AL21" s="74">
        <v>3.0</v>
      </c>
      <c r="AM21" s="74">
        <v>3.0</v>
      </c>
      <c r="AN21" s="17">
        <v>4.0</v>
      </c>
      <c r="AO21" s="17">
        <v>1.0</v>
      </c>
      <c r="AP21" s="17">
        <v>3.0</v>
      </c>
      <c r="AQ21" s="17">
        <v>3.0</v>
      </c>
      <c r="AR21" s="88">
        <v>2.0</v>
      </c>
      <c r="AS21" s="88">
        <v>4.0</v>
      </c>
      <c r="AT21" s="74">
        <v>3.0</v>
      </c>
      <c r="AU21" s="74">
        <v>3.0</v>
      </c>
      <c r="AV21" s="17">
        <v>4.0</v>
      </c>
      <c r="AW21" s="17">
        <v>1.0</v>
      </c>
      <c r="AX21" s="17">
        <v>3.0</v>
      </c>
      <c r="AY21" s="17">
        <v>3.0</v>
      </c>
      <c r="AZ21" s="88">
        <v>0.0</v>
      </c>
      <c r="BA21" s="88">
        <v>0.0</v>
      </c>
      <c r="BB21" s="88">
        <v>0.0</v>
      </c>
      <c r="BC21" s="88">
        <v>0.0</v>
      </c>
      <c r="BD21" s="24"/>
    </row>
    <row r="22">
      <c r="A22" s="66">
        <v>12.0</v>
      </c>
      <c r="B22" s="115" t="s">
        <v>89</v>
      </c>
      <c r="C22" s="88">
        <v>3.0</v>
      </c>
      <c r="D22" s="88">
        <v>3.0</v>
      </c>
      <c r="E22" s="88">
        <v>3.0</v>
      </c>
      <c r="F22" s="74">
        <v>142.0</v>
      </c>
      <c r="G22" s="24"/>
      <c r="H22" s="24"/>
      <c r="I22" s="24"/>
      <c r="J22" s="24"/>
      <c r="K22" s="24"/>
      <c r="L22" s="24"/>
      <c r="M22" s="24"/>
      <c r="N22" s="24"/>
      <c r="O22" s="88">
        <v>175.0</v>
      </c>
      <c r="P22" s="88">
        <v>164.0</v>
      </c>
      <c r="Q22" s="88">
        <v>175.0</v>
      </c>
      <c r="R22" s="88">
        <v>164.0</v>
      </c>
      <c r="S22" s="88">
        <v>141.0</v>
      </c>
      <c r="T22" s="88">
        <v>132.0</v>
      </c>
      <c r="U22" s="88">
        <v>109.0</v>
      </c>
      <c r="V22" s="88">
        <v>99.0</v>
      </c>
      <c r="W22" s="24"/>
      <c r="X22" s="24"/>
      <c r="Y22" s="88">
        <v>0.0</v>
      </c>
      <c r="Z22" s="88">
        <v>0.0</v>
      </c>
      <c r="AA22" s="88">
        <v>1.0</v>
      </c>
      <c r="AB22" s="88">
        <v>2.0</v>
      </c>
      <c r="AC22" s="88">
        <v>1.0</v>
      </c>
      <c r="AD22" s="88">
        <v>0.0</v>
      </c>
      <c r="AE22" s="88">
        <v>4.0</v>
      </c>
      <c r="AF22" s="74">
        <v>3.0</v>
      </c>
      <c r="AG22" s="74">
        <v>3.0</v>
      </c>
      <c r="AH22" s="17">
        <v>4.0</v>
      </c>
      <c r="AI22" s="17">
        <v>1.0</v>
      </c>
      <c r="AJ22" s="88">
        <v>2.0</v>
      </c>
      <c r="AK22" s="88">
        <v>1.0</v>
      </c>
      <c r="AL22" s="88">
        <v>0.0</v>
      </c>
      <c r="AM22" s="88">
        <v>4.0</v>
      </c>
      <c r="AN22" s="74">
        <v>3.0</v>
      </c>
      <c r="AO22" s="74">
        <v>3.0</v>
      </c>
      <c r="AP22" s="17">
        <v>4.0</v>
      </c>
      <c r="AQ22" s="17">
        <v>1.0</v>
      </c>
      <c r="AR22" s="88">
        <v>1.0</v>
      </c>
      <c r="AS22" s="88">
        <v>2.0</v>
      </c>
      <c r="AT22" s="88">
        <v>0.0</v>
      </c>
      <c r="AU22" s="88">
        <v>4.0</v>
      </c>
      <c r="AV22" s="74">
        <v>3.0</v>
      </c>
      <c r="AW22" s="74">
        <v>3.0</v>
      </c>
      <c r="AX22" s="17">
        <v>4.0</v>
      </c>
      <c r="AY22" s="17">
        <v>1.0</v>
      </c>
      <c r="AZ22" s="88">
        <v>0.0</v>
      </c>
      <c r="BA22" s="88">
        <v>0.0</v>
      </c>
      <c r="BB22" s="88">
        <v>0.0</v>
      </c>
      <c r="BC22" s="88">
        <v>0.0</v>
      </c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30</v>
      </c>
      <c r="C24" s="91">
        <f t="shared" ref="C24:BD24" si="1">SUM(C11:C22)</f>
        <v>58</v>
      </c>
      <c r="D24" s="91">
        <f t="shared" si="1"/>
        <v>58</v>
      </c>
      <c r="E24" s="91">
        <f t="shared" si="1"/>
        <v>58</v>
      </c>
      <c r="F24" s="91">
        <f t="shared" si="1"/>
        <v>1719</v>
      </c>
      <c r="G24" s="91">
        <f t="shared" si="1"/>
        <v>0</v>
      </c>
      <c r="H24" s="91">
        <f t="shared" si="1"/>
        <v>0</v>
      </c>
      <c r="I24" s="91">
        <f t="shared" si="1"/>
        <v>0</v>
      </c>
      <c r="J24" s="91">
        <f t="shared" si="1"/>
        <v>0</v>
      </c>
      <c r="K24" s="91">
        <f t="shared" si="1"/>
        <v>0</v>
      </c>
      <c r="L24" s="91">
        <f t="shared" si="1"/>
        <v>0</v>
      </c>
      <c r="M24" s="91">
        <f t="shared" si="1"/>
        <v>0</v>
      </c>
      <c r="N24" s="91">
        <f t="shared" si="1"/>
        <v>0</v>
      </c>
      <c r="O24" s="91">
        <f t="shared" si="1"/>
        <v>2102</v>
      </c>
      <c r="P24" s="91">
        <f t="shared" si="1"/>
        <v>1974</v>
      </c>
      <c r="Q24" s="91">
        <f t="shared" si="1"/>
        <v>2102</v>
      </c>
      <c r="R24" s="91">
        <f t="shared" si="1"/>
        <v>1974</v>
      </c>
      <c r="S24" s="91">
        <f t="shared" si="1"/>
        <v>1703</v>
      </c>
      <c r="T24" s="91">
        <f t="shared" si="1"/>
        <v>1588</v>
      </c>
      <c r="U24" s="91">
        <f t="shared" si="1"/>
        <v>1290</v>
      </c>
      <c r="V24" s="91">
        <f t="shared" si="1"/>
        <v>1208</v>
      </c>
      <c r="W24" s="91">
        <f t="shared" si="1"/>
        <v>287</v>
      </c>
      <c r="X24" s="91">
        <f t="shared" si="1"/>
        <v>262</v>
      </c>
      <c r="Y24" s="91">
        <f t="shared" si="1"/>
        <v>0</v>
      </c>
      <c r="Z24" s="91">
        <f t="shared" si="1"/>
        <v>0</v>
      </c>
      <c r="AA24" s="91">
        <f t="shared" si="1"/>
        <v>26</v>
      </c>
      <c r="AB24" s="91">
        <f t="shared" si="1"/>
        <v>25</v>
      </c>
      <c r="AC24" s="91">
        <f t="shared" si="1"/>
        <v>25</v>
      </c>
      <c r="AD24" s="91">
        <f t="shared" si="1"/>
        <v>25</v>
      </c>
      <c r="AE24" s="91">
        <f t="shared" si="1"/>
        <v>26</v>
      </c>
      <c r="AF24" s="91">
        <f t="shared" si="1"/>
        <v>26</v>
      </c>
      <c r="AG24" s="91">
        <f t="shared" si="1"/>
        <v>23</v>
      </c>
      <c r="AH24" s="91">
        <f t="shared" si="1"/>
        <v>25</v>
      </c>
      <c r="AI24" s="91">
        <f t="shared" si="1"/>
        <v>21</v>
      </c>
      <c r="AJ24" s="91">
        <f t="shared" si="1"/>
        <v>25</v>
      </c>
      <c r="AK24" s="91">
        <f t="shared" si="1"/>
        <v>25</v>
      </c>
      <c r="AL24" s="91">
        <f t="shared" si="1"/>
        <v>25</v>
      </c>
      <c r="AM24" s="91">
        <f t="shared" si="1"/>
        <v>26</v>
      </c>
      <c r="AN24" s="91">
        <f t="shared" si="1"/>
        <v>26</v>
      </c>
      <c r="AO24" s="91">
        <f t="shared" si="1"/>
        <v>23</v>
      </c>
      <c r="AP24" s="91">
        <f t="shared" si="1"/>
        <v>25</v>
      </c>
      <c r="AQ24" s="91">
        <f t="shared" si="1"/>
        <v>21</v>
      </c>
      <c r="AR24" s="91">
        <f t="shared" si="1"/>
        <v>28</v>
      </c>
      <c r="AS24" s="91">
        <f t="shared" si="1"/>
        <v>28</v>
      </c>
      <c r="AT24" s="91">
        <f t="shared" si="1"/>
        <v>25</v>
      </c>
      <c r="AU24" s="91">
        <f t="shared" si="1"/>
        <v>26</v>
      </c>
      <c r="AV24" s="91">
        <f t="shared" si="1"/>
        <v>26</v>
      </c>
      <c r="AW24" s="91">
        <f t="shared" si="1"/>
        <v>23</v>
      </c>
      <c r="AX24" s="91">
        <f t="shared" si="1"/>
        <v>25</v>
      </c>
      <c r="AY24" s="91">
        <f t="shared" si="1"/>
        <v>21</v>
      </c>
      <c r="AZ24" s="91">
        <f t="shared" si="1"/>
        <v>0</v>
      </c>
      <c r="BA24" s="91">
        <f t="shared" si="1"/>
        <v>0</v>
      </c>
      <c r="BB24" s="91">
        <f t="shared" si="1"/>
        <v>0</v>
      </c>
      <c r="BC24" s="91">
        <f t="shared" si="1"/>
        <v>0</v>
      </c>
      <c r="BD24" s="9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6" t="s">
        <v>157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7" t="s">
        <v>158</v>
      </c>
      <c r="B30" s="96"/>
      <c r="C30" s="96"/>
      <c r="D30" s="96"/>
      <c r="E30" s="96"/>
      <c r="F30" s="96"/>
      <c r="G30" s="96"/>
      <c r="H30" s="9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7" t="s">
        <v>159</v>
      </c>
      <c r="B31" s="118" t="s">
        <v>160</v>
      </c>
      <c r="C31" s="118" t="s">
        <v>161</v>
      </c>
      <c r="D31" s="50" t="s">
        <v>162</v>
      </c>
      <c r="E31" s="31"/>
      <c r="F31" s="31"/>
      <c r="G31" s="8"/>
      <c r="H31" s="50" t="s">
        <v>163</v>
      </c>
      <c r="I31" s="31"/>
      <c r="J31" s="31"/>
      <c r="K31" s="31"/>
      <c r="L31" s="31"/>
      <c r="M31" s="31"/>
      <c r="N31" s="8"/>
      <c r="O31" s="50" t="s">
        <v>164</v>
      </c>
      <c r="P31" s="31"/>
      <c r="Q31" s="8"/>
      <c r="R31" s="50" t="s">
        <v>165</v>
      </c>
      <c r="S31" s="31"/>
      <c r="T31" s="8"/>
      <c r="U31" s="98" t="s">
        <v>166</v>
      </c>
      <c r="V31" s="57"/>
      <c r="W31" s="98" t="s">
        <v>167</v>
      </c>
      <c r="X31" s="57"/>
      <c r="Y31" s="119" t="s">
        <v>168</v>
      </c>
      <c r="Z31" s="57"/>
      <c r="AA31" s="120" t="s">
        <v>169</v>
      </c>
      <c r="AB31" s="121" t="s">
        <v>170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171</v>
      </c>
      <c r="E32" s="8"/>
      <c r="F32" s="50" t="s">
        <v>172</v>
      </c>
      <c r="G32" s="8"/>
      <c r="H32" s="50" t="s">
        <v>173</v>
      </c>
      <c r="I32" s="8"/>
      <c r="J32" s="50" t="s">
        <v>174</v>
      </c>
      <c r="K32" s="8"/>
      <c r="L32" s="50" t="s">
        <v>175</v>
      </c>
      <c r="M32" s="8"/>
      <c r="N32" s="97" t="s">
        <v>176</v>
      </c>
      <c r="O32" s="120" t="s">
        <v>177</v>
      </c>
      <c r="P32" s="50" t="s">
        <v>178</v>
      </c>
      <c r="Q32" s="8"/>
      <c r="R32" s="120" t="s">
        <v>177</v>
      </c>
      <c r="S32" s="50" t="s">
        <v>179</v>
      </c>
      <c r="T32" s="8"/>
      <c r="U32" s="62"/>
      <c r="V32" s="64"/>
      <c r="W32" s="62"/>
      <c r="X32" s="64"/>
      <c r="Y32" s="122" t="s">
        <v>180</v>
      </c>
      <c r="Z32" s="123"/>
      <c r="AA32" s="124" t="s">
        <v>181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3" t="s">
        <v>160</v>
      </c>
      <c r="E33" s="83" t="s">
        <v>161</v>
      </c>
      <c r="F33" s="83" t="s">
        <v>160</v>
      </c>
      <c r="G33" s="83" t="s">
        <v>161</v>
      </c>
      <c r="H33" s="83" t="s">
        <v>182</v>
      </c>
      <c r="I33" s="83" t="s">
        <v>183</v>
      </c>
      <c r="J33" s="83" t="s">
        <v>182</v>
      </c>
      <c r="K33" s="83" t="s">
        <v>184</v>
      </c>
      <c r="L33" s="83" t="s">
        <v>182</v>
      </c>
      <c r="M33" s="83" t="s">
        <v>183</v>
      </c>
      <c r="N33" s="10"/>
      <c r="O33" s="125" t="s">
        <v>185</v>
      </c>
      <c r="P33" s="83" t="s">
        <v>186</v>
      </c>
      <c r="Q33" s="83" t="s">
        <v>187</v>
      </c>
      <c r="R33" s="125" t="s">
        <v>188</v>
      </c>
      <c r="S33" s="83" t="s">
        <v>186</v>
      </c>
      <c r="T33" s="83" t="s">
        <v>187</v>
      </c>
      <c r="U33" s="83" t="s">
        <v>189</v>
      </c>
      <c r="V33" s="83" t="s">
        <v>187</v>
      </c>
      <c r="W33" s="83" t="s">
        <v>189</v>
      </c>
      <c r="X33" s="83" t="s">
        <v>187</v>
      </c>
      <c r="Y33" s="83" t="s">
        <v>189</v>
      </c>
      <c r="Z33" s="50" t="s">
        <v>187</v>
      </c>
      <c r="AA33" s="126"/>
      <c r="AB33" s="127" t="s">
        <v>160</v>
      </c>
      <c r="AC33" s="83" t="s">
        <v>190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8">
        <v>1.0</v>
      </c>
      <c r="B34" s="128">
        <v>2.0</v>
      </c>
      <c r="C34" s="129">
        <v>3.0</v>
      </c>
      <c r="D34" s="128">
        <v>4.0</v>
      </c>
      <c r="E34" s="128">
        <v>5.0</v>
      </c>
      <c r="F34" s="128">
        <v>6.0</v>
      </c>
      <c r="G34" s="128">
        <v>7.0</v>
      </c>
      <c r="H34" s="128">
        <v>8.0</v>
      </c>
      <c r="I34" s="130">
        <v>9.0</v>
      </c>
      <c r="J34" s="130">
        <v>10.0</v>
      </c>
      <c r="K34" s="130">
        <v>11.0</v>
      </c>
      <c r="L34" s="130">
        <v>12.0</v>
      </c>
      <c r="M34" s="130">
        <v>0.0</v>
      </c>
      <c r="N34" s="130">
        <v>14.0</v>
      </c>
      <c r="O34" s="131">
        <v>15.0</v>
      </c>
      <c r="P34" s="130">
        <v>16.0</v>
      </c>
      <c r="Q34" s="130">
        <v>17.0</v>
      </c>
      <c r="R34" s="131">
        <v>18.0</v>
      </c>
      <c r="S34" s="130">
        <v>19.0</v>
      </c>
      <c r="T34" s="130">
        <v>20.0</v>
      </c>
      <c r="U34" s="128">
        <v>21.0</v>
      </c>
      <c r="V34" s="128">
        <v>22.0</v>
      </c>
      <c r="W34" s="128">
        <v>23.0</v>
      </c>
      <c r="X34" s="128">
        <v>24.0</v>
      </c>
      <c r="Y34" s="128">
        <v>25.0</v>
      </c>
      <c r="Z34" s="132">
        <v>26.0</v>
      </c>
      <c r="AA34" s="133">
        <v>27.0</v>
      </c>
      <c r="AB34" s="134">
        <v>28.0</v>
      </c>
      <c r="AC34" s="12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5">
        <v>45658.0</v>
      </c>
      <c r="B35" s="136">
        <v>76.0</v>
      </c>
      <c r="C35" s="137">
        <v>146.0</v>
      </c>
      <c r="D35" s="136">
        <v>76.0</v>
      </c>
      <c r="E35" s="136">
        <v>146.0</v>
      </c>
      <c r="F35" s="136">
        <v>0.0</v>
      </c>
      <c r="G35" s="136">
        <v>0.0</v>
      </c>
      <c r="H35" s="102">
        <v>76.0</v>
      </c>
      <c r="I35" s="138">
        <v>0.0</v>
      </c>
      <c r="J35" s="138">
        <v>76.0</v>
      </c>
      <c r="K35" s="138">
        <v>0.0</v>
      </c>
      <c r="L35" s="138">
        <v>76.0</v>
      </c>
      <c r="M35" s="138">
        <v>0.0</v>
      </c>
      <c r="N35" s="138">
        <v>0.0</v>
      </c>
      <c r="O35" s="107">
        <v>76.0</v>
      </c>
      <c r="P35" s="107">
        <v>76.0</v>
      </c>
      <c r="Q35" s="107">
        <v>0.0</v>
      </c>
      <c r="R35" s="107">
        <v>0.0</v>
      </c>
      <c r="S35" s="107">
        <v>0.0</v>
      </c>
      <c r="T35" s="107">
        <v>0.0</v>
      </c>
      <c r="U35" s="136">
        <v>9.0</v>
      </c>
      <c r="V35" s="136">
        <v>0.0</v>
      </c>
      <c r="W35" s="136">
        <v>4.0</v>
      </c>
      <c r="X35" s="136">
        <v>0.0</v>
      </c>
      <c r="Y35" s="136">
        <v>1.0</v>
      </c>
      <c r="Z35" s="136">
        <v>3.0</v>
      </c>
      <c r="AA35" s="136">
        <v>4.0</v>
      </c>
      <c r="AB35" s="136">
        <v>0.0</v>
      </c>
      <c r="AC35" s="136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5">
        <v>45689.0</v>
      </c>
      <c r="B36" s="136">
        <v>76.0</v>
      </c>
      <c r="C36" s="137">
        <v>146.0</v>
      </c>
      <c r="D36" s="136">
        <v>76.0</v>
      </c>
      <c r="E36" s="104"/>
      <c r="F36" s="107">
        <v>0.0</v>
      </c>
      <c r="G36" s="107">
        <v>0.0</v>
      </c>
      <c r="H36" s="102">
        <v>75.0</v>
      </c>
      <c r="I36" s="107">
        <v>1.0</v>
      </c>
      <c r="J36" s="138">
        <v>75.0</v>
      </c>
      <c r="K36" s="107">
        <v>1.0</v>
      </c>
      <c r="L36" s="138">
        <v>76.0</v>
      </c>
      <c r="M36" s="107">
        <v>0.0</v>
      </c>
      <c r="N36" s="107">
        <v>0.0</v>
      </c>
      <c r="O36" s="107">
        <v>76.0</v>
      </c>
      <c r="P36" s="107">
        <v>76.0</v>
      </c>
      <c r="Q36" s="107">
        <v>0.0</v>
      </c>
      <c r="R36" s="107">
        <v>0.0</v>
      </c>
      <c r="S36" s="107">
        <v>0.0</v>
      </c>
      <c r="T36" s="107">
        <v>0.0</v>
      </c>
      <c r="U36" s="107">
        <v>12.0</v>
      </c>
      <c r="V36" s="107">
        <v>0.0</v>
      </c>
      <c r="W36" s="107">
        <v>1.0</v>
      </c>
      <c r="X36" s="107">
        <v>0.0</v>
      </c>
      <c r="Y36" s="107">
        <v>0.0</v>
      </c>
      <c r="Z36" s="107">
        <v>1.0</v>
      </c>
      <c r="AA36" s="107">
        <v>1.0</v>
      </c>
      <c r="AB36" s="107">
        <v>0.0</v>
      </c>
      <c r="AC36" s="10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5">
        <v>45717.0</v>
      </c>
      <c r="B37" s="136">
        <v>76.0</v>
      </c>
      <c r="C37" s="137">
        <v>146.0</v>
      </c>
      <c r="D37" s="136">
        <v>76.0</v>
      </c>
      <c r="E37" s="104"/>
      <c r="F37" s="107">
        <v>0.0</v>
      </c>
      <c r="G37" s="107">
        <v>0.0</v>
      </c>
      <c r="H37" s="102">
        <v>76.0</v>
      </c>
      <c r="I37" s="107">
        <v>0.0</v>
      </c>
      <c r="J37" s="138">
        <v>76.0</v>
      </c>
      <c r="K37" s="107">
        <v>0.0</v>
      </c>
      <c r="L37" s="138">
        <v>76.0</v>
      </c>
      <c r="M37" s="107">
        <v>0.0</v>
      </c>
      <c r="N37" s="107">
        <v>0.0</v>
      </c>
      <c r="O37" s="107">
        <v>76.0</v>
      </c>
      <c r="P37" s="107">
        <v>76.0</v>
      </c>
      <c r="Q37" s="107">
        <v>0.0</v>
      </c>
      <c r="R37" s="107">
        <v>0.0</v>
      </c>
      <c r="S37" s="107">
        <v>0.0</v>
      </c>
      <c r="T37" s="107">
        <v>0.0</v>
      </c>
      <c r="U37" s="107">
        <v>11.0</v>
      </c>
      <c r="V37" s="107">
        <v>0.0</v>
      </c>
      <c r="W37" s="107">
        <v>4.0</v>
      </c>
      <c r="X37" s="107">
        <v>0.0</v>
      </c>
      <c r="Y37" s="107">
        <v>0.0</v>
      </c>
      <c r="Z37" s="107">
        <v>4.0</v>
      </c>
      <c r="AA37" s="107">
        <v>4.0</v>
      </c>
      <c r="AB37" s="107">
        <v>0.0</v>
      </c>
      <c r="AC37" s="10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5">
        <v>45748.0</v>
      </c>
      <c r="B38" s="136">
        <v>76.0</v>
      </c>
      <c r="C38" s="137">
        <v>146.0</v>
      </c>
      <c r="D38" s="136">
        <v>76.0</v>
      </c>
      <c r="E38" s="104"/>
      <c r="F38" s="107">
        <v>0.0</v>
      </c>
      <c r="G38" s="107">
        <v>0.0</v>
      </c>
      <c r="H38" s="102">
        <v>76.0</v>
      </c>
      <c r="I38" s="107">
        <v>0.0</v>
      </c>
      <c r="J38" s="138">
        <v>76.0</v>
      </c>
      <c r="K38" s="107">
        <v>0.0</v>
      </c>
      <c r="L38" s="138">
        <v>76.0</v>
      </c>
      <c r="M38" s="107">
        <v>0.0</v>
      </c>
      <c r="N38" s="107">
        <v>0.0</v>
      </c>
      <c r="O38" s="107">
        <v>76.0</v>
      </c>
      <c r="P38" s="107">
        <v>76.0</v>
      </c>
      <c r="Q38" s="107">
        <v>0.0</v>
      </c>
      <c r="R38" s="107">
        <v>0.0</v>
      </c>
      <c r="S38" s="107">
        <v>0.0</v>
      </c>
      <c r="T38" s="107">
        <v>0.0</v>
      </c>
      <c r="U38" s="107">
        <v>12.0</v>
      </c>
      <c r="V38" s="107">
        <v>0.0</v>
      </c>
      <c r="W38" s="107">
        <v>8.0</v>
      </c>
      <c r="X38" s="107">
        <v>0.0</v>
      </c>
      <c r="Y38" s="107">
        <v>2.0</v>
      </c>
      <c r="Z38" s="107">
        <v>8.0</v>
      </c>
      <c r="AA38" s="107">
        <v>8.0</v>
      </c>
      <c r="AB38" s="107">
        <v>0.0</v>
      </c>
      <c r="AC38" s="10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5">
        <v>45778.0</v>
      </c>
      <c r="B39" s="136">
        <v>76.0</v>
      </c>
      <c r="C39" s="137">
        <v>146.0</v>
      </c>
      <c r="D39" s="136">
        <v>76.0</v>
      </c>
      <c r="E39" s="104"/>
      <c r="F39" s="107">
        <v>0.0</v>
      </c>
      <c r="G39" s="107">
        <v>0.0</v>
      </c>
      <c r="H39" s="102">
        <v>76.0</v>
      </c>
      <c r="I39" s="107">
        <v>0.0</v>
      </c>
      <c r="J39" s="138">
        <v>76.0</v>
      </c>
      <c r="K39" s="107">
        <v>0.0</v>
      </c>
      <c r="L39" s="138">
        <v>76.0</v>
      </c>
      <c r="M39" s="107">
        <v>0.0</v>
      </c>
      <c r="N39" s="107">
        <v>0.0</v>
      </c>
      <c r="O39" s="107">
        <v>76.0</v>
      </c>
      <c r="P39" s="107">
        <v>76.0</v>
      </c>
      <c r="Q39" s="107">
        <v>0.0</v>
      </c>
      <c r="R39" s="107">
        <v>0.0</v>
      </c>
      <c r="S39" s="107">
        <v>0.0</v>
      </c>
      <c r="T39" s="107">
        <v>0.0</v>
      </c>
      <c r="U39" s="107">
        <v>10.0</v>
      </c>
      <c r="V39" s="107">
        <v>0.0</v>
      </c>
      <c r="W39" s="107">
        <v>4.0</v>
      </c>
      <c r="X39" s="107">
        <v>0.0</v>
      </c>
      <c r="Y39" s="107">
        <v>0.0</v>
      </c>
      <c r="Z39" s="107">
        <v>4.0</v>
      </c>
      <c r="AA39" s="107">
        <v>4.0</v>
      </c>
      <c r="AB39" s="107">
        <v>0.0</v>
      </c>
      <c r="AC39" s="10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5">
        <v>45809.0</v>
      </c>
      <c r="B40" s="136">
        <v>76.0</v>
      </c>
      <c r="C40" s="137">
        <v>146.0</v>
      </c>
      <c r="D40" s="136">
        <v>76.0</v>
      </c>
      <c r="E40" s="104"/>
      <c r="F40" s="107">
        <v>0.0</v>
      </c>
      <c r="G40" s="107">
        <v>0.0</v>
      </c>
      <c r="H40" s="102">
        <v>76.0</v>
      </c>
      <c r="I40" s="107">
        <v>0.0</v>
      </c>
      <c r="J40" s="138">
        <v>76.0</v>
      </c>
      <c r="K40" s="107">
        <v>0.0</v>
      </c>
      <c r="L40" s="138">
        <v>76.0</v>
      </c>
      <c r="M40" s="107">
        <v>0.0</v>
      </c>
      <c r="N40" s="107">
        <v>0.0</v>
      </c>
      <c r="O40" s="107">
        <v>76.0</v>
      </c>
      <c r="P40" s="107">
        <v>76.0</v>
      </c>
      <c r="Q40" s="107">
        <v>0.0</v>
      </c>
      <c r="R40" s="107">
        <v>0.0</v>
      </c>
      <c r="S40" s="107">
        <v>0.0</v>
      </c>
      <c r="T40" s="107">
        <v>0.0</v>
      </c>
      <c r="U40" s="107">
        <v>9.0</v>
      </c>
      <c r="V40" s="107">
        <v>0.0</v>
      </c>
      <c r="W40" s="107">
        <v>4.0</v>
      </c>
      <c r="X40" s="107">
        <v>0.0</v>
      </c>
      <c r="Y40" s="107">
        <v>0.0</v>
      </c>
      <c r="Z40" s="107">
        <v>4.0</v>
      </c>
      <c r="AA40" s="107">
        <v>4.0</v>
      </c>
      <c r="AB40" s="107">
        <v>0.0</v>
      </c>
      <c r="AC40" s="107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5">
        <v>45839.0</v>
      </c>
      <c r="B41" s="136">
        <v>76.0</v>
      </c>
      <c r="C41" s="137">
        <v>146.0</v>
      </c>
      <c r="D41" s="136">
        <v>76.0</v>
      </c>
      <c r="E41" s="104"/>
      <c r="F41" s="107">
        <v>0.0</v>
      </c>
      <c r="G41" s="107">
        <v>0.0</v>
      </c>
      <c r="H41" s="102">
        <v>75.0</v>
      </c>
      <c r="I41" s="107">
        <v>1.0</v>
      </c>
      <c r="J41" s="138">
        <v>75.0</v>
      </c>
      <c r="K41" s="107">
        <v>1.0</v>
      </c>
      <c r="L41" s="138">
        <v>76.0</v>
      </c>
      <c r="M41" s="107">
        <v>0.0</v>
      </c>
      <c r="N41" s="107">
        <v>0.0</v>
      </c>
      <c r="O41" s="107">
        <v>76.0</v>
      </c>
      <c r="P41" s="107">
        <v>76.0</v>
      </c>
      <c r="Q41" s="107">
        <v>0.0</v>
      </c>
      <c r="R41" s="107">
        <v>0.0</v>
      </c>
      <c r="S41" s="107">
        <v>0.0</v>
      </c>
      <c r="T41" s="107">
        <v>0.0</v>
      </c>
      <c r="U41" s="107">
        <v>9.0</v>
      </c>
      <c r="V41" s="107">
        <v>0.0</v>
      </c>
      <c r="W41" s="107">
        <v>5.0</v>
      </c>
      <c r="X41" s="107">
        <v>0.0</v>
      </c>
      <c r="Y41" s="107">
        <v>0.0</v>
      </c>
      <c r="Z41" s="107">
        <v>5.0</v>
      </c>
      <c r="AA41" s="107">
        <v>5.0</v>
      </c>
      <c r="AB41" s="107">
        <v>0.0</v>
      </c>
      <c r="AC41" s="107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5">
        <v>45870.0</v>
      </c>
      <c r="B42" s="136">
        <v>76.0</v>
      </c>
      <c r="C42" s="137">
        <v>146.0</v>
      </c>
      <c r="D42" s="136">
        <v>76.0</v>
      </c>
      <c r="E42" s="104"/>
      <c r="F42" s="107">
        <v>0.0</v>
      </c>
      <c r="G42" s="107">
        <v>0.0</v>
      </c>
      <c r="H42" s="102">
        <v>76.0</v>
      </c>
      <c r="I42" s="107">
        <v>0.0</v>
      </c>
      <c r="J42" s="138">
        <v>76.0</v>
      </c>
      <c r="K42" s="107">
        <v>0.0</v>
      </c>
      <c r="L42" s="138">
        <v>76.0</v>
      </c>
      <c r="M42" s="107">
        <v>0.0</v>
      </c>
      <c r="N42" s="107">
        <v>0.0</v>
      </c>
      <c r="O42" s="107">
        <v>76.0</v>
      </c>
      <c r="P42" s="107">
        <v>76.0</v>
      </c>
      <c r="Q42" s="107">
        <v>0.0</v>
      </c>
      <c r="R42" s="107">
        <v>0.0</v>
      </c>
      <c r="S42" s="107">
        <v>0.0</v>
      </c>
      <c r="T42" s="107">
        <v>0.0</v>
      </c>
      <c r="U42" s="107">
        <v>12.0</v>
      </c>
      <c r="V42" s="107">
        <v>0.0</v>
      </c>
      <c r="W42" s="107">
        <v>6.0</v>
      </c>
      <c r="X42" s="107">
        <v>0.0</v>
      </c>
      <c r="Y42" s="107">
        <v>1.0</v>
      </c>
      <c r="Z42" s="107">
        <v>6.0</v>
      </c>
      <c r="AA42" s="107">
        <v>6.0</v>
      </c>
      <c r="AB42" s="107">
        <v>0.0</v>
      </c>
      <c r="AC42" s="107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5">
        <v>45901.0</v>
      </c>
      <c r="B43" s="136">
        <v>76.0</v>
      </c>
      <c r="C43" s="137">
        <v>146.0</v>
      </c>
      <c r="D43" s="136">
        <v>76.0</v>
      </c>
      <c r="E43" s="104"/>
      <c r="F43" s="107">
        <v>0.0</v>
      </c>
      <c r="G43" s="107">
        <v>0.0</v>
      </c>
      <c r="H43" s="102">
        <v>76.0</v>
      </c>
      <c r="I43" s="107">
        <v>0.0</v>
      </c>
      <c r="J43" s="138">
        <v>76.0</v>
      </c>
      <c r="K43" s="107">
        <v>0.0</v>
      </c>
      <c r="L43" s="138">
        <v>76.0</v>
      </c>
      <c r="M43" s="107">
        <v>0.0</v>
      </c>
      <c r="N43" s="107">
        <v>0.0</v>
      </c>
      <c r="O43" s="107">
        <v>76.0</v>
      </c>
      <c r="P43" s="107">
        <v>76.0</v>
      </c>
      <c r="Q43" s="107">
        <v>0.0</v>
      </c>
      <c r="R43" s="107">
        <v>0.0</v>
      </c>
      <c r="S43" s="107">
        <v>0.0</v>
      </c>
      <c r="T43" s="107">
        <v>0.0</v>
      </c>
      <c r="U43" s="107">
        <v>11.0</v>
      </c>
      <c r="V43" s="107">
        <v>0.0</v>
      </c>
      <c r="W43" s="107">
        <v>7.0</v>
      </c>
      <c r="X43" s="107">
        <v>0.0</v>
      </c>
      <c r="Y43" s="107">
        <v>2.0</v>
      </c>
      <c r="Z43" s="107">
        <v>7.0</v>
      </c>
      <c r="AA43" s="107">
        <v>7.0</v>
      </c>
      <c r="AB43" s="107">
        <v>0.0</v>
      </c>
      <c r="AC43" s="107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5">
        <v>45931.0</v>
      </c>
      <c r="B44" s="136">
        <v>76.0</v>
      </c>
      <c r="C44" s="137">
        <v>146.0</v>
      </c>
      <c r="D44" s="136">
        <v>76.0</v>
      </c>
      <c r="E44" s="104"/>
      <c r="F44" s="107">
        <v>0.0</v>
      </c>
      <c r="G44" s="107">
        <v>0.0</v>
      </c>
      <c r="H44" s="102">
        <v>76.0</v>
      </c>
      <c r="I44" s="107">
        <v>0.0</v>
      </c>
      <c r="J44" s="138">
        <v>76.0</v>
      </c>
      <c r="K44" s="107">
        <v>0.0</v>
      </c>
      <c r="L44" s="138">
        <v>76.0</v>
      </c>
      <c r="M44" s="107">
        <v>0.0</v>
      </c>
      <c r="N44" s="107">
        <v>0.0</v>
      </c>
      <c r="O44" s="107">
        <v>76.0</v>
      </c>
      <c r="P44" s="107">
        <v>76.0</v>
      </c>
      <c r="Q44" s="107">
        <v>0.0</v>
      </c>
      <c r="R44" s="107">
        <v>0.0</v>
      </c>
      <c r="S44" s="107">
        <v>0.0</v>
      </c>
      <c r="T44" s="107">
        <v>0.0</v>
      </c>
      <c r="U44" s="107">
        <v>13.0</v>
      </c>
      <c r="V44" s="107">
        <v>0.0</v>
      </c>
      <c r="W44" s="107">
        <v>2.0</v>
      </c>
      <c r="X44" s="107">
        <v>0.0</v>
      </c>
      <c r="Y44" s="107">
        <v>0.0</v>
      </c>
      <c r="Z44" s="107">
        <v>2.0</v>
      </c>
      <c r="AA44" s="107">
        <v>2.0</v>
      </c>
      <c r="AB44" s="107">
        <v>0.0</v>
      </c>
      <c r="AC44" s="107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5">
        <v>45962.0</v>
      </c>
      <c r="B45" s="136">
        <v>76.0</v>
      </c>
      <c r="C45" s="137">
        <v>146.0</v>
      </c>
      <c r="D45" s="136">
        <v>76.0</v>
      </c>
      <c r="E45" s="104"/>
      <c r="F45" s="107">
        <v>0.0</v>
      </c>
      <c r="G45" s="107">
        <v>0.0</v>
      </c>
      <c r="H45" s="102">
        <v>76.0</v>
      </c>
      <c r="I45" s="107">
        <v>0.0</v>
      </c>
      <c r="J45" s="138">
        <v>76.0</v>
      </c>
      <c r="K45" s="107">
        <v>0.0</v>
      </c>
      <c r="L45" s="138">
        <v>76.0</v>
      </c>
      <c r="M45" s="107">
        <v>0.0</v>
      </c>
      <c r="N45" s="107">
        <v>0.0</v>
      </c>
      <c r="O45" s="107">
        <v>76.0</v>
      </c>
      <c r="P45" s="107">
        <v>76.0</v>
      </c>
      <c r="Q45" s="107">
        <v>0.0</v>
      </c>
      <c r="R45" s="107">
        <v>0.0</v>
      </c>
      <c r="S45" s="107">
        <v>0.0</v>
      </c>
      <c r="T45" s="107">
        <v>0.0</v>
      </c>
      <c r="U45" s="107">
        <v>11.0</v>
      </c>
      <c r="V45" s="107">
        <v>0.0</v>
      </c>
      <c r="W45" s="107">
        <v>1.0</v>
      </c>
      <c r="X45" s="107">
        <v>0.0</v>
      </c>
      <c r="Y45" s="107">
        <v>0.0</v>
      </c>
      <c r="Z45" s="107">
        <v>1.0</v>
      </c>
      <c r="AA45" s="107">
        <v>1.0</v>
      </c>
      <c r="AB45" s="107">
        <v>0.0</v>
      </c>
      <c r="AC45" s="107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5">
        <v>45992.0</v>
      </c>
      <c r="B46" s="136">
        <v>76.0</v>
      </c>
      <c r="C46" s="137">
        <v>146.0</v>
      </c>
      <c r="D46" s="136">
        <v>76.0</v>
      </c>
      <c r="E46" s="104"/>
      <c r="F46" s="107">
        <v>0.0</v>
      </c>
      <c r="G46" s="107">
        <v>0.0</v>
      </c>
      <c r="H46" s="102">
        <v>76.0</v>
      </c>
      <c r="I46" s="107">
        <v>0.0</v>
      </c>
      <c r="J46" s="138">
        <v>76.0</v>
      </c>
      <c r="K46" s="107">
        <v>0.0</v>
      </c>
      <c r="L46" s="138">
        <v>75.0</v>
      </c>
      <c r="M46" s="107">
        <v>1.0</v>
      </c>
      <c r="N46" s="107">
        <v>0.0</v>
      </c>
      <c r="O46" s="107">
        <v>76.0</v>
      </c>
      <c r="P46" s="107">
        <v>76.0</v>
      </c>
      <c r="Q46" s="107">
        <v>0.0</v>
      </c>
      <c r="R46" s="107">
        <v>0.0</v>
      </c>
      <c r="S46" s="107">
        <v>0.0</v>
      </c>
      <c r="T46" s="107">
        <v>0.0</v>
      </c>
      <c r="U46" s="107">
        <v>10.0</v>
      </c>
      <c r="V46" s="107">
        <v>0.0</v>
      </c>
      <c r="W46" s="107">
        <v>4.0</v>
      </c>
      <c r="X46" s="107">
        <v>0.0</v>
      </c>
      <c r="Y46" s="107">
        <v>0.0</v>
      </c>
      <c r="Z46" s="107">
        <v>4.0</v>
      </c>
      <c r="AA46" s="107">
        <v>4.0</v>
      </c>
      <c r="AB46" s="107">
        <v>0.0</v>
      </c>
      <c r="AC46" s="107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4"/>
      <c r="B47" s="136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7"/>
      <c r="V47" s="107"/>
      <c r="W47" s="107"/>
      <c r="X47" s="107"/>
      <c r="Y47" s="104"/>
      <c r="Z47" s="104"/>
      <c r="AA47" s="104"/>
      <c r="AB47" s="104"/>
      <c r="AC47" s="10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>
        <f t="shared" ref="B48:E48" si="2">sum(B35:B46)</f>
        <v>912</v>
      </c>
      <c r="C48" s="2">
        <f t="shared" si="2"/>
        <v>1752</v>
      </c>
      <c r="D48" s="2">
        <f t="shared" si="2"/>
        <v>912</v>
      </c>
      <c r="E48" s="2">
        <f t="shared" si="2"/>
        <v>146</v>
      </c>
      <c r="F48" s="2"/>
      <c r="G48" s="2"/>
      <c r="H48" s="2">
        <f t="shared" ref="H48:K48" si="3">sum(H35:H46)</f>
        <v>910</v>
      </c>
      <c r="I48" s="2">
        <f t="shared" si="3"/>
        <v>2</v>
      </c>
      <c r="J48" s="2">
        <f t="shared" si="3"/>
        <v>910</v>
      </c>
      <c r="K48" s="2">
        <f t="shared" si="3"/>
        <v>2</v>
      </c>
      <c r="L48" s="34">
        <v>911.0</v>
      </c>
      <c r="M48" s="34">
        <f>sum(M35:M46)</f>
        <v>1</v>
      </c>
      <c r="N48" s="2"/>
      <c r="O48" s="2">
        <f t="shared" ref="O48:P48" si="4">sum(O35:O46)</f>
        <v>912</v>
      </c>
      <c r="P48" s="2">
        <f t="shared" si="4"/>
        <v>912</v>
      </c>
      <c r="Q48" s="2"/>
      <c r="R48" s="2"/>
      <c r="S48" s="2"/>
      <c r="T48" s="2"/>
      <c r="U48" s="2">
        <f>sum(U35:U46)</f>
        <v>129</v>
      </c>
      <c r="V48" s="2"/>
      <c r="W48" s="2">
        <f>sum(W35:W46)</f>
        <v>50</v>
      </c>
      <c r="X48" s="2"/>
      <c r="Y48" s="2">
        <f t="shared" ref="Y48:AA48" si="5">sum(Y35:Y46)</f>
        <v>6</v>
      </c>
      <c r="Z48" s="2">
        <f t="shared" si="5"/>
        <v>49</v>
      </c>
      <c r="AA48" s="2">
        <f t="shared" si="5"/>
        <v>50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3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4">
        <v>0.0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7" t="s">
        <v>191</v>
      </c>
      <c r="B50" s="96"/>
      <c r="C50" s="96"/>
      <c r="D50" s="96"/>
      <c r="E50" s="96"/>
      <c r="F50" s="96"/>
      <c r="G50" s="96"/>
      <c r="H50" s="9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7" t="s">
        <v>159</v>
      </c>
      <c r="B51" s="97" t="s">
        <v>192</v>
      </c>
      <c r="C51" s="97" t="s">
        <v>193</v>
      </c>
      <c r="D51" s="50" t="s">
        <v>162</v>
      </c>
      <c r="E51" s="31"/>
      <c r="F51" s="31"/>
      <c r="G51" s="8"/>
      <c r="H51" s="50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98" t="s">
        <v>194</v>
      </c>
      <c r="X51" s="56"/>
      <c r="Y51" s="56"/>
      <c r="Z51" s="56"/>
      <c r="AA51" s="56"/>
      <c r="AB51" s="56"/>
      <c r="AC51" s="57"/>
      <c r="AD51" s="97" t="s">
        <v>195</v>
      </c>
      <c r="AE51" s="50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9" t="s">
        <v>197</v>
      </c>
      <c r="C52" s="139" t="s">
        <v>198</v>
      </c>
      <c r="D52" s="50" t="s">
        <v>171</v>
      </c>
      <c r="E52" s="8"/>
      <c r="F52" s="50" t="s">
        <v>172</v>
      </c>
      <c r="G52" s="8"/>
      <c r="H52" s="50" t="s">
        <v>199</v>
      </c>
      <c r="I52" s="8"/>
      <c r="J52" s="50" t="s">
        <v>200</v>
      </c>
      <c r="K52" s="31"/>
      <c r="L52" s="31"/>
      <c r="M52" s="8"/>
      <c r="N52" s="140" t="s">
        <v>201</v>
      </c>
      <c r="O52" s="8"/>
      <c r="P52" s="50" t="s">
        <v>202</v>
      </c>
      <c r="Q52" s="8"/>
      <c r="R52" s="141" t="s">
        <v>203</v>
      </c>
      <c r="S52" s="8"/>
      <c r="T52" s="110" t="s">
        <v>174</v>
      </c>
      <c r="U52" s="8"/>
      <c r="V52" s="142" t="s">
        <v>176</v>
      </c>
      <c r="W52" s="62"/>
      <c r="X52" s="63"/>
      <c r="Y52" s="63"/>
      <c r="Z52" s="63"/>
      <c r="AA52" s="63"/>
      <c r="AB52" s="63"/>
      <c r="AC52" s="64"/>
      <c r="AD52" s="61"/>
      <c r="AE52" s="102" t="s">
        <v>192</v>
      </c>
      <c r="AF52" s="102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3"/>
      <c r="C53" s="144" t="s">
        <v>205</v>
      </c>
      <c r="D53" s="83" t="s">
        <v>192</v>
      </c>
      <c r="E53" s="83" t="s">
        <v>206</v>
      </c>
      <c r="F53" s="83" t="s">
        <v>192</v>
      </c>
      <c r="G53" s="83" t="s">
        <v>206</v>
      </c>
      <c r="H53" s="83" t="s">
        <v>207</v>
      </c>
      <c r="I53" s="83" t="s">
        <v>208</v>
      </c>
      <c r="J53" s="83" t="s">
        <v>209</v>
      </c>
      <c r="K53" s="83" t="s">
        <v>210</v>
      </c>
      <c r="L53" s="83" t="s">
        <v>211</v>
      </c>
      <c r="M53" s="83" t="s">
        <v>212</v>
      </c>
      <c r="N53" s="145" t="s">
        <v>213</v>
      </c>
      <c r="O53" s="146" t="s">
        <v>214</v>
      </c>
      <c r="P53" s="83" t="s">
        <v>211</v>
      </c>
      <c r="Q53" s="83" t="s">
        <v>212</v>
      </c>
      <c r="R53" s="125" t="s">
        <v>213</v>
      </c>
      <c r="S53" s="83" t="s">
        <v>214</v>
      </c>
      <c r="T53" s="83" t="s">
        <v>213</v>
      </c>
      <c r="U53" s="83" t="s">
        <v>214</v>
      </c>
      <c r="V53" s="83" t="s">
        <v>215</v>
      </c>
      <c r="W53" s="83" t="s">
        <v>216</v>
      </c>
      <c r="X53" s="83" t="s">
        <v>217</v>
      </c>
      <c r="Y53" s="147" t="s">
        <v>218</v>
      </c>
      <c r="Z53" s="50" t="s">
        <v>219</v>
      </c>
      <c r="AA53" s="126" t="s">
        <v>220</v>
      </c>
      <c r="AB53" s="127" t="s">
        <v>221</v>
      </c>
      <c r="AC53" s="83" t="s">
        <v>222</v>
      </c>
      <c r="AD53" s="10"/>
      <c r="AE53" s="102" t="s">
        <v>223</v>
      </c>
      <c r="AF53" s="102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8">
        <v>1.0</v>
      </c>
      <c r="B54" s="128">
        <v>2.0</v>
      </c>
      <c r="C54" s="129">
        <v>3.0</v>
      </c>
      <c r="D54" s="128">
        <v>4.0</v>
      </c>
      <c r="E54" s="128">
        <v>5.0</v>
      </c>
      <c r="F54" s="128">
        <v>6.0</v>
      </c>
      <c r="G54" s="128">
        <v>7.0</v>
      </c>
      <c r="H54" s="128">
        <v>8.0</v>
      </c>
      <c r="I54" s="130">
        <v>9.0</v>
      </c>
      <c r="J54" s="130">
        <v>10.0</v>
      </c>
      <c r="K54" s="130">
        <v>11.0</v>
      </c>
      <c r="L54" s="130">
        <v>12.0</v>
      </c>
      <c r="M54" s="130">
        <v>13.0</v>
      </c>
      <c r="N54" s="130">
        <v>14.0</v>
      </c>
      <c r="O54" s="131">
        <v>15.0</v>
      </c>
      <c r="P54" s="130">
        <v>16.0</v>
      </c>
      <c r="Q54" s="130">
        <v>17.0</v>
      </c>
      <c r="R54" s="131">
        <v>18.0</v>
      </c>
      <c r="S54" s="130">
        <v>19.0</v>
      </c>
      <c r="T54" s="130">
        <v>20.0</v>
      </c>
      <c r="U54" s="128">
        <v>21.0</v>
      </c>
      <c r="V54" s="128">
        <v>22.0</v>
      </c>
      <c r="W54" s="128">
        <v>23.0</v>
      </c>
      <c r="X54" s="128">
        <v>24.0</v>
      </c>
      <c r="Y54" s="128">
        <v>25.0</v>
      </c>
      <c r="Z54" s="132">
        <v>26.0</v>
      </c>
      <c r="AA54" s="133">
        <v>27.0</v>
      </c>
      <c r="AB54" s="134">
        <v>28.0</v>
      </c>
      <c r="AC54" s="128">
        <v>29.0</v>
      </c>
      <c r="AD54" s="128">
        <v>30.0</v>
      </c>
      <c r="AE54" s="128">
        <v>31.0</v>
      </c>
      <c r="AF54" s="12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5"/>
      <c r="B55" s="136"/>
      <c r="C55" s="137"/>
      <c r="D55" s="136"/>
      <c r="E55" s="136"/>
      <c r="F55" s="136"/>
      <c r="G55" s="136"/>
      <c r="H55" s="148"/>
      <c r="I55" s="149"/>
      <c r="J55" s="149"/>
      <c r="K55" s="149"/>
      <c r="L55" s="107"/>
      <c r="M55" s="138"/>
      <c r="N55" s="107"/>
      <c r="O55" s="107"/>
      <c r="P55" s="107"/>
      <c r="Q55" s="107"/>
      <c r="R55" s="107"/>
      <c r="S55" s="107"/>
      <c r="T55" s="107"/>
      <c r="U55" s="136"/>
      <c r="V55" s="150"/>
      <c r="W55" s="136"/>
      <c r="X55" s="150"/>
      <c r="Y55" s="150"/>
      <c r="Z55" s="136"/>
      <c r="AA55" s="136"/>
      <c r="AB55" s="136"/>
      <c r="AC55" s="150"/>
      <c r="AD55" s="104"/>
      <c r="AE55" s="104"/>
      <c r="AF55" s="10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5">
        <v>45658.0</v>
      </c>
      <c r="B56" s="136">
        <v>34.0</v>
      </c>
      <c r="C56" s="137">
        <v>306.0</v>
      </c>
      <c r="D56" s="136">
        <v>67.0</v>
      </c>
      <c r="E56" s="136">
        <v>206.0</v>
      </c>
      <c r="F56" s="136">
        <v>3.0</v>
      </c>
      <c r="G56" s="136">
        <v>64.0</v>
      </c>
      <c r="H56" s="148"/>
      <c r="I56" s="149"/>
      <c r="J56" s="149"/>
      <c r="K56" s="149"/>
      <c r="L56" s="107">
        <v>273.0</v>
      </c>
      <c r="M56" s="138">
        <v>0.0</v>
      </c>
      <c r="N56" s="107">
        <v>273.0</v>
      </c>
      <c r="O56" s="107">
        <v>0.0</v>
      </c>
      <c r="P56" s="107">
        <v>273.0</v>
      </c>
      <c r="Q56" s="107">
        <v>0.0</v>
      </c>
      <c r="R56" s="107">
        <v>273.0</v>
      </c>
      <c r="S56" s="107">
        <v>0.0</v>
      </c>
      <c r="T56" s="107">
        <v>273.0</v>
      </c>
      <c r="U56" s="136">
        <v>0.0</v>
      </c>
      <c r="V56" s="150"/>
      <c r="W56" s="136">
        <v>34.0</v>
      </c>
      <c r="X56" s="150"/>
      <c r="Y56" s="150"/>
      <c r="Z56" s="136">
        <v>0.0</v>
      </c>
      <c r="AA56" s="136">
        <v>0.0</v>
      </c>
      <c r="AB56" s="136">
        <v>0.0</v>
      </c>
      <c r="AC56" s="150"/>
      <c r="AD56" s="104"/>
      <c r="AE56" s="104"/>
      <c r="AF56" s="10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51" t="s">
        <v>225</v>
      </c>
      <c r="B57" s="107">
        <v>33.0</v>
      </c>
      <c r="C57" s="137">
        <v>307.0</v>
      </c>
      <c r="D57" s="107">
        <v>69.0</v>
      </c>
      <c r="E57" s="107">
        <v>209.0</v>
      </c>
      <c r="F57" s="107">
        <v>1.0</v>
      </c>
      <c r="G57" s="107">
        <v>61.0</v>
      </c>
      <c r="H57" s="104"/>
      <c r="I57" s="104"/>
      <c r="J57" s="104"/>
      <c r="K57" s="104"/>
      <c r="L57" s="107">
        <v>278.0</v>
      </c>
      <c r="M57" s="107">
        <v>0.0</v>
      </c>
      <c r="N57" s="107">
        <v>278.0</v>
      </c>
      <c r="O57" s="107">
        <v>0.0</v>
      </c>
      <c r="P57" s="107">
        <v>278.0</v>
      </c>
      <c r="Q57" s="107">
        <v>0.0</v>
      </c>
      <c r="R57" s="107">
        <v>278.0</v>
      </c>
      <c r="S57" s="107">
        <v>0.0</v>
      </c>
      <c r="T57" s="107">
        <v>278.0</v>
      </c>
      <c r="U57" s="136">
        <v>0.0</v>
      </c>
      <c r="V57" s="104"/>
      <c r="W57" s="107">
        <v>33.0</v>
      </c>
      <c r="X57" s="104"/>
      <c r="Y57" s="104"/>
      <c r="Z57" s="107">
        <v>289.0</v>
      </c>
      <c r="AA57" s="107">
        <v>0.0</v>
      </c>
      <c r="AB57" s="107">
        <v>0.0</v>
      </c>
      <c r="AC57" s="104"/>
      <c r="AD57" s="104"/>
      <c r="AE57" s="104"/>
      <c r="AF57" s="10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5">
        <v>45717.0</v>
      </c>
      <c r="B58" s="107">
        <v>34.0</v>
      </c>
      <c r="C58" s="137">
        <v>306.0</v>
      </c>
      <c r="D58" s="107">
        <v>68.0</v>
      </c>
      <c r="E58" s="107">
        <v>207.0</v>
      </c>
      <c r="F58" s="107">
        <v>2.0</v>
      </c>
      <c r="G58" s="107">
        <v>63.0</v>
      </c>
      <c r="H58" s="104"/>
      <c r="I58" s="104"/>
      <c r="J58" s="104"/>
      <c r="K58" s="104"/>
      <c r="L58" s="107">
        <v>275.0</v>
      </c>
      <c r="M58" s="107">
        <v>0.0</v>
      </c>
      <c r="N58" s="107">
        <v>274.0</v>
      </c>
      <c r="O58" s="107">
        <v>0.0</v>
      </c>
      <c r="P58" s="107">
        <v>274.0</v>
      </c>
      <c r="Q58" s="107">
        <v>0.0</v>
      </c>
      <c r="R58" s="107">
        <v>274.0</v>
      </c>
      <c r="S58" s="107">
        <v>1.0</v>
      </c>
      <c r="T58" s="107">
        <v>274.0</v>
      </c>
      <c r="U58" s="136">
        <v>0.0</v>
      </c>
      <c r="V58" s="104"/>
      <c r="W58" s="107">
        <v>34.0</v>
      </c>
      <c r="X58" s="104"/>
      <c r="Y58" s="104"/>
      <c r="Z58" s="107">
        <v>0.0</v>
      </c>
      <c r="AA58" s="107">
        <v>0.0</v>
      </c>
      <c r="AB58" s="107">
        <v>0.0</v>
      </c>
      <c r="AC58" s="104"/>
      <c r="AD58" s="104"/>
      <c r="AE58" s="104"/>
      <c r="AF58" s="10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5">
        <v>45748.0</v>
      </c>
      <c r="B59" s="107">
        <v>34.0</v>
      </c>
      <c r="C59" s="137">
        <v>306.0</v>
      </c>
      <c r="D59" s="107">
        <v>67.0</v>
      </c>
      <c r="E59" s="107">
        <v>205.0</v>
      </c>
      <c r="F59" s="107">
        <v>3.0</v>
      </c>
      <c r="G59" s="107">
        <v>65.0</v>
      </c>
      <c r="H59" s="104"/>
      <c r="I59" s="104"/>
      <c r="J59" s="104"/>
      <c r="K59" s="104"/>
      <c r="L59" s="107">
        <v>272.0</v>
      </c>
      <c r="M59" s="107">
        <v>0.0</v>
      </c>
      <c r="N59" s="107">
        <v>272.0</v>
      </c>
      <c r="O59" s="107">
        <v>0.0</v>
      </c>
      <c r="P59" s="107">
        <v>272.0</v>
      </c>
      <c r="Q59" s="107">
        <v>0.0</v>
      </c>
      <c r="R59" s="107">
        <v>272.0</v>
      </c>
      <c r="S59" s="107">
        <v>0.0</v>
      </c>
      <c r="T59" s="107">
        <v>272.0</v>
      </c>
      <c r="U59" s="136">
        <v>0.0</v>
      </c>
      <c r="V59" s="104"/>
      <c r="W59" s="107">
        <v>34.0</v>
      </c>
      <c r="X59" s="104"/>
      <c r="Y59" s="104"/>
      <c r="Z59" s="107">
        <v>0.0</v>
      </c>
      <c r="AA59" s="107">
        <v>220.0</v>
      </c>
      <c r="AB59" s="107">
        <v>0.0</v>
      </c>
      <c r="AC59" s="104"/>
      <c r="AD59" s="104"/>
      <c r="AE59" s="104"/>
      <c r="AF59" s="10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5">
        <v>45778.0</v>
      </c>
      <c r="B60" s="107">
        <v>32.0</v>
      </c>
      <c r="C60" s="137">
        <v>305.0</v>
      </c>
      <c r="D60" s="107">
        <v>66.0</v>
      </c>
      <c r="E60" s="107">
        <v>206.0</v>
      </c>
      <c r="F60" s="107">
        <v>4.0</v>
      </c>
      <c r="G60" s="107">
        <v>61.0</v>
      </c>
      <c r="H60" s="104"/>
      <c r="I60" s="104"/>
      <c r="J60" s="104"/>
      <c r="K60" s="104"/>
      <c r="L60" s="107">
        <v>272.0</v>
      </c>
      <c r="M60" s="107">
        <v>0.0</v>
      </c>
      <c r="N60" s="107">
        <v>272.0</v>
      </c>
      <c r="O60" s="107">
        <v>0.0</v>
      </c>
      <c r="P60" s="107">
        <v>272.0</v>
      </c>
      <c r="Q60" s="107">
        <v>0.0</v>
      </c>
      <c r="R60" s="107">
        <v>272.0</v>
      </c>
      <c r="S60" s="107">
        <v>0.0</v>
      </c>
      <c r="T60" s="107">
        <v>272.0</v>
      </c>
      <c r="U60" s="136">
        <v>0.0</v>
      </c>
      <c r="V60" s="104"/>
      <c r="W60" s="107">
        <v>32.0</v>
      </c>
      <c r="X60" s="104"/>
      <c r="Y60" s="104"/>
      <c r="Z60" s="107">
        <v>0.0</v>
      </c>
      <c r="AA60" s="107">
        <v>0.0</v>
      </c>
      <c r="AB60" s="107">
        <v>0.0</v>
      </c>
      <c r="AC60" s="104"/>
      <c r="AD60" s="104"/>
      <c r="AE60" s="104"/>
      <c r="AF60" s="10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5">
        <v>45809.0</v>
      </c>
      <c r="B61" s="107">
        <v>34.0</v>
      </c>
      <c r="C61" s="137">
        <v>305.0</v>
      </c>
      <c r="D61" s="107">
        <v>67.0</v>
      </c>
      <c r="E61" s="107">
        <v>204.0</v>
      </c>
      <c r="F61" s="107">
        <v>3.0</v>
      </c>
      <c r="G61" s="107">
        <v>65.0</v>
      </c>
      <c r="H61" s="104"/>
      <c r="I61" s="104"/>
      <c r="J61" s="104"/>
      <c r="K61" s="104"/>
      <c r="L61" s="107">
        <v>271.0</v>
      </c>
      <c r="M61" s="107">
        <v>0.0</v>
      </c>
      <c r="N61" s="107">
        <v>271.0</v>
      </c>
      <c r="O61" s="107">
        <v>0.0</v>
      </c>
      <c r="P61" s="107">
        <v>271.0</v>
      </c>
      <c r="Q61" s="107">
        <v>0.0</v>
      </c>
      <c r="R61" s="107">
        <v>271.0</v>
      </c>
      <c r="S61" s="107">
        <v>0.0</v>
      </c>
      <c r="T61" s="107">
        <v>271.0</v>
      </c>
      <c r="U61" s="136">
        <v>0.0</v>
      </c>
      <c r="V61" s="104"/>
      <c r="W61" s="107">
        <v>34.0</v>
      </c>
      <c r="X61" s="104"/>
      <c r="Y61" s="104"/>
      <c r="Z61" s="107">
        <v>0.0</v>
      </c>
      <c r="AA61" s="107">
        <v>0.0</v>
      </c>
      <c r="AB61" s="107">
        <v>3.0</v>
      </c>
      <c r="AC61" s="104"/>
      <c r="AD61" s="104"/>
      <c r="AE61" s="104"/>
      <c r="AF61" s="10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5">
        <v>45839.0</v>
      </c>
      <c r="B62" s="107">
        <v>34.0</v>
      </c>
      <c r="C62" s="137">
        <v>304.0</v>
      </c>
      <c r="D62" s="107">
        <v>68.0</v>
      </c>
      <c r="E62" s="107">
        <v>203.0</v>
      </c>
      <c r="F62" s="107">
        <v>2.0</v>
      </c>
      <c r="G62" s="107">
        <v>65.0</v>
      </c>
      <c r="H62" s="104"/>
      <c r="I62" s="104"/>
      <c r="J62" s="104"/>
      <c r="K62" s="104"/>
      <c r="L62" s="107">
        <v>271.0</v>
      </c>
      <c r="M62" s="107">
        <v>0.0</v>
      </c>
      <c r="N62" s="107">
        <v>271.0</v>
      </c>
      <c r="O62" s="107">
        <v>0.0</v>
      </c>
      <c r="P62" s="107">
        <v>271.0</v>
      </c>
      <c r="Q62" s="107">
        <v>0.0</v>
      </c>
      <c r="R62" s="107">
        <v>271.0</v>
      </c>
      <c r="S62" s="107">
        <v>0.0</v>
      </c>
      <c r="T62" s="107">
        <v>271.0</v>
      </c>
      <c r="U62" s="136">
        <v>0.0</v>
      </c>
      <c r="V62" s="104"/>
      <c r="W62" s="107">
        <v>34.0</v>
      </c>
      <c r="X62" s="104"/>
      <c r="Y62" s="104"/>
      <c r="Z62" s="107">
        <v>0.0</v>
      </c>
      <c r="AA62" s="107">
        <v>0.0</v>
      </c>
      <c r="AB62" s="107">
        <v>0.0</v>
      </c>
      <c r="AC62" s="104"/>
      <c r="AD62" s="104"/>
      <c r="AE62" s="104"/>
      <c r="AF62" s="10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5">
        <v>45870.0</v>
      </c>
      <c r="B63" s="107">
        <v>33.0</v>
      </c>
      <c r="C63" s="137">
        <v>305.0</v>
      </c>
      <c r="D63" s="107">
        <v>68.0</v>
      </c>
      <c r="E63" s="107">
        <v>211.0</v>
      </c>
      <c r="F63" s="107">
        <v>2.0</v>
      </c>
      <c r="G63" s="107">
        <v>57.0</v>
      </c>
      <c r="H63" s="104"/>
      <c r="I63" s="104"/>
      <c r="J63" s="104"/>
      <c r="K63" s="104"/>
      <c r="L63" s="107">
        <v>279.0</v>
      </c>
      <c r="M63" s="107">
        <v>0.0</v>
      </c>
      <c r="N63" s="107">
        <v>279.0</v>
      </c>
      <c r="O63" s="107">
        <v>0.0</v>
      </c>
      <c r="P63" s="107">
        <v>279.0</v>
      </c>
      <c r="Q63" s="107">
        <v>0.0</v>
      </c>
      <c r="R63" s="107">
        <v>279.0</v>
      </c>
      <c r="S63" s="107">
        <v>0.0</v>
      </c>
      <c r="T63" s="107">
        <v>279.0</v>
      </c>
      <c r="U63" s="136">
        <v>0.0</v>
      </c>
      <c r="V63" s="104"/>
      <c r="W63" s="107">
        <v>33.0</v>
      </c>
      <c r="X63" s="104"/>
      <c r="Y63" s="104"/>
      <c r="Z63" s="107">
        <v>260.0</v>
      </c>
      <c r="AA63" s="107">
        <v>0.0</v>
      </c>
      <c r="AB63" s="107">
        <v>0.0</v>
      </c>
      <c r="AC63" s="104"/>
      <c r="AD63" s="104"/>
      <c r="AE63" s="104"/>
      <c r="AF63" s="10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5">
        <v>45901.0</v>
      </c>
      <c r="B64" s="107">
        <v>33.0</v>
      </c>
      <c r="C64" s="137">
        <v>306.0</v>
      </c>
      <c r="D64" s="107">
        <v>67.0</v>
      </c>
      <c r="E64" s="107">
        <v>205.0</v>
      </c>
      <c r="F64" s="107">
        <v>3.0</v>
      </c>
      <c r="G64" s="107">
        <v>63.0</v>
      </c>
      <c r="H64" s="104"/>
      <c r="I64" s="104"/>
      <c r="J64" s="104"/>
      <c r="K64" s="104"/>
      <c r="L64" s="107">
        <v>272.0</v>
      </c>
      <c r="M64" s="107">
        <v>0.0</v>
      </c>
      <c r="N64" s="107">
        <v>272.0</v>
      </c>
      <c r="O64" s="107">
        <v>0.0</v>
      </c>
      <c r="P64" s="107">
        <v>272.0</v>
      </c>
      <c r="Q64" s="107">
        <v>0.0</v>
      </c>
      <c r="R64" s="107">
        <v>272.0</v>
      </c>
      <c r="S64" s="107">
        <v>0.0</v>
      </c>
      <c r="T64" s="107">
        <v>272.0</v>
      </c>
      <c r="U64" s="136">
        <v>0.0</v>
      </c>
      <c r="V64" s="104"/>
      <c r="W64" s="107">
        <v>33.0</v>
      </c>
      <c r="X64" s="104"/>
      <c r="Y64" s="104"/>
      <c r="Z64" s="107">
        <v>0.0</v>
      </c>
      <c r="AA64" s="107">
        <v>0.0</v>
      </c>
      <c r="AB64" s="107">
        <v>0.0</v>
      </c>
      <c r="AC64" s="104"/>
      <c r="AD64" s="104"/>
      <c r="AE64" s="104"/>
      <c r="AF64" s="10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5">
        <v>45931.0</v>
      </c>
      <c r="B65" s="107">
        <v>34.0</v>
      </c>
      <c r="C65" s="137">
        <v>305.0</v>
      </c>
      <c r="D65" s="107">
        <v>68.0</v>
      </c>
      <c r="E65" s="107">
        <v>203.0</v>
      </c>
      <c r="F65" s="107">
        <v>2.0</v>
      </c>
      <c r="G65" s="107">
        <v>66.0</v>
      </c>
      <c r="H65" s="104"/>
      <c r="I65" s="104"/>
      <c r="J65" s="104"/>
      <c r="K65" s="104"/>
      <c r="L65" s="107">
        <v>271.0</v>
      </c>
      <c r="M65" s="107">
        <v>0.0</v>
      </c>
      <c r="N65" s="107">
        <v>271.0</v>
      </c>
      <c r="O65" s="107">
        <v>0.0</v>
      </c>
      <c r="P65" s="107">
        <v>271.0</v>
      </c>
      <c r="Q65" s="107">
        <v>0.0</v>
      </c>
      <c r="R65" s="107">
        <v>271.0</v>
      </c>
      <c r="S65" s="107">
        <v>0.0</v>
      </c>
      <c r="T65" s="107">
        <v>271.0</v>
      </c>
      <c r="U65" s="136">
        <v>0.0</v>
      </c>
      <c r="V65" s="104"/>
      <c r="W65" s="107">
        <v>34.0</v>
      </c>
      <c r="X65" s="104"/>
      <c r="Y65" s="104"/>
      <c r="Z65" s="107">
        <v>0.0</v>
      </c>
      <c r="AA65" s="107">
        <v>0.0</v>
      </c>
      <c r="AB65" s="107">
        <v>2.0</v>
      </c>
      <c r="AC65" s="104"/>
      <c r="AD65" s="104"/>
      <c r="AE65" s="104"/>
      <c r="AF65" s="10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5">
        <v>45962.0</v>
      </c>
      <c r="B66" s="107">
        <v>34.0</v>
      </c>
      <c r="C66" s="137">
        <v>306.0</v>
      </c>
      <c r="D66" s="107">
        <v>67.0</v>
      </c>
      <c r="E66" s="107">
        <v>206.0</v>
      </c>
      <c r="F66" s="107">
        <v>3.0</v>
      </c>
      <c r="G66" s="107">
        <v>64.0</v>
      </c>
      <c r="H66" s="104"/>
      <c r="I66" s="104"/>
      <c r="J66" s="104"/>
      <c r="K66" s="104"/>
      <c r="L66" s="107">
        <v>273.0</v>
      </c>
      <c r="M66" s="107">
        <v>0.0</v>
      </c>
      <c r="N66" s="107">
        <v>273.0</v>
      </c>
      <c r="O66" s="107">
        <v>0.0</v>
      </c>
      <c r="P66" s="107">
        <v>273.0</v>
      </c>
      <c r="Q66" s="107">
        <v>0.0</v>
      </c>
      <c r="R66" s="107">
        <v>273.0</v>
      </c>
      <c r="S66" s="107">
        <v>0.0</v>
      </c>
      <c r="T66" s="107">
        <v>273.0</v>
      </c>
      <c r="U66" s="136">
        <v>0.0</v>
      </c>
      <c r="V66" s="104"/>
      <c r="W66" s="107">
        <v>34.0</v>
      </c>
      <c r="X66" s="104"/>
      <c r="Y66" s="104"/>
      <c r="Z66" s="107">
        <v>0.0</v>
      </c>
      <c r="AA66" s="107">
        <v>198.0</v>
      </c>
      <c r="AB66" s="107">
        <v>2.0</v>
      </c>
      <c r="AC66" s="104"/>
      <c r="AD66" s="104"/>
      <c r="AE66" s="104"/>
      <c r="AF66" s="10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52">
        <v>45992.0</v>
      </c>
      <c r="B67" s="107">
        <v>33.0</v>
      </c>
      <c r="C67" s="137">
        <v>306.0</v>
      </c>
      <c r="D67" s="107">
        <v>68.0</v>
      </c>
      <c r="E67" s="107">
        <v>205.0</v>
      </c>
      <c r="F67" s="107">
        <v>2.0</v>
      </c>
      <c r="G67" s="107">
        <v>64.0</v>
      </c>
      <c r="H67" s="104"/>
      <c r="I67" s="104"/>
      <c r="J67" s="104"/>
      <c r="K67" s="104"/>
      <c r="L67" s="107">
        <v>273.0</v>
      </c>
      <c r="M67" s="107">
        <v>0.0</v>
      </c>
      <c r="N67" s="107">
        <v>273.0</v>
      </c>
      <c r="O67" s="107">
        <v>0.0</v>
      </c>
      <c r="P67" s="107">
        <v>273.0</v>
      </c>
      <c r="Q67" s="107">
        <v>0.0</v>
      </c>
      <c r="R67" s="107">
        <v>273.0</v>
      </c>
      <c r="S67" s="107">
        <v>0.0</v>
      </c>
      <c r="T67" s="107">
        <v>273.0</v>
      </c>
      <c r="U67" s="136">
        <v>0.0</v>
      </c>
      <c r="V67" s="104"/>
      <c r="W67" s="107">
        <v>33.0</v>
      </c>
      <c r="X67" s="104"/>
      <c r="Y67" s="104"/>
      <c r="Z67" s="107">
        <v>0.0</v>
      </c>
      <c r="AA67" s="107">
        <v>0.0</v>
      </c>
      <c r="AB67" s="107">
        <v>0.0</v>
      </c>
      <c r="AC67" s="104"/>
      <c r="AD67" s="104"/>
      <c r="AE67" s="104"/>
      <c r="AF67" s="10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>
        <f t="shared" ref="B69:F69" si="6">SUM(B56:B67)</f>
        <v>402</v>
      </c>
      <c r="C69" s="2">
        <f t="shared" si="6"/>
        <v>3667</v>
      </c>
      <c r="D69" s="2">
        <f t="shared" si="6"/>
        <v>810</v>
      </c>
      <c r="E69" s="2">
        <f t="shared" si="6"/>
        <v>2470</v>
      </c>
      <c r="F69" s="2">
        <f t="shared" si="6"/>
        <v>30</v>
      </c>
      <c r="G69" s="34">
        <v>758.0</v>
      </c>
      <c r="H69" s="2"/>
      <c r="I69" s="2"/>
      <c r="J69" s="2"/>
      <c r="K69" s="2"/>
      <c r="L69" s="2">
        <f t="shared" ref="L69:M69" si="7">SUM(L56:L67)</f>
        <v>3280</v>
      </c>
      <c r="M69" s="2">
        <f t="shared" si="7"/>
        <v>0</v>
      </c>
      <c r="N69" s="34">
        <v>3280.0</v>
      </c>
      <c r="O69" s="2"/>
      <c r="P69" s="34">
        <v>3279.0</v>
      </c>
      <c r="Q69" s="2"/>
      <c r="R69" s="34">
        <v>3279.0</v>
      </c>
      <c r="S69" s="2"/>
      <c r="T69" s="2">
        <f>SUM(T56:T67)</f>
        <v>3279</v>
      </c>
      <c r="U69" s="2"/>
      <c r="V69" s="2"/>
      <c r="W69" s="2">
        <f>SUM(W56:W67)</f>
        <v>402</v>
      </c>
      <c r="X69" s="2"/>
      <c r="Y69" s="2"/>
      <c r="Z69" s="2">
        <f t="shared" ref="Z69:AB69" si="8">SUM(Z56:Z67)</f>
        <v>549</v>
      </c>
      <c r="AA69" s="2">
        <f t="shared" si="8"/>
        <v>418</v>
      </c>
      <c r="AB69" s="2">
        <f t="shared" si="8"/>
        <v>7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17" t="s">
        <v>226</v>
      </c>
      <c r="B71" s="96"/>
      <c r="C71" s="96"/>
      <c r="D71" s="96"/>
      <c r="E71" s="96"/>
      <c r="F71" s="96"/>
      <c r="G71" s="96"/>
      <c r="H71" s="9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97" t="s">
        <v>159</v>
      </c>
      <c r="B72" s="153" t="s">
        <v>162</v>
      </c>
      <c r="C72" s="56"/>
      <c r="D72" s="56"/>
      <c r="E72" s="56"/>
      <c r="F72" s="56"/>
      <c r="G72" s="57"/>
      <c r="H72" s="50" t="s">
        <v>227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8"/>
      <c r="X72" s="97" t="s">
        <v>228</v>
      </c>
      <c r="Y72" s="97" t="s">
        <v>228</v>
      </c>
      <c r="Z72" s="154"/>
      <c r="AA72" s="154"/>
      <c r="AB72" s="154"/>
      <c r="AC72" s="154"/>
      <c r="AD72" s="154"/>
      <c r="AE72" s="15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98" t="s">
        <v>229</v>
      </c>
      <c r="C73" s="97" t="s">
        <v>230</v>
      </c>
      <c r="D73" s="110" t="s">
        <v>171</v>
      </c>
      <c r="E73" s="8"/>
      <c r="F73" s="50" t="s">
        <v>172</v>
      </c>
      <c r="G73" s="8"/>
      <c r="H73" s="50" t="s">
        <v>231</v>
      </c>
      <c r="I73" s="31"/>
      <c r="J73" s="31"/>
      <c r="K73" s="31"/>
      <c r="L73" s="8"/>
      <c r="M73" s="50" t="s">
        <v>232</v>
      </c>
      <c r="N73" s="31"/>
      <c r="O73" s="31"/>
      <c r="P73" s="31"/>
      <c r="Q73" s="31"/>
      <c r="R73" s="31"/>
      <c r="S73" s="31"/>
      <c r="T73" s="31"/>
      <c r="U73" s="8"/>
      <c r="V73" s="98" t="s">
        <v>176</v>
      </c>
      <c r="W73" s="139" t="s">
        <v>233</v>
      </c>
      <c r="X73" s="139" t="s">
        <v>234</v>
      </c>
      <c r="Y73" s="139" t="s">
        <v>235</v>
      </c>
      <c r="Z73" s="154"/>
      <c r="AA73" s="154"/>
      <c r="AB73" s="154"/>
      <c r="AC73" s="154"/>
      <c r="AE73" s="94"/>
      <c r="AF73" s="9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61"/>
      <c r="B74" s="156" t="s">
        <v>236</v>
      </c>
      <c r="C74" s="139" t="s">
        <v>236</v>
      </c>
      <c r="D74" s="157" t="s">
        <v>237</v>
      </c>
      <c r="E74" s="97" t="s">
        <v>238</v>
      </c>
      <c r="F74" s="97" t="s">
        <v>237</v>
      </c>
      <c r="G74" s="97" t="s">
        <v>238</v>
      </c>
      <c r="H74" s="97" t="s">
        <v>239</v>
      </c>
      <c r="I74" s="97" t="s">
        <v>240</v>
      </c>
      <c r="J74" s="97" t="s">
        <v>213</v>
      </c>
      <c r="K74" s="97" t="s">
        <v>241</v>
      </c>
      <c r="L74" s="97" t="s">
        <v>242</v>
      </c>
      <c r="M74" s="97" t="s">
        <v>243</v>
      </c>
      <c r="N74" s="50" t="s">
        <v>175</v>
      </c>
      <c r="O74" s="31"/>
      <c r="P74" s="8"/>
      <c r="Q74" s="50" t="s">
        <v>244</v>
      </c>
      <c r="R74" s="31"/>
      <c r="S74" s="8"/>
      <c r="T74" s="158" t="s">
        <v>245</v>
      </c>
      <c r="U74" s="8"/>
      <c r="V74" s="159" t="s">
        <v>246</v>
      </c>
      <c r="W74" s="160" t="s">
        <v>247</v>
      </c>
      <c r="X74" s="160" t="s">
        <v>248</v>
      </c>
      <c r="Y74" s="160" t="s">
        <v>249</v>
      </c>
      <c r="Z74" s="155"/>
      <c r="AA74" s="161"/>
      <c r="AB74" s="155"/>
      <c r="AC74" s="155"/>
      <c r="AE74" s="94"/>
      <c r="AF74" s="9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0"/>
      <c r="B75" s="162"/>
      <c r="C75" s="163"/>
      <c r="D75" s="64"/>
      <c r="E75" s="10"/>
      <c r="F75" s="10"/>
      <c r="G75" s="10"/>
      <c r="H75" s="10"/>
      <c r="I75" s="10"/>
      <c r="J75" s="10"/>
      <c r="K75" s="10"/>
      <c r="L75" s="10"/>
      <c r="M75" s="10"/>
      <c r="N75" s="83" t="s">
        <v>250</v>
      </c>
      <c r="O75" s="164" t="s">
        <v>213</v>
      </c>
      <c r="P75" s="83" t="s">
        <v>251</v>
      </c>
      <c r="Q75" s="83" t="s">
        <v>250</v>
      </c>
      <c r="R75" s="83" t="s">
        <v>213</v>
      </c>
      <c r="S75" s="83" t="s">
        <v>251</v>
      </c>
      <c r="T75" s="165" t="s">
        <v>252</v>
      </c>
      <c r="U75" s="166" t="s">
        <v>253</v>
      </c>
      <c r="V75" s="167" t="s">
        <v>176</v>
      </c>
      <c r="W75" s="164" t="s">
        <v>254</v>
      </c>
      <c r="X75" s="164" t="s">
        <v>222</v>
      </c>
      <c r="Y75" s="164" t="s">
        <v>255</v>
      </c>
      <c r="Z75" s="168"/>
      <c r="AA75" s="168"/>
      <c r="AB75" s="168"/>
      <c r="AC75" s="168"/>
      <c r="AD75" s="168"/>
      <c r="AE75" s="168"/>
      <c r="AF75" s="16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8">
        <v>1.0</v>
      </c>
      <c r="B76" s="133">
        <v>2.0</v>
      </c>
      <c r="C76" s="163">
        <v>3.0</v>
      </c>
      <c r="D76" s="128"/>
      <c r="E76" s="128">
        <v>5.0</v>
      </c>
      <c r="F76" s="128">
        <v>6.0</v>
      </c>
      <c r="G76" s="128">
        <v>7.0</v>
      </c>
      <c r="H76" s="128">
        <v>8.0</v>
      </c>
      <c r="I76" s="130">
        <v>9.0</v>
      </c>
      <c r="J76" s="130">
        <v>10.0</v>
      </c>
      <c r="K76" s="130">
        <v>11.0</v>
      </c>
      <c r="L76" s="130">
        <v>12.0</v>
      </c>
      <c r="M76" s="130">
        <v>13.0</v>
      </c>
      <c r="N76" s="130">
        <v>14.0</v>
      </c>
      <c r="O76" s="131">
        <v>15.0</v>
      </c>
      <c r="P76" s="130">
        <v>16.0</v>
      </c>
      <c r="Q76" s="130">
        <v>17.0</v>
      </c>
      <c r="R76" s="131">
        <v>18.0</v>
      </c>
      <c r="S76" s="130">
        <v>19.0</v>
      </c>
      <c r="T76" s="130">
        <v>20.0</v>
      </c>
      <c r="U76" s="128">
        <v>21.0</v>
      </c>
      <c r="V76" s="133">
        <v>22.0</v>
      </c>
      <c r="W76" s="133">
        <v>23.0</v>
      </c>
      <c r="X76" s="133">
        <v>24.0</v>
      </c>
      <c r="Y76" s="133">
        <v>25.0</v>
      </c>
      <c r="Z76" s="168"/>
      <c r="AA76" s="168"/>
      <c r="AB76" s="168"/>
      <c r="AC76" s="168"/>
      <c r="AD76" s="168"/>
      <c r="AE76" s="168"/>
      <c r="AF76" s="168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5">
        <v>45658.0</v>
      </c>
      <c r="B77" s="136">
        <v>639.0</v>
      </c>
      <c r="C77" s="137">
        <v>212.0</v>
      </c>
      <c r="D77" s="150"/>
      <c r="E77" s="150"/>
      <c r="F77" s="150"/>
      <c r="G77" s="150"/>
      <c r="H77" s="148"/>
      <c r="I77" s="149"/>
      <c r="J77" s="149"/>
      <c r="K77" s="149"/>
      <c r="L77" s="149"/>
      <c r="M77" s="149"/>
      <c r="N77" s="149"/>
      <c r="O77" s="104"/>
      <c r="P77" s="104"/>
      <c r="Q77" s="104"/>
      <c r="R77" s="104"/>
      <c r="S77" s="104"/>
      <c r="T77" s="104"/>
      <c r="U77" s="150"/>
      <c r="V77" s="150"/>
      <c r="W77" s="150"/>
      <c r="X77" s="150"/>
      <c r="Y77" s="150"/>
      <c r="Z77" s="96"/>
      <c r="AA77" s="169"/>
      <c r="AB77" s="96"/>
      <c r="AC77" s="96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51" t="s">
        <v>225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5">
        <v>45717.0</v>
      </c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5">
        <v>45748.0</v>
      </c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5">
        <v>45778.0</v>
      </c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5">
        <v>45809.0</v>
      </c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5">
        <v>45839.0</v>
      </c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5">
        <v>45870.0</v>
      </c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5">
        <v>45901.0</v>
      </c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5">
        <v>45931.0</v>
      </c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5">
        <v>45962.0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35">
        <v>45992.0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17" t="s">
        <v>256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70" t="s">
        <v>159</v>
      </c>
      <c r="B93" s="110" t="s">
        <v>257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71" t="s">
        <v>258</v>
      </c>
      <c r="AL93" s="172" t="s">
        <v>228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50" t="s">
        <v>231</v>
      </c>
      <c r="C94" s="31"/>
      <c r="D94" s="31"/>
      <c r="E94" s="31"/>
      <c r="F94" s="8"/>
      <c r="G94" s="50" t="s">
        <v>259</v>
      </c>
      <c r="H94" s="31"/>
      <c r="I94" s="31"/>
      <c r="J94" s="31"/>
      <c r="K94" s="31"/>
      <c r="L94" s="31"/>
      <c r="M94" s="31"/>
      <c r="N94" s="31"/>
      <c r="O94" s="31"/>
      <c r="P94" s="31"/>
      <c r="Q94" s="8"/>
      <c r="R94" s="98" t="s">
        <v>260</v>
      </c>
      <c r="S94" s="57"/>
      <c r="T94" s="110" t="s">
        <v>261</v>
      </c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8"/>
      <c r="AK94" s="173" t="s">
        <v>262</v>
      </c>
      <c r="AL94" s="174" t="s">
        <v>262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97" t="s">
        <v>239</v>
      </c>
      <c r="C95" s="97" t="s">
        <v>240</v>
      </c>
      <c r="D95" s="97" t="s">
        <v>213</v>
      </c>
      <c r="E95" s="97" t="s">
        <v>241</v>
      </c>
      <c r="F95" s="97" t="s">
        <v>242</v>
      </c>
      <c r="G95" s="175" t="s">
        <v>243</v>
      </c>
      <c r="H95" s="8"/>
      <c r="I95" s="50" t="s">
        <v>175</v>
      </c>
      <c r="J95" s="31"/>
      <c r="K95" s="31"/>
      <c r="L95" s="158" t="s">
        <v>244</v>
      </c>
      <c r="M95" s="31"/>
      <c r="N95" s="8"/>
      <c r="O95" s="176" t="s">
        <v>263</v>
      </c>
      <c r="P95" s="31"/>
      <c r="Q95" s="8"/>
      <c r="R95" s="177" t="s">
        <v>251</v>
      </c>
      <c r="S95" s="97" t="s">
        <v>213</v>
      </c>
      <c r="T95" s="110" t="s">
        <v>264</v>
      </c>
      <c r="U95" s="31"/>
      <c r="V95" s="31"/>
      <c r="W95" s="31"/>
      <c r="X95" s="8"/>
      <c r="Y95" s="178" t="s">
        <v>265</v>
      </c>
      <c r="Z95" s="31"/>
      <c r="AA95" s="31"/>
      <c r="AB95" s="8"/>
      <c r="AC95" s="178" t="s">
        <v>265</v>
      </c>
      <c r="AD95" s="31"/>
      <c r="AE95" s="31"/>
      <c r="AF95" s="8"/>
      <c r="AG95" s="178" t="s">
        <v>265</v>
      </c>
      <c r="AH95" s="31"/>
      <c r="AI95" s="31"/>
      <c r="AJ95" s="8"/>
      <c r="AK95" s="173" t="s">
        <v>261</v>
      </c>
      <c r="AL95" s="174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61"/>
      <c r="B96" s="61"/>
      <c r="C96" s="61"/>
      <c r="D96" s="61"/>
      <c r="E96" s="61"/>
      <c r="F96" s="61"/>
      <c r="G96" s="179" t="s">
        <v>266</v>
      </c>
      <c r="H96" s="180" t="s">
        <v>267</v>
      </c>
      <c r="I96" s="139" t="s">
        <v>250</v>
      </c>
      <c r="J96" s="97" t="s">
        <v>213</v>
      </c>
      <c r="K96" s="97" t="s">
        <v>251</v>
      </c>
      <c r="L96" s="97" t="s">
        <v>250</v>
      </c>
      <c r="M96" s="97" t="s">
        <v>213</v>
      </c>
      <c r="N96" s="181" t="s">
        <v>251</v>
      </c>
      <c r="O96" s="182" t="s">
        <v>268</v>
      </c>
      <c r="P96" s="31"/>
      <c r="Q96" s="8"/>
      <c r="R96" s="10"/>
      <c r="S96" s="10"/>
      <c r="T96" s="83" t="s">
        <v>269</v>
      </c>
      <c r="U96" s="50" t="s">
        <v>270</v>
      </c>
      <c r="V96" s="8"/>
      <c r="W96" s="50" t="s">
        <v>271</v>
      </c>
      <c r="X96" s="8"/>
      <c r="Y96" s="50" t="s">
        <v>272</v>
      </c>
      <c r="Z96" s="8"/>
      <c r="AA96" s="183" t="s">
        <v>273</v>
      </c>
      <c r="AB96" s="64"/>
      <c r="AC96" s="50" t="s">
        <v>274</v>
      </c>
      <c r="AD96" s="8"/>
      <c r="AE96" s="183" t="s">
        <v>275</v>
      </c>
      <c r="AF96" s="64"/>
      <c r="AG96" s="50" t="s">
        <v>276</v>
      </c>
      <c r="AH96" s="8"/>
      <c r="AI96" s="183" t="s">
        <v>277</v>
      </c>
      <c r="AJ96" s="64"/>
      <c r="AK96" s="173" t="s">
        <v>278</v>
      </c>
      <c r="AL96" s="174" t="s">
        <v>255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78" t="s">
        <v>279</v>
      </c>
      <c r="P97" s="83" t="s">
        <v>280</v>
      </c>
      <c r="Q97" s="83" t="s">
        <v>281</v>
      </c>
      <c r="R97" s="126" t="s">
        <v>279</v>
      </c>
      <c r="S97" s="83" t="s">
        <v>282</v>
      </c>
      <c r="T97" s="184" t="s">
        <v>283</v>
      </c>
      <c r="U97" s="184" t="s">
        <v>284</v>
      </c>
      <c r="V97" s="184" t="s">
        <v>285</v>
      </c>
      <c r="W97" s="83" t="s">
        <v>286</v>
      </c>
      <c r="X97" s="83" t="s">
        <v>287</v>
      </c>
      <c r="Y97" s="83" t="s">
        <v>189</v>
      </c>
      <c r="Z97" s="50" t="s">
        <v>187</v>
      </c>
      <c r="AA97" s="126" t="s">
        <v>189</v>
      </c>
      <c r="AB97" s="127" t="s">
        <v>187</v>
      </c>
      <c r="AC97" s="83" t="s">
        <v>189</v>
      </c>
      <c r="AD97" s="50" t="s">
        <v>187</v>
      </c>
      <c r="AE97" s="126" t="s">
        <v>189</v>
      </c>
      <c r="AF97" s="127" t="s">
        <v>187</v>
      </c>
      <c r="AG97" s="83" t="s">
        <v>189</v>
      </c>
      <c r="AH97" s="50" t="s">
        <v>187</v>
      </c>
      <c r="AI97" s="126" t="s">
        <v>189</v>
      </c>
      <c r="AJ97" s="110" t="s">
        <v>187</v>
      </c>
      <c r="AK97" s="185" t="s">
        <v>222</v>
      </c>
      <c r="AL97" s="46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6">
        <v>1.0</v>
      </c>
      <c r="B98" s="187">
        <v>2.0</v>
      </c>
      <c r="C98" s="187">
        <v>3.0</v>
      </c>
      <c r="D98" s="187">
        <v>4.0</v>
      </c>
      <c r="E98" s="187">
        <v>5.0</v>
      </c>
      <c r="F98" s="187">
        <v>6.0</v>
      </c>
      <c r="G98" s="187">
        <v>7.0</v>
      </c>
      <c r="H98" s="187">
        <v>8.0</v>
      </c>
      <c r="I98" s="188">
        <v>9.0</v>
      </c>
      <c r="J98" s="187">
        <v>10.0</v>
      </c>
      <c r="K98" s="187">
        <v>11.0</v>
      </c>
      <c r="L98" s="188">
        <v>12.0</v>
      </c>
      <c r="M98" s="187">
        <v>13.0</v>
      </c>
      <c r="N98" s="187">
        <v>14.0</v>
      </c>
      <c r="O98" s="187">
        <v>15.0</v>
      </c>
      <c r="P98" s="186">
        <v>16.0</v>
      </c>
      <c r="Q98" s="186">
        <v>17.0</v>
      </c>
      <c r="R98" s="189">
        <v>18.0</v>
      </c>
      <c r="S98" s="186">
        <v>19.0</v>
      </c>
      <c r="T98" s="186">
        <v>20.0</v>
      </c>
      <c r="U98" s="186">
        <v>21.0</v>
      </c>
      <c r="V98" s="186">
        <v>22.0</v>
      </c>
      <c r="W98" s="186">
        <v>23.0</v>
      </c>
      <c r="X98" s="186">
        <v>24.0</v>
      </c>
      <c r="Y98" s="186">
        <v>25.0</v>
      </c>
      <c r="Z98" s="190">
        <v>26.0</v>
      </c>
      <c r="AA98" s="189">
        <v>27.0</v>
      </c>
      <c r="AB98" s="191">
        <v>28.0</v>
      </c>
      <c r="AC98" s="186">
        <v>29.0</v>
      </c>
      <c r="AD98" s="186">
        <v>30.0</v>
      </c>
      <c r="AE98" s="186">
        <v>31.0</v>
      </c>
      <c r="AF98" s="186">
        <v>32.0</v>
      </c>
      <c r="AG98" s="192">
        <v>33.0</v>
      </c>
      <c r="AH98" s="192">
        <v>34.0</v>
      </c>
      <c r="AI98" s="192">
        <v>35.0</v>
      </c>
      <c r="AJ98" s="192">
        <v>36.0</v>
      </c>
      <c r="AK98" s="193">
        <v>37.0</v>
      </c>
      <c r="AL98" s="193">
        <v>38.0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4">
        <v>45658.0</v>
      </c>
      <c r="B99" s="104"/>
      <c r="C99" s="195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6" t="s">
        <v>225</v>
      </c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4">
        <v>45717.0</v>
      </c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4">
        <v>45748.0</v>
      </c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4">
        <v>45778.0</v>
      </c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4">
        <v>45809.0</v>
      </c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4">
        <v>45839.0</v>
      </c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4">
        <v>45870.0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4">
        <v>45901.0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4">
        <v>45931.0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4">
        <v>45962.0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94">
        <v>45992.0</v>
      </c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4:U74"/>
    <mergeCell ref="B93:AJ93"/>
    <mergeCell ref="T94:AJ94"/>
    <mergeCell ref="T95:X95"/>
    <mergeCell ref="Y95:AB95"/>
    <mergeCell ref="AC95:AF95"/>
    <mergeCell ref="AG95:AJ95"/>
    <mergeCell ref="A72:A75"/>
    <mergeCell ref="B72:G72"/>
    <mergeCell ref="H72:W72"/>
    <mergeCell ref="AD72:AD74"/>
    <mergeCell ref="AE72:AF72"/>
    <mergeCell ref="D73:E73"/>
    <mergeCell ref="F73:G73"/>
    <mergeCell ref="F95:F97"/>
    <mergeCell ref="G96:G97"/>
    <mergeCell ref="H96:H97"/>
    <mergeCell ref="I96:I97"/>
    <mergeCell ref="J96:J97"/>
    <mergeCell ref="K96:K97"/>
    <mergeCell ref="L96:L97"/>
    <mergeCell ref="M96:M97"/>
    <mergeCell ref="O95:Q95"/>
    <mergeCell ref="O96:Q96"/>
    <mergeCell ref="U96:V96"/>
    <mergeCell ref="W96:X96"/>
    <mergeCell ref="Y96:Z96"/>
    <mergeCell ref="AA96:AB96"/>
    <mergeCell ref="AC96:AD96"/>
    <mergeCell ref="AE96:AF96"/>
    <mergeCell ref="AG96:AH96"/>
    <mergeCell ref="AI96:AJ96"/>
    <mergeCell ref="E95:E97"/>
    <mergeCell ref="G95:H95"/>
    <mergeCell ref="I95:K95"/>
    <mergeCell ref="L95:N95"/>
    <mergeCell ref="R95:R96"/>
    <mergeCell ref="S95:S96"/>
    <mergeCell ref="N96:N97"/>
    <mergeCell ref="H73:L73"/>
    <mergeCell ref="M73:U73"/>
    <mergeCell ref="F74:F75"/>
    <mergeCell ref="G74:G75"/>
    <mergeCell ref="H74:H75"/>
    <mergeCell ref="I74:I75"/>
    <mergeCell ref="J74:J75"/>
    <mergeCell ref="K74:K75"/>
    <mergeCell ref="L74:L75"/>
    <mergeCell ref="M74:M75"/>
    <mergeCell ref="G94:Q94"/>
    <mergeCell ref="R94:S94"/>
    <mergeCell ref="N74:P74"/>
    <mergeCell ref="Q74:S74"/>
    <mergeCell ref="D74:D75"/>
    <mergeCell ref="E74:E75"/>
    <mergeCell ref="A93:A97"/>
    <mergeCell ref="B94:F94"/>
    <mergeCell ref="B95:B97"/>
    <mergeCell ref="C95:C97"/>
    <mergeCell ref="D95:D9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7" t="s">
        <v>33</v>
      </c>
      <c r="B5" s="197" t="s">
        <v>34</v>
      </c>
      <c r="C5" s="197" t="s">
        <v>289</v>
      </c>
      <c r="D5" s="197" t="s">
        <v>290</v>
      </c>
      <c r="E5" s="197" t="s">
        <v>37</v>
      </c>
      <c r="F5" s="197" t="s">
        <v>36</v>
      </c>
      <c r="G5" s="197" t="s">
        <v>38</v>
      </c>
      <c r="H5" s="197" t="s">
        <v>291</v>
      </c>
      <c r="I5" s="197" t="s">
        <v>292</v>
      </c>
      <c r="J5" s="198" t="s">
        <v>293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9" t="s">
        <v>41</v>
      </c>
      <c r="K6" s="200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1">
        <v>1.0</v>
      </c>
      <c r="B7" s="202">
        <v>2.0</v>
      </c>
      <c r="C7" s="202">
        <v>3.0</v>
      </c>
      <c r="D7" s="201">
        <v>4.0</v>
      </c>
      <c r="E7" s="202">
        <v>5.0</v>
      </c>
      <c r="F7" s="202">
        <v>6.0</v>
      </c>
      <c r="G7" s="201">
        <v>7.0</v>
      </c>
      <c r="H7" s="202">
        <v>8.0</v>
      </c>
      <c r="I7" s="202">
        <v>9.0</v>
      </c>
      <c r="J7" s="201">
        <v>10.0</v>
      </c>
      <c r="K7" s="20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294</v>
      </c>
      <c r="C8" s="40" t="s">
        <v>44</v>
      </c>
      <c r="D8" s="20" t="s">
        <v>295</v>
      </c>
      <c r="E8" s="41" t="s">
        <v>296</v>
      </c>
      <c r="F8" s="203" t="s">
        <v>297</v>
      </c>
      <c r="G8" s="41" t="s">
        <v>298</v>
      </c>
      <c r="H8" s="41" t="s">
        <v>299</v>
      </c>
      <c r="I8" s="41" t="s">
        <v>300</v>
      </c>
      <c r="J8" s="41" t="s">
        <v>301</v>
      </c>
      <c r="K8" s="20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20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20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20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20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5"/>
      <c r="C13" s="41"/>
      <c r="D13" s="41"/>
      <c r="E13" s="41"/>
      <c r="F13" s="24"/>
      <c r="G13" s="41"/>
      <c r="H13" s="41"/>
      <c r="I13" s="41"/>
      <c r="J13" s="24"/>
      <c r="K13" s="20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20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0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0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0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0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0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0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0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0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06">
        <v>0.25</v>
      </c>
      <c r="K23" s="20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0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0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0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0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0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0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0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20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7" t="s">
        <v>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33</v>
      </c>
      <c r="B4" s="35" t="s">
        <v>34</v>
      </c>
      <c r="C4" s="35" t="s">
        <v>35</v>
      </c>
      <c r="D4" s="35" t="s">
        <v>37</v>
      </c>
      <c r="E4" s="35" t="s">
        <v>36</v>
      </c>
      <c r="F4" s="35" t="s">
        <v>38</v>
      </c>
      <c r="G4" s="208" t="s">
        <v>303</v>
      </c>
      <c r="H4" s="56"/>
      <c r="I4" s="56"/>
      <c r="J4" s="56"/>
      <c r="K4" s="57"/>
      <c r="L4" s="36" t="s">
        <v>293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304</v>
      </c>
      <c r="H5" s="37" t="s">
        <v>305</v>
      </c>
      <c r="I5" s="37" t="s">
        <v>306</v>
      </c>
      <c r="J5" s="37" t="s">
        <v>307</v>
      </c>
      <c r="K5" s="37" t="s">
        <v>308</v>
      </c>
      <c r="L5" s="37" t="s">
        <v>41</v>
      </c>
      <c r="M5" s="209" t="s">
        <v>42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44</v>
      </c>
      <c r="D7" s="41" t="s">
        <v>309</v>
      </c>
      <c r="E7" s="41" t="s">
        <v>310</v>
      </c>
      <c r="F7" s="41" t="s">
        <v>311</v>
      </c>
      <c r="G7" s="24"/>
      <c r="H7" s="24"/>
      <c r="I7" s="24"/>
      <c r="J7" s="24"/>
      <c r="K7" s="41" t="s">
        <v>312</v>
      </c>
      <c r="L7" s="24"/>
      <c r="M7" s="20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51</v>
      </c>
      <c r="D8" s="41"/>
      <c r="E8" s="41"/>
      <c r="F8" s="41"/>
      <c r="G8" s="24"/>
      <c r="H8" s="24"/>
      <c r="I8" s="24"/>
      <c r="J8" s="24"/>
      <c r="K8" s="41"/>
      <c r="L8" s="24"/>
      <c r="M8" s="20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2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33</v>
      </c>
      <c r="B4" s="35" t="s">
        <v>34</v>
      </c>
      <c r="C4" s="35" t="s">
        <v>35</v>
      </c>
      <c r="D4" s="35" t="s">
        <v>36</v>
      </c>
      <c r="E4" s="35" t="s">
        <v>37</v>
      </c>
      <c r="F4" s="35" t="s">
        <v>38</v>
      </c>
      <c r="G4" s="197" t="s">
        <v>39</v>
      </c>
      <c r="H4" s="36" t="s">
        <v>40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41</v>
      </c>
      <c r="I5" s="37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1">
        <v>1.0</v>
      </c>
      <c r="B7" s="41" t="s">
        <v>314</v>
      </c>
      <c r="C7" s="40" t="s">
        <v>44</v>
      </c>
      <c r="D7" s="41" t="s">
        <v>315</v>
      </c>
      <c r="E7" s="41" t="s">
        <v>316</v>
      </c>
      <c r="F7" s="41" t="s">
        <v>317</v>
      </c>
      <c r="G7" s="41" t="s">
        <v>318</v>
      </c>
      <c r="H7" s="41" t="s">
        <v>319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1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1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1">
        <v>4.0</v>
      </c>
      <c r="B10" s="41"/>
      <c r="C10" s="41"/>
      <c r="D10" s="212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>
        <v>5.0</v>
      </c>
      <c r="B11" s="205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3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3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3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3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3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3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3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3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3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3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3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3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3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3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3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3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3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3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5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33</v>
      </c>
      <c r="B5" s="35" t="s">
        <v>34</v>
      </c>
      <c r="C5" s="35" t="s">
        <v>35</v>
      </c>
      <c r="D5" s="35" t="s">
        <v>36</v>
      </c>
      <c r="E5" s="35" t="s">
        <v>37</v>
      </c>
      <c r="F5" s="35" t="s">
        <v>38</v>
      </c>
      <c r="G5" s="197" t="s">
        <v>39</v>
      </c>
      <c r="H5" s="36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41</v>
      </c>
      <c r="I6" s="37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322</v>
      </c>
      <c r="C8" s="40" t="s">
        <v>44</v>
      </c>
      <c r="D8" s="19" t="s">
        <v>323</v>
      </c>
      <c r="E8" s="41" t="s">
        <v>324</v>
      </c>
      <c r="F8" s="41" t="s">
        <v>325</v>
      </c>
      <c r="G8" s="41" t="s">
        <v>326</v>
      </c>
      <c r="H8" s="41" t="s">
        <v>327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3"/>
      <c r="B11" s="214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/>
      <c r="B12" s="215"/>
      <c r="C12" s="41"/>
      <c r="D12" s="212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1"/>
      <c r="B13" s="216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3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3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3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3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3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3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3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3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3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3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3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3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3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3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3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3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3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3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