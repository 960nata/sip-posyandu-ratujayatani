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SOSIAL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</sheets>
  <definedNames/>
  <calcPr/>
</workbook>
</file>

<file path=xl/sharedStrings.xml><?xml version="1.0" encoding="utf-8"?>
<sst xmlns="http://schemas.openxmlformats.org/spreadsheetml/2006/main" count="3044" uniqueCount="1541">
  <si>
    <t>DATABASE POSYANDU</t>
  </si>
  <si>
    <t>DESA</t>
  </si>
  <si>
    <t>: WONOSARI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</si>
  <si>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</si>
  <si>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</si>
  <si>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</si>
  <si>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</si>
  <si>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</si>
  <si>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</si>
  <si>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</si>
  <si>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 xml:space="preserve"> 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</si>
  <si>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</si>
  <si>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</si>
  <si>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</si>
  <si>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</si>
  <si>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</si>
  <si>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</si>
  <si>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</si>
  <si>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</si>
  <si>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</si>
  <si>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</si>
  <si>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</si>
  <si>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</si>
  <si>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SRI MAWARSARI</t>
  </si>
  <si>
    <t>TANGGAL 10</t>
  </si>
  <si>
    <t>V</t>
  </si>
  <si>
    <t>PURNAMA</t>
  </si>
  <si>
    <t>MELATI 1</t>
  </si>
  <si>
    <t>TANGGAL 12</t>
  </si>
  <si>
    <t>MELATI 2</t>
  </si>
  <si>
    <t>TANGGAL 18</t>
  </si>
  <si>
    <t>BINA KELUARGA</t>
  </si>
  <si>
    <t>TANGGAL 20</t>
  </si>
  <si>
    <t>BUDI BAHAGIA</t>
  </si>
  <si>
    <t>TANGGAL 16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</si>
  <si>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</si>
  <si>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</si>
  <si>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</si>
  <si>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</si>
  <si>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</si>
  <si>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</si>
  <si>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</si>
  <si>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</si>
  <si>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</si>
  <si>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</si>
  <si>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</si>
  <si>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</si>
  <si>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</si>
  <si>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1807045607110001</t>
  </si>
  <si>
    <t>ADIVA SHARLIZ RAIHANA</t>
  </si>
  <si>
    <t>RT 06/02</t>
  </si>
  <si>
    <t>Tidak ada biaya untuk Kuliah jadi mengajukan pembuatan KIP</t>
  </si>
  <si>
    <t>Sudah diproses</t>
  </si>
  <si>
    <t>-</t>
  </si>
  <si>
    <t>1807042111090001</t>
  </si>
  <si>
    <t>FA'IQ AL MALIK</t>
  </si>
  <si>
    <t>RT04/02</t>
  </si>
  <si>
    <t>1807044601070002</t>
  </si>
  <si>
    <t>LIVIA RAHMASARI</t>
  </si>
  <si>
    <t>rt 13 rw 06</t>
  </si>
  <si>
    <t>1807046502060001</t>
  </si>
  <si>
    <t>DHEA RAYUNG WULAN</t>
  </si>
  <si>
    <t>RT 03 RW 01</t>
  </si>
  <si>
    <t>3175025303080013</t>
  </si>
  <si>
    <t>CUT CHOLIDYAH</t>
  </si>
  <si>
    <t>RT 009 RW 004</t>
  </si>
  <si>
    <t>1807044111070001</t>
  </si>
  <si>
    <t>SHEILA DIAH ARWINDA</t>
  </si>
  <si>
    <t>RT 003 RW 001</t>
  </si>
  <si>
    <t>21 - 01 - 2026</t>
  </si>
  <si>
    <t>RT 006 RW 002</t>
  </si>
  <si>
    <t>3174084601101001</t>
  </si>
  <si>
    <t>SYIFA HIDAYAH</t>
  </si>
  <si>
    <t>RT 24 RW 07</t>
  </si>
  <si>
    <t>180704423990002</t>
  </si>
  <si>
    <t xml:space="preserve">MAGFIRA </t>
  </si>
  <si>
    <t>RT 13 RW 06</t>
  </si>
  <si>
    <t>BIDANG SOSIAL</t>
  </si>
  <si>
    <t>DESA:</t>
  </si>
  <si>
    <t>:  WONOSARI</t>
  </si>
  <si>
    <t>WONOSARI</t>
  </si>
  <si>
    <t>1807041501670001</t>
  </si>
  <si>
    <t>SUGIYANTO</t>
  </si>
  <si>
    <t>RT 01 RW 07</t>
  </si>
  <si>
    <t>PENGAJUAN KIS</t>
  </si>
  <si>
    <t>LANGSUNG DI AJUKAN DAN DISETUJUI</t>
  </si>
  <si>
    <t>1807051307860003</t>
  </si>
  <si>
    <t>SURATMAN</t>
  </si>
  <si>
    <t>RT 06 RW 02</t>
  </si>
  <si>
    <t>1807040105300005</t>
  </si>
  <si>
    <t>HARJO SUWITO</t>
  </si>
  <si>
    <t>RT 024 RW 07</t>
  </si>
  <si>
    <t>1807041004630004</t>
  </si>
  <si>
    <t>NGADIYO</t>
  </si>
  <si>
    <t>RT 001 RW 001</t>
  </si>
  <si>
    <t>1802232604950003</t>
  </si>
  <si>
    <t>FAHUDIANTO</t>
  </si>
  <si>
    <t>RT 16 RW 07</t>
  </si>
  <si>
    <t>1807041212690007</t>
  </si>
  <si>
    <t>SIDIQ PRAMONO</t>
  </si>
  <si>
    <t>1807042807990002</t>
  </si>
  <si>
    <t xml:space="preserve">ANDRE FUAD SETIAWAN </t>
  </si>
  <si>
    <t>RT 006 RW 005</t>
  </si>
  <si>
    <t>1804100710730002</t>
  </si>
  <si>
    <t>ROHMAN</t>
  </si>
  <si>
    <t>RT 008 RW 002</t>
  </si>
  <si>
    <t>31750253030800013</t>
  </si>
  <si>
    <t>1802041301840006</t>
  </si>
  <si>
    <t>NANANG IRAWAN</t>
  </si>
  <si>
    <t>RT 007 RW 002</t>
  </si>
  <si>
    <t>1802071912840001</t>
  </si>
  <si>
    <t>RUDY SUKMAN</t>
  </si>
  <si>
    <t>RT 11 RW 5</t>
  </si>
  <si>
    <t>1807132308880005</t>
  </si>
  <si>
    <t>DIDIK HARYANTO</t>
  </si>
  <si>
    <t>1807040503580004</t>
  </si>
  <si>
    <t>SARJONO</t>
  </si>
  <si>
    <t>RT 18 RW 009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</si>
  <si>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</si>
  <si>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</si>
  <si>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</si>
  <si>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</si>
  <si>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</si>
  <si>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</si>
  <si>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</si>
  <si>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</si>
  <si>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</si>
  <si>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</si>
  <si>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</si>
  <si>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</si>
  <si>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</si>
  <si>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</si>
  <si>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</si>
  <si>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</si>
  <si>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</si>
  <si>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</si>
  <si>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</si>
  <si>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</si>
  <si>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</si>
  <si>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</si>
  <si>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</si>
  <si>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</si>
  <si>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</si>
  <si>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</si>
  <si>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</si>
  <si>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</si>
  <si>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</si>
  <si>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</si>
  <si>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</si>
  <si>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</si>
  <si>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</si>
  <si>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</si>
  <si>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</si>
  <si>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</si>
  <si>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</si>
  <si>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</si>
  <si>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</si>
  <si>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</si>
  <si>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</si>
  <si>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</si>
  <si>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</si>
  <si>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</si>
  <si>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</si>
  <si>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</si>
  <si>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</si>
  <si>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</si>
  <si>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</si>
  <si>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</si>
  <si>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</si>
  <si>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</si>
  <si>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</si>
  <si>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</si>
  <si>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</si>
  <si>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</si>
  <si>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</si>
  <si>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ATMANISA</t>
  </si>
  <si>
    <t>SURYA  DWI</t>
  </si>
  <si>
    <t>ROLINDA DWI</t>
  </si>
  <si>
    <t>RIKI</t>
  </si>
  <si>
    <t>NINDITA PUTRI</t>
  </si>
  <si>
    <t>M. KHOIRUL</t>
  </si>
  <si>
    <t>FITRA NINGSIH</t>
  </si>
  <si>
    <t>HONO S</t>
  </si>
  <si>
    <t>SEN SEN</t>
  </si>
  <si>
    <t>GILANG</t>
  </si>
  <si>
    <t>SUGIYARTI</t>
  </si>
  <si>
    <t>IMAM E</t>
  </si>
  <si>
    <t>DEA JULIA PUTRI</t>
  </si>
  <si>
    <t>ERWIN S</t>
  </si>
  <si>
    <t>DEA PUTRI A</t>
  </si>
  <si>
    <t>REFIAN DWI K</t>
  </si>
  <si>
    <t>RINI KURNIASIH</t>
  </si>
  <si>
    <t>FIRMAN F</t>
  </si>
  <si>
    <t>IPA LATIPAH</t>
  </si>
  <si>
    <t>FERI S</t>
  </si>
  <si>
    <t>WINDA P</t>
  </si>
  <si>
    <t>WINARNO</t>
  </si>
  <si>
    <t>AYU INDAH L</t>
  </si>
  <si>
    <t>FARIF B</t>
  </si>
  <si>
    <t>PARYATI</t>
  </si>
  <si>
    <t>EKO WIDODO</t>
  </si>
  <si>
    <t>EKA YULI ASTUTI</t>
  </si>
  <si>
    <t>NUGROHO</t>
  </si>
  <si>
    <t>EKA SUN J</t>
  </si>
  <si>
    <t>IHSAN U</t>
  </si>
  <si>
    <t>ROSA SETIA D</t>
  </si>
  <si>
    <t>ADE</t>
  </si>
  <si>
    <t>APRILIA WINDA</t>
  </si>
  <si>
    <t>RENO F</t>
  </si>
  <si>
    <t>ENDANG S</t>
  </si>
  <si>
    <t>MARYONO</t>
  </si>
  <si>
    <t>EVA N</t>
  </si>
  <si>
    <t>ROHMAN I</t>
  </si>
  <si>
    <t>ANISA M</t>
  </si>
  <si>
    <t>YEYENA YASIN</t>
  </si>
  <si>
    <t>RAFITA I</t>
  </si>
  <si>
    <t>ANGGA S</t>
  </si>
  <si>
    <t>RURI H</t>
  </si>
  <si>
    <t>JUMAWAN</t>
  </si>
  <si>
    <t>tika y</t>
  </si>
  <si>
    <t>hari susanto</t>
  </si>
  <si>
    <t>KEISHA AURELIA AZZAHRA</t>
  </si>
  <si>
    <t>anita mandasari</t>
  </si>
  <si>
    <t>fahrul hanafi</t>
  </si>
  <si>
    <t>AQMAR REYSHAKA</t>
  </si>
  <si>
    <t>TUTUT WURI</t>
  </si>
  <si>
    <t>ALFIAN</t>
  </si>
  <si>
    <t>FAHIRA ALMASYIFA</t>
  </si>
  <si>
    <t>SILVI</t>
  </si>
  <si>
    <t>IBNU ADITYA</t>
  </si>
  <si>
    <t>VIONA</t>
  </si>
  <si>
    <t>puji widiastutu</t>
  </si>
  <si>
    <t>amir mustofa</t>
  </si>
  <si>
    <t>MUHAMMAD AL HAFIDZ</t>
  </si>
  <si>
    <t>eni tri puspita</t>
  </si>
  <si>
    <t>RAHAYU</t>
  </si>
  <si>
    <t>ELFESYA LEONORA RINJANI</t>
  </si>
  <si>
    <t>sindi ayunita</t>
  </si>
  <si>
    <t>FAISAL F</t>
  </si>
  <si>
    <t>GHIFAR KHALLIF RAGNALA</t>
  </si>
  <si>
    <t>SEPTI</t>
  </si>
  <si>
    <t>DEDI IRAWAN</t>
  </si>
  <si>
    <t>M ABIYAN ALVARENDRA</t>
  </si>
  <si>
    <t>lailatul nurrohma</t>
  </si>
  <si>
    <t>HANI MUSTOFA</t>
  </si>
  <si>
    <t>HALWA FITRIANA SALSABILA</t>
  </si>
  <si>
    <t>feri novita sari</t>
  </si>
  <si>
    <t>HERI</t>
  </si>
  <si>
    <t>KEYNAYA RAISHA PUTRI</t>
  </si>
  <si>
    <t>LINDA SARI FUNISAH</t>
  </si>
  <si>
    <t>NURWAHID</t>
  </si>
  <si>
    <t>AL MADINA NARUMI</t>
  </si>
  <si>
    <t>ZASKIA NAJWA</t>
  </si>
  <si>
    <t>BINA ERI</t>
  </si>
  <si>
    <t>ARCELIO ELNATHAN</t>
  </si>
  <si>
    <t>FATIMAH S</t>
  </si>
  <si>
    <t>HABIB</t>
  </si>
  <si>
    <t>ABDINAJAH MURBARAGA</t>
  </si>
  <si>
    <t>AMINATUS</t>
  </si>
  <si>
    <t>AHMAD SAFE'I</t>
  </si>
  <si>
    <t>MEISYA SAFIRA AFSIENA</t>
  </si>
  <si>
    <t>MAY FARIDAH</t>
  </si>
  <si>
    <t>M ABDUL R</t>
  </si>
  <si>
    <t>SHAYENA HASNA RASYIDA</t>
  </si>
  <si>
    <t>RIA ROMANTI</t>
  </si>
  <si>
    <t>REINDRA ADI PRATAMA</t>
  </si>
  <si>
    <t>TIARA LESTARI</t>
  </si>
  <si>
    <t>A RIZKY D</t>
  </si>
  <si>
    <t>ALEEYA DZAKIRA SHAQUEENA</t>
  </si>
  <si>
    <t>SUGIYANTI</t>
  </si>
  <si>
    <t>ADRIAN OKTA</t>
  </si>
  <si>
    <t>RAYYAN ATHARRAZKA</t>
  </si>
  <si>
    <t>RANTI LINDIANI</t>
  </si>
  <si>
    <t>SALAM N</t>
  </si>
  <si>
    <t>RADEVA FAHRI PRATAMA</t>
  </si>
  <si>
    <t>LIA OKTAVIANI</t>
  </si>
  <si>
    <t>FIQIH S</t>
  </si>
  <si>
    <t>GAFFY JUNI</t>
  </si>
  <si>
    <t>AYUK QISTINA SARI</t>
  </si>
  <si>
    <t>ANDRE FUAD</t>
  </si>
  <si>
    <t>ANDRA SATYAA WIGUNA</t>
  </si>
  <si>
    <t>Puspita Wulandari</t>
  </si>
  <si>
    <t>ARIYANTO</t>
  </si>
  <si>
    <t>ALLEA SHANUM</t>
  </si>
  <si>
    <t>DWI RESI M</t>
  </si>
  <si>
    <t>FAISAL H</t>
  </si>
  <si>
    <t>ALTHAF</t>
  </si>
  <si>
    <t>fidelia asri</t>
  </si>
  <si>
    <t>CAHYA</t>
  </si>
  <si>
    <t>JOSHUA VIONEL LYSANDER</t>
  </si>
  <si>
    <t>RESZA FATMARA</t>
  </si>
  <si>
    <t>WAHYU A</t>
  </si>
  <si>
    <t>MUHAMMAD IBRAHIM AL BARRA</t>
  </si>
  <si>
    <t>INTAN WARICA</t>
  </si>
  <si>
    <t>DODI</t>
  </si>
  <si>
    <t>FABIO EXCEL ALTEZZA</t>
  </si>
  <si>
    <t>Rita ambaryani</t>
  </si>
  <si>
    <t>DWI P</t>
  </si>
  <si>
    <t>MANNA EFRATA</t>
  </si>
  <si>
    <t>PUSPITA CAHYA</t>
  </si>
  <si>
    <t>ANGGI</t>
  </si>
  <si>
    <t>AL SHAMIRA</t>
  </si>
  <si>
    <t>Citra Kusuma Wardani</t>
  </si>
  <si>
    <t>M RIZA</t>
  </si>
  <si>
    <t>ARCELLIO RAZKA ELNATHAN</t>
  </si>
  <si>
    <t>Rizky agustina</t>
  </si>
  <si>
    <t>WAZIR N</t>
  </si>
  <si>
    <t>ARVIND RYANDRA AL FARIZI</t>
  </si>
  <si>
    <t>Lina Febri Rastanty</t>
  </si>
  <si>
    <t>YUDA R</t>
  </si>
  <si>
    <t>BRIELLA JOYCE REGANATA</t>
  </si>
  <si>
    <t>aprilia maharani</t>
  </si>
  <si>
    <t>FREDY</t>
  </si>
  <si>
    <t>JASMINE VERLYN AYUNDA</t>
  </si>
  <si>
    <t>nanda armita</t>
  </si>
  <si>
    <t>IVAN N</t>
  </si>
  <si>
    <t>GHAZY DEVAN</t>
  </si>
  <si>
    <t>PUTRI KUSUMA NINGRUM</t>
  </si>
  <si>
    <t>TONI H</t>
  </si>
  <si>
    <t>DINARA</t>
  </si>
  <si>
    <t>andriyani yulina</t>
  </si>
  <si>
    <t>EDI P</t>
  </si>
  <si>
    <t>ALLUNA KANAYANA SAPUTRI</t>
  </si>
  <si>
    <t>VITA</t>
  </si>
  <si>
    <t>N0VA</t>
  </si>
  <si>
    <t>AQILA ALMAHYRA</t>
  </si>
  <si>
    <t>HANI</t>
  </si>
  <si>
    <t>ADI</t>
  </si>
  <si>
    <t>MAUREN AYDA</t>
  </si>
  <si>
    <t>DESI</t>
  </si>
  <si>
    <t>HARDI</t>
  </si>
  <si>
    <t>RAFIF KANAKA</t>
  </si>
  <si>
    <t>WINDA</t>
  </si>
  <si>
    <t>SURYA</t>
  </si>
  <si>
    <t>SABRINA JANITA</t>
  </si>
  <si>
    <t>NINING</t>
  </si>
  <si>
    <t>TONI</t>
  </si>
  <si>
    <t>GENDIS AILSA JENAR</t>
  </si>
  <si>
    <t>ANISHA</t>
  </si>
  <si>
    <t>RIDHO</t>
  </si>
  <si>
    <t>ADNAN MUMTAZ</t>
  </si>
  <si>
    <t>DIAH AYU</t>
  </si>
  <si>
    <t>M. NUR</t>
  </si>
  <si>
    <t>M SHAKA ARDANA</t>
  </si>
  <si>
    <t>WIDYA</t>
  </si>
  <si>
    <t>EKO</t>
  </si>
  <si>
    <t>ALVARO PARDAMEAN S.</t>
  </si>
  <si>
    <t>ANANDAYU</t>
  </si>
  <si>
    <t>BANGUN</t>
  </si>
  <si>
    <t>ARSYA ALANZIO</t>
  </si>
  <si>
    <t>FENTRI YANI</t>
  </si>
  <si>
    <t>DONI IRAWAN</t>
  </si>
  <si>
    <t>IBRAHIM RAY</t>
  </si>
  <si>
    <t>WIKA DWI</t>
  </si>
  <si>
    <t>EKO AGUS</t>
  </si>
  <si>
    <t>ASKARA ARCELIO</t>
  </si>
  <si>
    <t>ARISCA</t>
  </si>
  <si>
    <t>VIARGA</t>
  </si>
  <si>
    <t>SAYYIDAH FATIMAH</t>
  </si>
  <si>
    <t>ENIH SERLIA</t>
  </si>
  <si>
    <t>DEDEK</t>
  </si>
  <si>
    <t>DAFIYA ALMAHYRA</t>
  </si>
  <si>
    <t>sinta tiara</t>
  </si>
  <si>
    <t>DECA</t>
  </si>
  <si>
    <t>ZAIDEN SHAQUILLE</t>
  </si>
  <si>
    <t>ARI SUSANA WATI</t>
  </si>
  <si>
    <t>ASRAF</t>
  </si>
  <si>
    <t>INTAN NUR HASANAH</t>
  </si>
  <si>
    <t>M HAFIZ MASYUR</t>
  </si>
  <si>
    <t>CINDI FITRIANI</t>
  </si>
  <si>
    <t>RAFFASYA ARKHA RENAGA</t>
  </si>
  <si>
    <t>LAILATUL UMAYA</t>
  </si>
  <si>
    <t>RAYLIN UMAESHA</t>
  </si>
  <si>
    <t>SILVIANA</t>
  </si>
  <si>
    <t>M FAEYZA ALFARIZI</t>
  </si>
  <si>
    <t>CENNY PUTRI</t>
  </si>
  <si>
    <t>ELZAN RAYYAN</t>
  </si>
  <si>
    <t>INDIRA NOVI</t>
  </si>
  <si>
    <t>NANDA</t>
  </si>
  <si>
    <t>M KHALIFA</t>
  </si>
  <si>
    <t>RINDIANI</t>
  </si>
  <si>
    <t>ANWAR</t>
  </si>
  <si>
    <t>M AL HANAN</t>
  </si>
  <si>
    <t>SITI ROHANA</t>
  </si>
  <si>
    <t>NIKA K</t>
  </si>
  <si>
    <t>AFBIYAN</t>
  </si>
  <si>
    <t>VENI SUNDARI</t>
  </si>
  <si>
    <t>RIYO</t>
  </si>
  <si>
    <t>NARAYA GIA ALETHA</t>
  </si>
  <si>
    <t>YULI IRMA</t>
  </si>
  <si>
    <t>DILAN</t>
  </si>
  <si>
    <t>DEVI RATNA</t>
  </si>
  <si>
    <t>WARJIMAN</t>
  </si>
  <si>
    <t>TANIA KHANSA</t>
  </si>
  <si>
    <t>VINA MUSTIKA</t>
  </si>
  <si>
    <t>M ARSYA ABIMANYU</t>
  </si>
  <si>
    <t>DEA ULITA</t>
  </si>
  <si>
    <t>RENDI</t>
  </si>
  <si>
    <t>RAYHAN ARRAHIM</t>
  </si>
  <si>
    <t>UMI MAUNAH</t>
  </si>
  <si>
    <t>IKWAR</t>
  </si>
  <si>
    <t>RALINE AIKO</t>
  </si>
  <si>
    <t>NUR AZIZAH</t>
  </si>
  <si>
    <t>IMAM</t>
  </si>
  <si>
    <t>DEVANKA ARSYAD</t>
  </si>
  <si>
    <t>CIRANNA DWI</t>
  </si>
  <si>
    <t>HAFIZ</t>
  </si>
  <si>
    <t>ARCIO</t>
  </si>
  <si>
    <t>EKA WATI</t>
  </si>
  <si>
    <t>NGATINO</t>
  </si>
  <si>
    <t>SEPTA QUEEN</t>
  </si>
  <si>
    <t>LUSIANA</t>
  </si>
  <si>
    <t>M SYARIFUDIN</t>
  </si>
  <si>
    <t>KAMILA</t>
  </si>
  <si>
    <t>SITI TURIYAH</t>
  </si>
  <si>
    <t>EKO SUWARNO</t>
  </si>
  <si>
    <t>AZLAN RAID</t>
  </si>
  <si>
    <t>IRFAN</t>
  </si>
  <si>
    <t>REGINA</t>
  </si>
  <si>
    <t>M FAREZKY ALFAIZ</t>
  </si>
  <si>
    <t>WAHYU</t>
  </si>
  <si>
    <t>MINARA KAHIYANG</t>
  </si>
  <si>
    <t>ANGGUN DIANILA</t>
  </si>
  <si>
    <t>RAHMAT S</t>
  </si>
  <si>
    <t>ZIYA</t>
  </si>
  <si>
    <t>HARDIKA</t>
  </si>
  <si>
    <t>HANA SYAFA</t>
  </si>
  <si>
    <t>INTI DAMAYANTI</t>
  </si>
  <si>
    <t>GAYA</t>
  </si>
  <si>
    <t>ALZENA NADIRA</t>
  </si>
  <si>
    <t>TIA</t>
  </si>
  <si>
    <t>HARI KURNIAWAN</t>
  </si>
  <si>
    <t>MANUELA BREGITA</t>
  </si>
  <si>
    <t>AYU WULAN</t>
  </si>
  <si>
    <t>FITRI S</t>
  </si>
  <si>
    <t>AZQIA JENNAIRA ELSHANUM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</si>
  <si>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</si>
  <si>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</si>
  <si>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</si>
  <si>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</si>
  <si>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</si>
  <si>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</si>
  <si>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</si>
  <si>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rafi nur aziz</t>
  </si>
  <si>
    <t xml:space="preserve">sri </t>
  </si>
  <si>
    <t>candra</t>
  </si>
  <si>
    <t>m. rido</t>
  </si>
  <si>
    <t>21 -8- 2019</t>
  </si>
  <si>
    <t>eriana</t>
  </si>
  <si>
    <t>andi</t>
  </si>
  <si>
    <t>RAFI H</t>
  </si>
  <si>
    <t>TRIS</t>
  </si>
  <si>
    <t>ZEA VIONA</t>
  </si>
  <si>
    <t>PIPIT A</t>
  </si>
  <si>
    <t>YUSDARMA</t>
  </si>
  <si>
    <t>ALIZA ZAHIRA</t>
  </si>
  <si>
    <t>IMA</t>
  </si>
  <si>
    <t>WANTO</t>
  </si>
  <si>
    <t>AYU ALYA D</t>
  </si>
  <si>
    <t>SUMARYANI</t>
  </si>
  <si>
    <t>SUPARNO</t>
  </si>
  <si>
    <t>AYU ALYA DEWI</t>
  </si>
  <si>
    <t>PUTRI</t>
  </si>
  <si>
    <t>DESI R</t>
  </si>
  <si>
    <t>SUITWAN</t>
  </si>
  <si>
    <t>M. DILAN</t>
  </si>
  <si>
    <t>ATIJAH</t>
  </si>
  <si>
    <t>SYAKIRA</t>
  </si>
  <si>
    <t>NENEMG</t>
  </si>
  <si>
    <t>YUDI</t>
  </si>
  <si>
    <t>MUH. SYAFIQ</t>
  </si>
  <si>
    <t>RICE</t>
  </si>
  <si>
    <t>ATA FARIS</t>
  </si>
  <si>
    <t>EKA</t>
  </si>
  <si>
    <t>AGUS</t>
  </si>
  <si>
    <t>MIRANTI</t>
  </si>
  <si>
    <t>SIGIT</t>
  </si>
  <si>
    <t>ANUM</t>
  </si>
  <si>
    <t>MIFTA</t>
  </si>
  <si>
    <t>DESTA</t>
  </si>
  <si>
    <t>KANAYA W</t>
  </si>
  <si>
    <t>AYU</t>
  </si>
  <si>
    <t>RAFA</t>
  </si>
  <si>
    <t>ITA</t>
  </si>
  <si>
    <t>SUTOMO</t>
  </si>
  <si>
    <t>FANI</t>
  </si>
  <si>
    <t>NAZWA</t>
  </si>
  <si>
    <t>YUNI</t>
  </si>
  <si>
    <t>AKHTAR</t>
  </si>
  <si>
    <t xml:space="preserve">YESI </t>
  </si>
  <si>
    <t>DEDI</t>
  </si>
  <si>
    <t>AISWA</t>
  </si>
  <si>
    <t>LENI</t>
  </si>
  <si>
    <t>BUSTANUL</t>
  </si>
  <si>
    <t>RAFIS KI</t>
  </si>
  <si>
    <t>19/01/0202</t>
  </si>
  <si>
    <t>EGGI</t>
  </si>
  <si>
    <t>HARI</t>
  </si>
  <si>
    <t>KEYRA</t>
  </si>
  <si>
    <t>DEA</t>
  </si>
  <si>
    <t>FAHRI</t>
  </si>
  <si>
    <t>ZEYHAN</t>
  </si>
  <si>
    <t>RTARI</t>
  </si>
  <si>
    <t>M/ HISYAM</t>
  </si>
  <si>
    <t>TIKA</t>
  </si>
  <si>
    <t>CANDRA</t>
  </si>
  <si>
    <t>GAMA LIEL</t>
  </si>
  <si>
    <t>HENDRO</t>
  </si>
  <si>
    <t>DWI</t>
  </si>
  <si>
    <t>M. KAMAL</t>
  </si>
  <si>
    <t>ARI</t>
  </si>
  <si>
    <t>DEWI</t>
  </si>
  <si>
    <t>REHANAYA</t>
  </si>
  <si>
    <t>WAYAN</t>
  </si>
  <si>
    <t>ALEX</t>
  </si>
  <si>
    <t>M. RAFKA</t>
  </si>
  <si>
    <t>ENDRO</t>
  </si>
  <si>
    <t>TITIK</t>
  </si>
  <si>
    <t>TITIN</t>
  </si>
  <si>
    <t>17/04/0202</t>
  </si>
  <si>
    <t>IPANA</t>
  </si>
  <si>
    <t>ANDRAE</t>
  </si>
  <si>
    <t>MONICA</t>
  </si>
  <si>
    <t>A. FATAH</t>
  </si>
  <si>
    <t>MELI</t>
  </si>
  <si>
    <t>PURWANTO</t>
  </si>
  <si>
    <t>ARKA</t>
  </si>
  <si>
    <t>SANTI</t>
  </si>
  <si>
    <t>M. ZIEA</t>
  </si>
  <si>
    <t>TANTI</t>
  </si>
  <si>
    <t>YAYAN</t>
  </si>
  <si>
    <t>AISYAHTUL</t>
  </si>
  <si>
    <t>BENI</t>
  </si>
  <si>
    <t>TATO</t>
  </si>
  <si>
    <t>GM. GIBRAN</t>
  </si>
  <si>
    <t>NAURISA</t>
  </si>
  <si>
    <t xml:space="preserve">IRA </t>
  </si>
  <si>
    <t>M. DIRGA</t>
  </si>
  <si>
    <t>ROSITA</t>
  </si>
  <si>
    <t>RYAN</t>
  </si>
  <si>
    <t>EISOL LANIKA</t>
  </si>
  <si>
    <t>YENI</t>
  </si>
  <si>
    <t>M. ZAIDAN</t>
  </si>
  <si>
    <t>UMI</t>
  </si>
  <si>
    <t>RIO</t>
  </si>
  <si>
    <t>MAHATFA</t>
  </si>
  <si>
    <t>ANDI</t>
  </si>
  <si>
    <t>FAHIM</t>
  </si>
  <si>
    <t>BUSNUN</t>
  </si>
  <si>
    <t>JEFRI</t>
  </si>
  <si>
    <t>M. GAISAN</t>
  </si>
  <si>
    <t>RENI</t>
  </si>
  <si>
    <t>HENDRIK</t>
  </si>
  <si>
    <t>A.ZIKRI</t>
  </si>
  <si>
    <t xml:space="preserve">IMNAYAH </t>
  </si>
  <si>
    <t>FEBRI</t>
  </si>
  <si>
    <t>ADLINA KHOIRUNISA</t>
  </si>
  <si>
    <t>JAROT</t>
  </si>
  <si>
    <t>ERLANGGA ALHAPSI</t>
  </si>
  <si>
    <t>REDI</t>
  </si>
  <si>
    <t>HILYA ZUNAIRA</t>
  </si>
  <si>
    <t>CHELSEA ADELIA</t>
  </si>
  <si>
    <t>RIAN</t>
  </si>
  <si>
    <t>AKMAR</t>
  </si>
  <si>
    <t>AGUNG</t>
  </si>
  <si>
    <t>M. ALBAR BENZENA</t>
  </si>
  <si>
    <t>DONA</t>
  </si>
  <si>
    <t>ATHAFARIZ PRATAMA</t>
  </si>
  <si>
    <t>DWI RESI</t>
  </si>
  <si>
    <t>ALGHIFARI ADIT</t>
  </si>
  <si>
    <t>ALI</t>
  </si>
  <si>
    <t>ABERCIO</t>
  </si>
  <si>
    <t>AJI</t>
  </si>
  <si>
    <t>SINDI</t>
  </si>
  <si>
    <t>ASFAQI F</t>
  </si>
  <si>
    <t>AGUSS</t>
  </si>
  <si>
    <t>ELNINO ZELATAN</t>
  </si>
  <si>
    <t>DIDIK</t>
  </si>
  <si>
    <t>GIBRAN</t>
  </si>
  <si>
    <t>RISWANTO</t>
  </si>
  <si>
    <t>ARKHANZA ALFAREZI</t>
  </si>
  <si>
    <t>RACHEL MAUREN</t>
  </si>
  <si>
    <t>ANGGA</t>
  </si>
  <si>
    <t>ALFAREZEL</t>
  </si>
  <si>
    <t>INDRA</t>
  </si>
  <si>
    <t>IKBAL LANANG</t>
  </si>
  <si>
    <t>IRWAN</t>
  </si>
  <si>
    <t>JIHAN ALMEERA</t>
  </si>
  <si>
    <t>GUGUN</t>
  </si>
  <si>
    <t>MARSELINUS</t>
  </si>
  <si>
    <t>BRAYEN</t>
  </si>
  <si>
    <t>DEVEN GUNTUR</t>
  </si>
  <si>
    <t>ZEA FIONA KHANZA</t>
  </si>
  <si>
    <t>DENI</t>
  </si>
  <si>
    <t>BILLY ARDINATHA SIDIQ</t>
  </si>
  <si>
    <t>MASRUR</t>
  </si>
  <si>
    <t>MALIKA NAJWA</t>
  </si>
  <si>
    <t>MUHTAR</t>
  </si>
  <si>
    <t>KENZI FAIZ NUGROHO</t>
  </si>
  <si>
    <t>OKTISA AJI PURWANTI</t>
  </si>
  <si>
    <t>ELIZA A</t>
  </si>
  <si>
    <t>SYAIFUL</t>
  </si>
  <si>
    <t>RYUGA ATHARAZKA</t>
  </si>
  <si>
    <t>M SHAKA RAMZAN</t>
  </si>
  <si>
    <t>AFIFAH YASIN</t>
  </si>
  <si>
    <t>M. KEENAN A</t>
  </si>
  <si>
    <t>LATIF</t>
  </si>
  <si>
    <t>MUHAMMAD TAQI</t>
  </si>
  <si>
    <t>AL ZIDAN DAFFA</t>
  </si>
  <si>
    <t>BUDI</t>
  </si>
  <si>
    <t>ARSYLA CALISTA</t>
  </si>
  <si>
    <t>ARIF</t>
  </si>
  <si>
    <t>ASKA ARKANA</t>
  </si>
  <si>
    <t>TRIYANTO</t>
  </si>
  <si>
    <t>GHAISAN RAFASYA</t>
  </si>
  <si>
    <t>ARBY ALTHAFUNNIZAM</t>
  </si>
  <si>
    <t>DIAN</t>
  </si>
  <si>
    <t>ARSYA ALTHAFUNNISA</t>
  </si>
  <si>
    <t>AZEA FARZANA</t>
  </si>
  <si>
    <t>TRIO</t>
  </si>
  <si>
    <t>DEVINO ABIYAN</t>
  </si>
  <si>
    <t>NAYNA ALMAHIRA</t>
  </si>
  <si>
    <t>ILHAM</t>
  </si>
  <si>
    <t>AFGAN FIRMANSYAH</t>
  </si>
  <si>
    <t>AHMAD RIZKI</t>
  </si>
  <si>
    <t>BILQIS ZUNAIRA</t>
  </si>
  <si>
    <t>RAIS</t>
  </si>
  <si>
    <t>FATHAN A</t>
  </si>
  <si>
    <t>LESTARI/</t>
  </si>
  <si>
    <t>ROBBI</t>
  </si>
  <si>
    <t>M. ALFATIH</t>
  </si>
  <si>
    <t>HERU</t>
  </si>
  <si>
    <t>ZYAN ATHARA</t>
  </si>
  <si>
    <t>TRI K</t>
  </si>
  <si>
    <t>KEENAN AL FAKHI</t>
  </si>
  <si>
    <t>YUSUF AMAR ABQARI</t>
  </si>
  <si>
    <t>KHOIRUL</t>
  </si>
  <si>
    <t>ADHISTI NADHIRA</t>
  </si>
  <si>
    <t>BAYU SETIAWAN</t>
  </si>
  <si>
    <t>M FALAH ANDARU</t>
  </si>
  <si>
    <t>SUMADI</t>
  </si>
  <si>
    <t>RAYYAN ALFATIH</t>
  </si>
  <si>
    <t>TITIN NURYANTI</t>
  </si>
  <si>
    <t>EARLYTA GRIZELLE</t>
  </si>
  <si>
    <t>ALVIA SITI</t>
  </si>
  <si>
    <t>M EZHAR</t>
  </si>
  <si>
    <t>PRANSESNO</t>
  </si>
  <si>
    <t>REYKHANZA KURNIA</t>
  </si>
  <si>
    <t>KEZIA FARRA</t>
  </si>
  <si>
    <t xml:space="preserve">DESI PUSPITA </t>
  </si>
  <si>
    <t>ARIS WIDAYAT</t>
  </si>
  <si>
    <t>LIORA BELLVANIA</t>
  </si>
  <si>
    <t>EKO/</t>
  </si>
  <si>
    <t>RAYHAN ALFATIH</t>
  </si>
  <si>
    <t>HARDIYANTO</t>
  </si>
  <si>
    <t>KIYOMI KHAINUNA</t>
  </si>
  <si>
    <t>AHMAD RIZAL</t>
  </si>
  <si>
    <t>ABIDAH FADHILA</t>
  </si>
  <si>
    <t>HENGKI</t>
  </si>
  <si>
    <t>DEANDRA ARUNDAYA KINASIH</t>
  </si>
  <si>
    <t>M. FAAZ RAFASYA</t>
  </si>
  <si>
    <t>WILDAN</t>
  </si>
  <si>
    <t>ADREENA JAHANARA</t>
  </si>
  <si>
    <t>IWAN</t>
  </si>
  <si>
    <t>M. AKHTAR GAUZAN</t>
  </si>
  <si>
    <t>AMRU</t>
  </si>
  <si>
    <t>SALWA NUHA DZAKIRA</t>
  </si>
  <si>
    <t>CHANDRA</t>
  </si>
  <si>
    <t>F. CHAYRA</t>
  </si>
  <si>
    <t>RIKI/</t>
  </si>
  <si>
    <t>LINDA</t>
  </si>
  <si>
    <t>ZAYYAN FAHRIANSYAH</t>
  </si>
  <si>
    <t>AHMAD/</t>
  </si>
  <si>
    <t>KHALISA ALMAHYRA</t>
  </si>
  <si>
    <t>DONA/</t>
  </si>
  <si>
    <t>AFIFAH SYAHADAH</t>
  </si>
  <si>
    <t>BUDIMAN/</t>
  </si>
  <si>
    <t>HENI</t>
  </si>
  <si>
    <t>ABIZAR</t>
  </si>
  <si>
    <t>INDRI/</t>
  </si>
  <si>
    <t>ARDIKA</t>
  </si>
  <si>
    <t>RAFASYA NAQIB</t>
  </si>
  <si>
    <t>HARYANTO/</t>
  </si>
  <si>
    <t>DAHLIA</t>
  </si>
  <si>
    <t>RAFIZQY ALFAREZZI</t>
  </si>
  <si>
    <t>/DWI H.</t>
  </si>
  <si>
    <t>ADI PURWANTO</t>
  </si>
  <si>
    <t>M. MALIK RAFASSYA</t>
  </si>
  <si>
    <t>/SULISTIANI</t>
  </si>
  <si>
    <t>GIRAS CAHYA YOGANTA</t>
  </si>
  <si>
    <t>ERNI ESTUNINGSIH/</t>
  </si>
  <si>
    <t>CAHYADI</t>
  </si>
  <si>
    <t>KENTA DANISH</t>
  </si>
  <si>
    <t>/RIO ARIAN</t>
  </si>
  <si>
    <t>NOVIKA AWAL</t>
  </si>
  <si>
    <t>FATHARIANO WAIZ ALSAKI</t>
  </si>
  <si>
    <t>IZZA SOFIA/</t>
  </si>
  <si>
    <t>WAHYUDI</t>
  </si>
  <si>
    <t>TRIHAMNA JAZLYN</t>
  </si>
  <si>
    <t>/RIFAATUN M</t>
  </si>
  <si>
    <t>RISTO</t>
  </si>
  <si>
    <t>HAMIZAN MIKAIL</t>
  </si>
  <si>
    <t>/ERNA TRI S</t>
  </si>
  <si>
    <t>BAYU A</t>
  </si>
  <si>
    <t>ARIANA JULIA</t>
  </si>
  <si>
    <t>INDAH/</t>
  </si>
  <si>
    <t>GHUMAISYA GILDA</t>
  </si>
  <si>
    <t>RAHMAT</t>
  </si>
  <si>
    <t>ZAYN ATHAQI</t>
  </si>
  <si>
    <t>LITA</t>
  </si>
  <si>
    <t>DANISH ANDESA</t>
  </si>
  <si>
    <t>SINTA/</t>
  </si>
  <si>
    <t>CIARA ALMAHYRA ARISTA</t>
  </si>
  <si>
    <t>DIA/</t>
  </si>
  <si>
    <t>SANDI</t>
  </si>
  <si>
    <t>JENAIRA HANNA</t>
  </si>
  <si>
    <t>MELA/</t>
  </si>
  <si>
    <t>YUNUS</t>
  </si>
  <si>
    <t>ANINDYA MIKHAYLA KHALISA</t>
  </si>
  <si>
    <t>VINA/</t>
  </si>
  <si>
    <t>SAFAIRA RIZQIA</t>
  </si>
  <si>
    <t>RINI/</t>
  </si>
  <si>
    <t>FIRMAN</t>
  </si>
  <si>
    <t>SHAKI FAEYZA</t>
  </si>
  <si>
    <t>DWI/</t>
  </si>
  <si>
    <t>HERLIN</t>
  </si>
  <si>
    <t>GENDHIS</t>
  </si>
  <si>
    <t>ROSITA/</t>
  </si>
  <si>
    <t>ALBIRU NUHA</t>
  </si>
  <si>
    <t>DEVA/</t>
  </si>
  <si>
    <t>EDI</t>
  </si>
  <si>
    <t>FELLICIA</t>
  </si>
  <si>
    <t>KASMIYATI/</t>
  </si>
  <si>
    <t>VITA/</t>
  </si>
  <si>
    <t>NOVAL</t>
  </si>
  <si>
    <t>WINDA/</t>
  </si>
  <si>
    <t>NINING/</t>
  </si>
  <si>
    <t>ANISHA/</t>
  </si>
  <si>
    <t>DIAH AYU/</t>
  </si>
  <si>
    <t>M.NUR</t>
  </si>
  <si>
    <t>WIDYA/</t>
  </si>
  <si>
    <t>FENTRI YANI/</t>
  </si>
  <si>
    <t>WIKA DWI/</t>
  </si>
  <si>
    <t>ARISCA/VIARGA</t>
  </si>
  <si>
    <t>AL AYUBI KEENAN</t>
  </si>
  <si>
    <t>AGNES DITA</t>
  </si>
  <si>
    <t>INDIRA NOVI/NANDA</t>
  </si>
  <si>
    <t>RINDIANI/ANWAR</t>
  </si>
  <si>
    <t>SITI ROHANA/NIKA K</t>
  </si>
  <si>
    <t>VENI SUNDARI/RIYO</t>
  </si>
  <si>
    <t>DEVI RATNA/WARJIMAN</t>
  </si>
  <si>
    <t>DEA ULITA/RENDI</t>
  </si>
  <si>
    <t>UMI MAUNAH/IKWAR</t>
  </si>
  <si>
    <t>NUR AZIZAH/IMAM</t>
  </si>
  <si>
    <t>CIRANNA DWI/HAFIZ</t>
  </si>
  <si>
    <t>EKA WATI/NGATINO</t>
  </si>
  <si>
    <t>LUSIANA/M SYARIFUDIN</t>
  </si>
  <si>
    <t>SITI TURIYAH/EKO SUWARNO</t>
  </si>
  <si>
    <t>IRFAN/REGINA</t>
  </si>
  <si>
    <t>WAHYU/MEI HANDAYANI</t>
  </si>
  <si>
    <t>ANGGUN DIANILA/RAHMAT S</t>
  </si>
  <si>
    <t>HARDIKA/DESI NATALIA</t>
  </si>
  <si>
    <t>INTI DAMAYANTI/GAYA</t>
  </si>
  <si>
    <t>TIA/HARI KURNIAWAN</t>
  </si>
  <si>
    <t>AYU WULAN/FITRI S</t>
  </si>
  <si>
    <t>AQILA</t>
  </si>
  <si>
    <t>SULISTIA/RICKY</t>
  </si>
  <si>
    <t>tika y/hari susanto</t>
  </si>
  <si>
    <t>TUTUT WURI/ALFIAN</t>
  </si>
  <si>
    <t>SILVI/IBNU ADITYA</t>
  </si>
  <si>
    <t>SEPTI/DEDI IRAWAN</t>
  </si>
  <si>
    <t>ZASKIA NAJWA/BINA ERI</t>
  </si>
  <si>
    <t>FATIMAH S/HABIB</t>
  </si>
  <si>
    <t>AMINATUS/AHMAD SAFE'I</t>
  </si>
  <si>
    <t>MAY FARIDAH/M ABDUL R</t>
  </si>
  <si>
    <t>RIA ROMANTI/FAHUDIANTO</t>
  </si>
  <si>
    <t>TIARA LESTARI/A RIZKY D</t>
  </si>
  <si>
    <t>SUGIYANTI/ADRIAN OKTA</t>
  </si>
  <si>
    <t>RANTI LINDIANI/SALAM N</t>
  </si>
  <si>
    <t>LIA OKTAVIANI/FIQIH S</t>
  </si>
  <si>
    <t>SURYA ALFARIZKY</t>
  </si>
  <si>
    <t>Atma nisa</t>
  </si>
  <si>
    <t>MAAHER HAAZIQ TAWAFI</t>
  </si>
  <si>
    <t>ALMAHYRA NIRBITA SHANUM</t>
  </si>
  <si>
    <t>Sugiarti</t>
  </si>
  <si>
    <t>DARREL ZAYVASKA</t>
  </si>
  <si>
    <t>ROLINDA/RIKI</t>
  </si>
  <si>
    <t>BY NY FITRIA NINGSIH</t>
  </si>
  <si>
    <t>FITRIA NINGSIH</t>
  </si>
  <si>
    <t>MIYUKA HIKARI ZIYANA</t>
  </si>
  <si>
    <t>Dhea julia putri</t>
  </si>
  <si>
    <t>SHEZA GUZELINE</t>
  </si>
  <si>
    <t>SENSEN YANUBA NUR</t>
  </si>
  <si>
    <t>DATA SASARAN USIA SEKOLAH/REMAJA</t>
  </si>
  <si>
    <t xml:space="preserve">NAMA </t>
  </si>
  <si>
    <t>JUMLAH KUNJUNGAN DAN JUMLAH SASARAN USIA SEKOLAH/REMAJA</t>
  </si>
  <si>
    <t>AISYAH NURIYA</t>
  </si>
  <si>
    <t>YULIATI</t>
  </si>
  <si>
    <t>AZKAH NOVA QIRANI</t>
  </si>
  <si>
    <t>DWI HANDAYANI</t>
  </si>
  <si>
    <t>DAISYA FATIN TAMARA</t>
  </si>
  <si>
    <t>VERA SEPTIANA WULANDARI</t>
  </si>
  <si>
    <t>MOZA RAISYA CAMILA</t>
  </si>
  <si>
    <t>DEA AFRELIANA PRATIWI</t>
  </si>
  <si>
    <t>MUHAMAD KAVIN ARDANA</t>
  </si>
  <si>
    <t>GUS MAWATI</t>
  </si>
  <si>
    <t>MYSHA ALMAHIRA LARASATI</t>
  </si>
  <si>
    <t>DWI PUSPITASARI</t>
  </si>
  <si>
    <t>NAURA KHAIRUNNISA</t>
  </si>
  <si>
    <t>MEGA IDAYATI</t>
  </si>
  <si>
    <t>RENDY DWI KUSUMA</t>
  </si>
  <si>
    <t>RINA DWI ARYANI</t>
  </si>
  <si>
    <t>RIZCO PRATAMA</t>
  </si>
  <si>
    <t>DWI ROMA NURYATI</t>
  </si>
  <si>
    <t>ADNAN NIZAM ALL FAUZI</t>
  </si>
  <si>
    <t>RENI SUNDARTI NISA</t>
  </si>
  <si>
    <t>Arsy Humaira Ramadania</t>
  </si>
  <si>
    <t>Nunung Widiastuti</t>
  </si>
  <si>
    <t>AZKAIRA YASNA MALAIKA</t>
  </si>
  <si>
    <t>ANDRIANA DWI ASTUTI</t>
  </si>
  <si>
    <t>NASYA ARNI PUTRI</t>
  </si>
  <si>
    <t>NIKMATUL FATIMAH</t>
  </si>
  <si>
    <t>RAMOND SUTRISNO</t>
  </si>
  <si>
    <t>Ellawati</t>
  </si>
  <si>
    <t>Rizky Alvin Saputra</t>
  </si>
  <si>
    <t>Salmah</t>
  </si>
  <si>
    <t>AIRA ARISTA</t>
  </si>
  <si>
    <t>DIA PERMATA SARI</t>
  </si>
  <si>
    <t>AISYAH JUWITA NURFADHILA</t>
  </si>
  <si>
    <t>YUNIATI</t>
  </si>
  <si>
    <t>ALIAN ABIZAR NIZAM</t>
  </si>
  <si>
    <t>ELI RATNA WATI</t>
  </si>
  <si>
    <t>AQILA ANGELINA</t>
  </si>
  <si>
    <t>APRILIYANI</t>
  </si>
  <si>
    <t>ARSHINTA KIRANIA PRATISTA</t>
  </si>
  <si>
    <t>RISTANTI</t>
  </si>
  <si>
    <t>CITRA FEBIANI</t>
  </si>
  <si>
    <t>SUPRIHATIN</t>
  </si>
  <si>
    <t>FADLI SETIAWAN</t>
  </si>
  <si>
    <t>SUHARINI</t>
  </si>
  <si>
    <t>ICHA ELISIYA ANGGRAINI</t>
  </si>
  <si>
    <t>NUR HALIFAKH</t>
  </si>
  <si>
    <t>JIHAN TALITA ZAKIRA</t>
  </si>
  <si>
    <t>FRANSISKA SUSIATI</t>
  </si>
  <si>
    <t>JOHANA ALVIANI</t>
  </si>
  <si>
    <t>WAYAN RUMPINI</t>
  </si>
  <si>
    <t>MAULANA IBNU RASYID</t>
  </si>
  <si>
    <t>SEPTI PURWANDARI</t>
  </si>
  <si>
    <t>MUHAMMAD NIZAM AL FAIZ</t>
  </si>
  <si>
    <t>DARMAWATI</t>
  </si>
  <si>
    <t>NATHANIA EVELYN</t>
  </si>
  <si>
    <t>SETIYOWATI</t>
  </si>
  <si>
    <t>NAYLA AZZAHRA</t>
  </si>
  <si>
    <t>MISINI NIAWATI</t>
  </si>
  <si>
    <t>RAZQA MAUZA ATHAFARIZ</t>
  </si>
  <si>
    <t>TEGAR WAHYU DENATHAN</t>
  </si>
  <si>
    <t>AFIFAH IZZAT UNNISA</t>
  </si>
  <si>
    <t>TRI YUANA</t>
  </si>
  <si>
    <t>AHMAD RIDWAN FIRMANSA</t>
  </si>
  <si>
    <t>YULIANA CITRA</t>
  </si>
  <si>
    <t>ALVAN CRISTAMA NUGROHO</t>
  </si>
  <si>
    <t>META CITYA ADYANI</t>
  </si>
  <si>
    <t>ANINDIA KINASIH LIMBONG</t>
  </si>
  <si>
    <t>SUMINI</t>
  </si>
  <si>
    <t>ASA GEMILANG WIGUNA</t>
  </si>
  <si>
    <t>SISWATI</t>
  </si>
  <si>
    <t>DAVIN RAHADIAN</t>
  </si>
  <si>
    <t>SRI WINARNI</t>
  </si>
  <si>
    <t>DINDA FEBIO NATASYA</t>
  </si>
  <si>
    <t>TRI SULISTIANI</t>
  </si>
  <si>
    <t>DITO AGUSTIAN PUTRA</t>
  </si>
  <si>
    <t>MIKA ISLAMI</t>
  </si>
  <si>
    <t>DONLI ENGGAL SAPUTRA</t>
  </si>
  <si>
    <t>KUSWIYANTI</t>
  </si>
  <si>
    <t>FAREL CANDRA WINATA</t>
  </si>
  <si>
    <t>NINA WINDIATI</t>
  </si>
  <si>
    <t>FHARID AL RIZQI RAMADHAN</t>
  </si>
  <si>
    <t>ISMI AGUSTINA</t>
  </si>
  <si>
    <t>JIHAN NABILA RANIA</t>
  </si>
  <si>
    <t>NINING TRIWIDIASTUTI</t>
  </si>
  <si>
    <t>M.BILAL RAMADHAN</t>
  </si>
  <si>
    <t>NANING SUSANTI</t>
  </si>
  <si>
    <t>MANUELA INEZA KARINE</t>
  </si>
  <si>
    <t>TIA AGUSTIANA</t>
  </si>
  <si>
    <t>MARGHARETA DESIANA</t>
  </si>
  <si>
    <t>MUHAMMAD ZILDAN AL FARUQ</t>
  </si>
  <si>
    <t>CICI ANI FITRIYA</t>
  </si>
  <si>
    <t>QINAN NURMALIA AZIZA</t>
  </si>
  <si>
    <t>TRI WIDIA NINGSIH</t>
  </si>
  <si>
    <t>RAMADHANI BILQIST HUMAIRA</t>
  </si>
  <si>
    <t>SRI NURYATI</t>
  </si>
  <si>
    <t>WINDA MUKTI</t>
  </si>
  <si>
    <t>FITRI HARIYANTI</t>
  </si>
  <si>
    <t>ANDINA NAHARANI SAPUTRI</t>
  </si>
  <si>
    <t>ANDRIYANI YULINA</t>
  </si>
  <si>
    <t>ARTA DIRGANTARA SARIFUDIN</t>
  </si>
  <si>
    <t>ARWIN WENY YUNITA</t>
  </si>
  <si>
    <t>AULIA AIZZATUNNISA</t>
  </si>
  <si>
    <t>ENI ASTUTI</t>
  </si>
  <si>
    <t>AZEL MATEO IVANDER</t>
  </si>
  <si>
    <t>SULISTIYOWATI</t>
  </si>
  <si>
    <t>AZKA DWI FIANTARA</t>
  </si>
  <si>
    <t>YUNI FITRI ASTUTI</t>
  </si>
  <si>
    <t>Gimel hosea</t>
  </si>
  <si>
    <t>KENZI FAREL BASTIAN</t>
  </si>
  <si>
    <t>SRI KURNIA NINGSIH</t>
  </si>
  <si>
    <t>KEYSHA OKTAVIA</t>
  </si>
  <si>
    <t>APRILIA WINDA ASTUTI</t>
  </si>
  <si>
    <t>KHIANDRA REYVEN APRILIO</t>
  </si>
  <si>
    <t>LENI WIDAYATI</t>
  </si>
  <si>
    <t>SALAM MUHAMMAD HANA</t>
  </si>
  <si>
    <t>HENI LISA</t>
  </si>
  <si>
    <t>Yehezkiel Andrianata</t>
  </si>
  <si>
    <t>Nanik andriyani</t>
  </si>
  <si>
    <t>ZULFANI</t>
  </si>
  <si>
    <t>SRI UTAMI</t>
  </si>
  <si>
    <t>ADNAN NAUFAL SETIAWAN</t>
  </si>
  <si>
    <t>SITI NUR IMAMAH</t>
  </si>
  <si>
    <t>AKHTAR CAHYA PRANAJA</t>
  </si>
  <si>
    <t>ERNI ESTUNINGSIH</t>
  </si>
  <si>
    <t>ARTASYA DIANDRA MEFIA</t>
  </si>
  <si>
    <t>MEY SUNARSIH</t>
  </si>
  <si>
    <t>ATIQA ZZAHRA RATIFA</t>
  </si>
  <si>
    <t>RATIH PURWASIH</t>
  </si>
  <si>
    <t>AZKA AL FAQIH</t>
  </si>
  <si>
    <t>NILA CAHYATI</t>
  </si>
  <si>
    <t>BRIYAN RASYA ANGGARA</t>
  </si>
  <si>
    <t>SRIYATI</t>
  </si>
  <si>
    <t>Chika olivia nafisa</t>
  </si>
  <si>
    <t>nermai destalina</t>
  </si>
  <si>
    <t>DARA LINTANG MAYZA</t>
  </si>
  <si>
    <t>EKA YULI KRISTIANINGSIH</t>
  </si>
  <si>
    <t>dewi linka anggraini</t>
  </si>
  <si>
    <t>leni fitriana</t>
  </si>
  <si>
    <t>ELDA AINUN AFIKA</t>
  </si>
  <si>
    <t>FEBIAN ZAKI NUGROHO</t>
  </si>
  <si>
    <t>Felita Dara Wati</t>
  </si>
  <si>
    <t>nurmiyati</t>
  </si>
  <si>
    <t>FRISCA CRISTIANI PUTRI</t>
  </si>
  <si>
    <t>SRI JASWATI</t>
  </si>
  <si>
    <t>GALANG RIZKY SAPUTRA</t>
  </si>
  <si>
    <t>JIHAN TALITA ULFA</t>
  </si>
  <si>
    <t>SULARSIH</t>
  </si>
  <si>
    <t>KADEK KIA MUTIARA SAFIRA</t>
  </si>
  <si>
    <t>MARYATUN</t>
  </si>
  <si>
    <t>Latifatul Fajriyah</t>
  </si>
  <si>
    <t>Winingsih</t>
  </si>
  <si>
    <t>LENDRA GUNAWAN</t>
  </si>
  <si>
    <t>YULIYANTI</t>
  </si>
  <si>
    <t>MELLINDA KUSUMA WARDANI</t>
  </si>
  <si>
    <t>YATINI</t>
  </si>
  <si>
    <t>Nala Fauzi</t>
  </si>
  <si>
    <t>Daryani</t>
  </si>
  <si>
    <t>RACHEL SEPTIA ANGGRAINI</t>
  </si>
  <si>
    <t>SEPTI HANDAYANI MAGDALENA</t>
  </si>
  <si>
    <t>TALITA AGiSTIA SAPUTRI</t>
  </si>
  <si>
    <t>USWATUN HASANAH</t>
  </si>
  <si>
    <t>DATA SASARAN DEWASA/LANSIA</t>
  </si>
  <si>
    <t>JUMLAH KUNJUNGAN DAN JUMLAH SASARAN DEWASA/LANSIA</t>
  </si>
  <si>
    <t>Jumadi</t>
  </si>
  <si>
    <t>Lasiyo</t>
  </si>
  <si>
    <t>Mugiyem</t>
  </si>
  <si>
    <t>Sugiyo</t>
  </si>
  <si>
    <t>Sarinah</t>
  </si>
  <si>
    <t>Suyono</t>
  </si>
  <si>
    <t>Ginah</t>
  </si>
  <si>
    <t>Suraji</t>
  </si>
  <si>
    <t>Turkiyah</t>
  </si>
  <si>
    <t>Sunaryo</t>
  </si>
  <si>
    <t>Ngatinah</t>
  </si>
  <si>
    <t>Sungkono</t>
  </si>
  <si>
    <t>Khotimah</t>
  </si>
  <si>
    <t>Ponijo</t>
  </si>
  <si>
    <t>Lasiyem</t>
  </si>
  <si>
    <t>Sagiyem</t>
  </si>
  <si>
    <t>Ujang sunarto</t>
  </si>
  <si>
    <t>Saridi</t>
  </si>
  <si>
    <t>Tukirah</t>
  </si>
  <si>
    <t>Supiah</t>
  </si>
  <si>
    <t>Sutiyar</t>
  </si>
  <si>
    <t>Sardikem</t>
  </si>
  <si>
    <t>Sumilah</t>
  </si>
  <si>
    <t>Gini</t>
  </si>
  <si>
    <t>Jumio</t>
  </si>
  <si>
    <t>Sanah</t>
  </si>
  <si>
    <t>Sumitro</t>
  </si>
  <si>
    <t>Suminem</t>
  </si>
  <si>
    <t>Tumirah</t>
  </si>
  <si>
    <t>Kamidah</t>
  </si>
  <si>
    <t>Rasyid ridho</t>
  </si>
  <si>
    <t>Mujito</t>
  </si>
  <si>
    <t>Tumiyem</t>
  </si>
  <si>
    <t>Salsilah</t>
  </si>
  <si>
    <t>Supardi</t>
  </si>
  <si>
    <t>Surati</t>
  </si>
  <si>
    <t>Maimin</t>
  </si>
  <si>
    <t>Pariyem</t>
  </si>
  <si>
    <t>Rantino</t>
  </si>
  <si>
    <t>Tuyem</t>
  </si>
  <si>
    <t>Subroto</t>
  </si>
  <si>
    <t>Suharututy</t>
  </si>
  <si>
    <t>Sutini</t>
  </si>
  <si>
    <t>Daldiri</t>
  </si>
  <si>
    <t>Tukino</t>
  </si>
  <si>
    <t>Asih</t>
  </si>
  <si>
    <t>Milono</t>
  </si>
  <si>
    <t>Suminah</t>
  </si>
  <si>
    <t>Sutiyono</t>
  </si>
  <si>
    <t>Rasimin</t>
  </si>
  <si>
    <t>Suyatin</t>
  </si>
  <si>
    <t>Karsinem</t>
  </si>
  <si>
    <t>Ahmad H</t>
  </si>
  <si>
    <t>Untung</t>
  </si>
  <si>
    <t>Kartinah</t>
  </si>
  <si>
    <t>Jumirat</t>
  </si>
  <si>
    <t>Painem</t>
  </si>
  <si>
    <t>m.yusuf</t>
  </si>
  <si>
    <t>Siwuh</t>
  </si>
  <si>
    <t>marsiyem</t>
  </si>
  <si>
    <t>Sadiran H</t>
  </si>
  <si>
    <t>Supriyani</t>
  </si>
  <si>
    <t>Sukinto</t>
  </si>
  <si>
    <t>Mardiati</t>
  </si>
  <si>
    <t>Selam</t>
  </si>
  <si>
    <t>Kasinem</t>
  </si>
  <si>
    <t>Sodikromo</t>
  </si>
  <si>
    <t>l</t>
  </si>
  <si>
    <t>Ngadirun</t>
  </si>
  <si>
    <t>Sartiyem</t>
  </si>
  <si>
    <t>Giman</t>
  </si>
  <si>
    <t>Wantinem</t>
  </si>
  <si>
    <t>Paniyo</t>
  </si>
  <si>
    <t>dakir</t>
  </si>
  <si>
    <t>Suwarti</t>
  </si>
  <si>
    <t>Rubiyem</t>
  </si>
  <si>
    <t>Rubinem</t>
  </si>
  <si>
    <t>Seniar</t>
  </si>
  <si>
    <t>Suparmi</t>
  </si>
  <si>
    <t>Langgeng</t>
  </si>
  <si>
    <t>Jemu</t>
  </si>
  <si>
    <t>Suparman</t>
  </si>
  <si>
    <t>Sarinem</t>
  </si>
  <si>
    <t>Paiman</t>
  </si>
  <si>
    <t>sunarti</t>
  </si>
  <si>
    <t>Parmy D</t>
  </si>
  <si>
    <t>Suyadi</t>
  </si>
  <si>
    <t>Sarjono</t>
  </si>
  <si>
    <t>Supriyanto</t>
  </si>
  <si>
    <t>suminah</t>
  </si>
  <si>
    <t>Boinem</t>
  </si>
  <si>
    <t>Sukirman</t>
  </si>
  <si>
    <t>Sri nurwati</t>
  </si>
  <si>
    <t>Sugiran</t>
  </si>
  <si>
    <t>Sunarti</t>
  </si>
  <si>
    <t>Tukimin</t>
  </si>
  <si>
    <t>Mardiyah</t>
  </si>
  <si>
    <t>Supartinah</t>
  </si>
  <si>
    <t>Misran</t>
  </si>
  <si>
    <t>Marsudi</t>
  </si>
  <si>
    <t>Soyem</t>
  </si>
  <si>
    <t>Tukijan</t>
  </si>
  <si>
    <t>Murtini</t>
  </si>
  <si>
    <t>Wiyati</t>
  </si>
  <si>
    <t>Tumiran</t>
  </si>
  <si>
    <t>Tumini</t>
  </si>
  <si>
    <t>Kosok</t>
  </si>
  <si>
    <t>Sukarimin</t>
  </si>
  <si>
    <t>Tumijem</t>
  </si>
  <si>
    <t>Pujilah</t>
  </si>
  <si>
    <t>ismiati</t>
  </si>
  <si>
    <t>Suhadi</t>
  </si>
  <si>
    <t>Ngadimun</t>
  </si>
  <si>
    <t>Idianto</t>
  </si>
  <si>
    <t>Munjiah</t>
  </si>
  <si>
    <t>Tukidi</t>
  </si>
  <si>
    <t>Poniran</t>
  </si>
  <si>
    <t>Sukidi</t>
  </si>
  <si>
    <t>Sujiyem</t>
  </si>
  <si>
    <t>Suradi</t>
  </si>
  <si>
    <t>Arum</t>
  </si>
  <si>
    <t>Romlah</t>
  </si>
  <si>
    <t>Wasidi</t>
  </si>
  <si>
    <t>Sapranto</t>
  </si>
  <si>
    <t>Adi p</t>
  </si>
  <si>
    <t>Surepto</t>
  </si>
  <si>
    <t>Parmin</t>
  </si>
  <si>
    <t>Pariyah</t>
  </si>
  <si>
    <t>Ngadiyo</t>
  </si>
  <si>
    <t>Watini</t>
  </si>
  <si>
    <t>Sakimin</t>
  </si>
  <si>
    <t>Sarkani</t>
  </si>
  <si>
    <t>Sumikem</t>
  </si>
  <si>
    <t>Suwarni</t>
  </si>
  <si>
    <t>Suyatmi</t>
  </si>
  <si>
    <t>Bejo</t>
  </si>
  <si>
    <t>Sukemi</t>
  </si>
  <si>
    <t>Siti aminah</t>
  </si>
  <si>
    <t>Paino</t>
  </si>
  <si>
    <t>Suroto</t>
  </si>
  <si>
    <t>Ngatinem</t>
  </si>
  <si>
    <t>Martono</t>
  </si>
  <si>
    <t>Basuki</t>
  </si>
  <si>
    <t>Suharjono</t>
  </si>
  <si>
    <t>13-3 59</t>
  </si>
  <si>
    <t>Ngatimin</t>
  </si>
  <si>
    <t>Sumini</t>
  </si>
  <si>
    <t>Sukiyanto</t>
  </si>
  <si>
    <t>Sukini</t>
  </si>
  <si>
    <t>suparmono</t>
  </si>
  <si>
    <t>Surtilah</t>
  </si>
  <si>
    <t>Gijana</t>
  </si>
  <si>
    <t>Kartini</t>
  </si>
  <si>
    <t>Watirah</t>
  </si>
  <si>
    <t>Sanipan</t>
  </si>
  <si>
    <t>Fa sugiyanto</t>
  </si>
  <si>
    <t>Awaliyati</t>
  </si>
  <si>
    <t>Supriyadi</t>
  </si>
  <si>
    <t>Welastri</t>
  </si>
  <si>
    <t>Saroni</t>
  </si>
  <si>
    <t>Suprayitno</t>
  </si>
  <si>
    <t>Kartinem</t>
  </si>
  <si>
    <t>Ngatini</t>
  </si>
  <si>
    <t>Suliyo</t>
  </si>
  <si>
    <t>Jayem</t>
  </si>
  <si>
    <t>Lahuri</t>
  </si>
  <si>
    <t>Y.Sarjono</t>
  </si>
  <si>
    <t>Suminto</t>
  </si>
  <si>
    <t>Apriyani</t>
  </si>
  <si>
    <t>Supriyono</t>
  </si>
  <si>
    <t>Juwari</t>
  </si>
  <si>
    <t>Sukoco</t>
  </si>
  <si>
    <t>sarito</t>
  </si>
  <si>
    <t>Kasan</t>
  </si>
  <si>
    <t>Suradinem</t>
  </si>
  <si>
    <t>Muji astuti</t>
  </si>
  <si>
    <t>Jumali</t>
  </si>
  <si>
    <t>Sutiyem</t>
  </si>
  <si>
    <t>Ginem</t>
  </si>
  <si>
    <t>Paijan</t>
  </si>
  <si>
    <t>Saminah</t>
  </si>
  <si>
    <t>Suliyah</t>
  </si>
  <si>
    <t>Markilah</t>
  </si>
  <si>
    <t>Jumakir</t>
  </si>
  <si>
    <t>Suwarno</t>
  </si>
  <si>
    <t>Giyanto</t>
  </si>
  <si>
    <t>Juminem</t>
  </si>
  <si>
    <t>Majem</t>
  </si>
  <si>
    <t>Siti aniati</t>
  </si>
  <si>
    <t>Endang H</t>
  </si>
  <si>
    <t>suprapto</t>
  </si>
  <si>
    <t>Wasino</t>
  </si>
  <si>
    <t>Japar</t>
  </si>
  <si>
    <t>Murjiati</t>
  </si>
  <si>
    <t>Jumiyem</t>
  </si>
  <si>
    <t>Ngatiyem</t>
  </si>
  <si>
    <t>Ponijan</t>
  </si>
  <si>
    <t>Sukati</t>
  </si>
  <si>
    <t>Wagiyah</t>
  </si>
  <si>
    <t>Suprianah</t>
  </si>
  <si>
    <t>Lasemi</t>
  </si>
  <si>
    <t>Suparlan</t>
  </si>
  <si>
    <t>ngatiyar</t>
  </si>
  <si>
    <t>Sukarti</t>
  </si>
  <si>
    <t>Mujiyem</t>
  </si>
  <si>
    <t>Ngadi</t>
  </si>
  <si>
    <t>Lasinem</t>
  </si>
  <si>
    <t>Ngatino</t>
  </si>
  <si>
    <t>Sudiyati</t>
  </si>
  <si>
    <t>Markinem</t>
  </si>
  <si>
    <t>Ummul</t>
  </si>
  <si>
    <t>Wakino</t>
  </si>
  <si>
    <t>Siyam</t>
  </si>
  <si>
    <t>Sukarmi</t>
  </si>
  <si>
    <t>Sri hastuti</t>
  </si>
  <si>
    <t>Rusman</t>
  </si>
  <si>
    <t>Tugiem</t>
  </si>
  <si>
    <t>Wagiran</t>
  </si>
  <si>
    <t>Sudarman</t>
  </si>
  <si>
    <t>Sampor</t>
  </si>
  <si>
    <t>Madi</t>
  </si>
  <si>
    <t>Sinem</t>
  </si>
  <si>
    <t>Tukinem</t>
  </si>
  <si>
    <t>Lasimin</t>
  </si>
  <si>
    <t>Sukanti</t>
  </si>
  <si>
    <t>Tukiyem</t>
  </si>
  <si>
    <t>Wasiyem</t>
  </si>
  <si>
    <t>Tambari</t>
  </si>
  <si>
    <t>Paeran</t>
  </si>
  <si>
    <t>Rubiyo</t>
  </si>
  <si>
    <t>Jumari</t>
  </si>
  <si>
    <t>Wahadi</t>
  </si>
  <si>
    <t>Ngatirah</t>
  </si>
  <si>
    <t>Suntari</t>
  </si>
  <si>
    <t>Tamijan</t>
  </si>
  <si>
    <t>Subariyati</t>
  </si>
  <si>
    <t>Supiyatun</t>
  </si>
  <si>
    <t>Kusdi</t>
  </si>
  <si>
    <t>Sadiyo</t>
  </si>
  <si>
    <t>Sudiyo</t>
  </si>
  <si>
    <t>Paikem</t>
  </si>
  <si>
    <t>Kasam</t>
  </si>
  <si>
    <t>Winarni</t>
  </si>
  <si>
    <t>Suyoto</t>
  </si>
  <si>
    <t>Saminem</t>
  </si>
  <si>
    <t>Ngadimin</t>
  </si>
  <si>
    <t>Maymunah</t>
  </si>
  <si>
    <t>Misdi</t>
  </si>
  <si>
    <t>Sumarjo</t>
  </si>
  <si>
    <t>rapini</t>
  </si>
  <si>
    <t>Istriyah</t>
  </si>
  <si>
    <t>Welas</t>
  </si>
  <si>
    <t>Wasiran</t>
  </si>
  <si>
    <t>Rupawan</t>
  </si>
  <si>
    <t>Rukiyah</t>
  </si>
  <si>
    <t>Sumali</t>
  </si>
  <si>
    <t>Sugini</t>
  </si>
  <si>
    <t>Ngadikem</t>
  </si>
  <si>
    <t>Rahmat</t>
  </si>
  <si>
    <t>Sartono</t>
  </si>
  <si>
    <t>Sulastri</t>
  </si>
  <si>
    <t>Rubingin</t>
  </si>
  <si>
    <t>Rubiyah</t>
  </si>
  <si>
    <t>Samadi</t>
  </si>
  <si>
    <t>Sakiyem</t>
  </si>
  <si>
    <t>Tuminem</t>
  </si>
  <si>
    <t>Rusih</t>
  </si>
  <si>
    <t>Amat s</t>
  </si>
  <si>
    <t>Rasio</t>
  </si>
  <si>
    <t>Maryono</t>
  </si>
  <si>
    <t>Rakiman</t>
  </si>
  <si>
    <t>Tumilah</t>
  </si>
  <si>
    <t>Dalinah</t>
  </si>
  <si>
    <t>Sugiman</t>
  </si>
  <si>
    <t>Martoyo</t>
  </si>
  <si>
    <t>Kartilah</t>
  </si>
  <si>
    <t>supiyah</t>
  </si>
  <si>
    <t>Siti kholifah</t>
  </si>
  <si>
    <t>Paidi BA</t>
  </si>
  <si>
    <t>Wartinah</t>
  </si>
  <si>
    <t>Ngadiyem</t>
  </si>
  <si>
    <t>Kumiyem</t>
  </si>
  <si>
    <t>Supan</t>
  </si>
  <si>
    <t>Purwani</t>
  </si>
  <si>
    <t>Ngadiman</t>
  </si>
  <si>
    <t>Estu T</t>
  </si>
  <si>
    <t>Nuch daliyo</t>
  </si>
  <si>
    <t>Sumarti</t>
  </si>
  <si>
    <t>Mujiono</t>
  </si>
  <si>
    <t>Wiji</t>
  </si>
  <si>
    <t>Rusmiati</t>
  </si>
  <si>
    <t>Hardono</t>
  </si>
  <si>
    <t>Wakimin</t>
  </si>
  <si>
    <t>Sutrisno</t>
  </si>
  <si>
    <t>Wagimin</t>
  </si>
  <si>
    <t>Suripto</t>
  </si>
  <si>
    <t>Sutinah</t>
  </si>
  <si>
    <t>Daryanto</t>
  </si>
  <si>
    <t>Ngadikan</t>
  </si>
  <si>
    <t>Ismiyati</t>
  </si>
  <si>
    <t>Raharjo</t>
  </si>
  <si>
    <t>Sanen</t>
  </si>
  <si>
    <t>Sutarno</t>
  </si>
  <si>
    <t>Parmen</t>
  </si>
  <si>
    <t>Yatinem</t>
  </si>
  <si>
    <t>remen</t>
  </si>
  <si>
    <t>Wan heru</t>
  </si>
  <si>
    <t>Kardiman</t>
  </si>
  <si>
    <t>Sukatmi</t>
  </si>
  <si>
    <t>Tukijo</t>
  </si>
  <si>
    <t>Sumardi</t>
  </si>
  <si>
    <t>Kuatman</t>
  </si>
  <si>
    <t>Ngatijo</t>
  </si>
  <si>
    <t>Amin</t>
  </si>
  <si>
    <t>Munjari</t>
  </si>
  <si>
    <t>Dasiyem</t>
  </si>
  <si>
    <t>Suwardi</t>
  </si>
  <si>
    <t>Romelan</t>
  </si>
  <si>
    <t>Sumiati</t>
  </si>
  <si>
    <t>Harjosuwito</t>
  </si>
  <si>
    <t>Totok S</t>
  </si>
  <si>
    <t>Paliyo</t>
  </si>
  <si>
    <t>Sawiyem</t>
  </si>
  <si>
    <t>Slamet</t>
  </si>
  <si>
    <t>Selo P</t>
  </si>
  <si>
    <t>Tampi</t>
  </si>
  <si>
    <t>Suparno</t>
  </si>
  <si>
    <t>Sutiyah</t>
  </si>
  <si>
    <t>Sunarto K</t>
  </si>
  <si>
    <t>Ngadirah</t>
  </si>
  <si>
    <t>Nurman</t>
  </si>
  <si>
    <t>Sukarni</t>
  </si>
  <si>
    <t>Suwandi</t>
  </si>
  <si>
    <t>Marsilah</t>
  </si>
  <si>
    <t>Kabul sini</t>
  </si>
  <si>
    <t>Niati</t>
  </si>
  <si>
    <t>Warsito</t>
  </si>
  <si>
    <t>Sri inawati</t>
  </si>
  <si>
    <t>Bambang S</t>
  </si>
  <si>
    <t>Jumardiyant</t>
  </si>
  <si>
    <t>Syamsudin</t>
  </si>
  <si>
    <t>Ponijem</t>
  </si>
  <si>
    <t>Subandi</t>
  </si>
  <si>
    <t>Konting</t>
  </si>
  <si>
    <t>Sugiyem</t>
  </si>
  <si>
    <t>Tugiyo</t>
  </si>
  <si>
    <t>Ngatemi</t>
  </si>
  <si>
    <t>Supriyati</t>
  </si>
  <si>
    <t>Wasirah</t>
  </si>
  <si>
    <t>Paenah</t>
  </si>
  <si>
    <t>Suhartinah</t>
  </si>
  <si>
    <t>Suhartini</t>
  </si>
  <si>
    <t>Marikem</t>
  </si>
  <si>
    <t>Saniyem</t>
  </si>
  <si>
    <t>Asmo pawiro</t>
  </si>
  <si>
    <t>Sukiyem</t>
  </si>
  <si>
    <t>Supartini</t>
  </si>
  <si>
    <t>Suyati</t>
  </si>
  <si>
    <t>Sarpanto</t>
  </si>
  <si>
    <t>Martini</t>
  </si>
  <si>
    <t>Wakinem</t>
  </si>
  <si>
    <t>Sukram</t>
  </si>
  <si>
    <t>Ngadino</t>
  </si>
  <si>
    <t>Raswati</t>
  </si>
  <si>
    <t>Lasio</t>
  </si>
  <si>
    <t>Samiyo</t>
  </si>
  <si>
    <t>Sugiono</t>
  </si>
  <si>
    <t>Surat</t>
  </si>
  <si>
    <t>Sumijan</t>
  </si>
  <si>
    <t>Sri marmiyem</t>
  </si>
  <si>
    <t>ngatiyah</t>
  </si>
  <si>
    <t>Hariyadi</t>
  </si>
  <si>
    <t>Sastro</t>
  </si>
  <si>
    <t>jamikan</t>
  </si>
  <si>
    <t>Supiyah</t>
  </si>
  <si>
    <t>Pawiro suwito</t>
  </si>
  <si>
    <t>Temon</t>
  </si>
  <si>
    <t>Marwan</t>
  </si>
  <si>
    <t>Sapurah</t>
  </si>
  <si>
    <t>Takim</t>
  </si>
  <si>
    <t>mukijo</t>
  </si>
  <si>
    <t>Parsih</t>
  </si>
  <si>
    <t>Rosman</t>
  </si>
  <si>
    <t>Ponirah</t>
  </si>
  <si>
    <t>Sukinem</t>
  </si>
  <si>
    <t>Poniem</t>
  </si>
  <si>
    <t>Karjo sentono</t>
  </si>
  <si>
    <t>Sri suwanti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</si>
  <si>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</si>
  <si>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</si>
  <si>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</si>
  <si>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</si>
  <si>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</si>
  <si>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</si>
  <si>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</si>
  <si>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</si>
  <si>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</si>
  <si>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</si>
  <si>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</si>
  <si>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</si>
  <si>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</si>
  <si>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</si>
  <si>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</si>
  <si>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</si>
  <si>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</si>
  <si>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</si>
  <si>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</si>
  <si>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</si>
  <si>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</si>
  <si>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</si>
  <si>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</si>
  <si>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</si>
  <si>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</si>
  <si>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</si>
  <si>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</si>
  <si>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</si>
  <si>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</si>
  <si>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</si>
  <si>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</si>
  <si>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</si>
  <si>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</si>
  <si>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</si>
  <si>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</si>
  <si>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</si>
  <si>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</si>
  <si>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</si>
  <si>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</si>
  <si>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</si>
  <si>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</si>
  <si>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</si>
  <si>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</si>
  <si>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</si>
  <si>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</si>
  <si>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</si>
  <si>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</si>
  <si>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</si>
  <si>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</si>
  <si>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</si>
  <si>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</si>
  <si>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</si>
  <si>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</si>
  <si>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</si>
  <si>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</si>
  <si>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</si>
  <si>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</si>
  <si>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</si>
  <si>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</si>
  <si>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</si>
  <si>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</si>
  <si>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</si>
  <si>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</si>
  <si>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</si>
  <si>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</si>
  <si>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</si>
  <si>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</si>
  <si>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</si>
  <si>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</si>
  <si>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</si>
  <si>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</si>
  <si>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</si>
  <si>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</si>
  <si>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</si>
  <si>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</si>
  <si>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</si>
  <si>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(0-11 bulan)</t>
  </si>
  <si>
    <t>(12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</si>
  <si>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</si>
  <si>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</si>
  <si>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</si>
  <si>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</si>
  <si>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</si>
  <si>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</si>
  <si>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</si>
  <si>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</si>
  <si>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</si>
  <si>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</si>
  <si>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</si>
  <si>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</si>
  <si>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</si>
  <si>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</si>
  <si>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</si>
  <si>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</si>
  <si>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</si>
  <si>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</si>
  <si>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</si>
  <si>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</si>
  <si>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</si>
  <si>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</si>
  <si>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</si>
  <si>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</si>
  <si>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</si>
  <si>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</si>
  <si>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</si>
  <si>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</si>
  <si>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</si>
  <si>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</si>
  <si>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</si>
  <si>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</si>
  <si>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</si>
  <si>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</si>
  <si>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</si>
  <si>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</si>
  <si>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</si>
  <si>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</si>
  <si>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</si>
  <si>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</si>
  <si>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</si>
  <si>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</si>
  <si>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</si>
  <si>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</si>
  <si>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</si>
  <si>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</si>
  <si>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</si>
  <si>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</si>
  <si>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</si>
  <si>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</si>
  <si>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</si>
  <si>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</si>
  <si>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</si>
  <si>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</si>
  <si>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</si>
  <si>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</si>
  <si>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</si>
  <si>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</si>
  <si>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</si>
  <si>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</si>
  <si>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</si>
  <si>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</si>
  <si>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</si>
  <si>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</si>
  <si>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</si>
  <si>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</si>
  <si>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</si>
  <si>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</si>
  <si>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</si>
  <si>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</si>
  <si>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</si>
  <si>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</si>
  <si>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</si>
  <si>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</si>
  <si>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</si>
  <si>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</si>
  <si>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</si>
  <si>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</si>
  <si>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</si>
  <si>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</si>
  <si>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</si>
  <si>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</si>
  <si>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</si>
  <si>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</si>
  <si>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</si>
  <si>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</si>
  <si>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</si>
  <si>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</si>
  <si>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</si>
  <si>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</si>
  <si>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</si>
  <si>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</si>
  <si>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</si>
  <si>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</si>
  <si>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</si>
  <si>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</si>
  <si>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SUNGKOWO</t>
  </si>
  <si>
    <t>RT 09 / RW 2</t>
  </si>
  <si>
    <t>MENGAJUKAN PEMBUATAN SUMUR BOR KARENA DIMUSIM KEMARAU KEKERINGAN</t>
  </si>
  <si>
    <t>LAPANG/TANAH KOSONG DEKAT RUMAH WARGA</t>
  </si>
  <si>
    <t>SUDAH DIAJUKAN KE PROVINSI</t>
  </si>
  <si>
    <t>BIDANG PERUMAHAN RAKYAT</t>
  </si>
  <si>
    <t xml:space="preserve">: </t>
  </si>
  <si>
    <t>Persyaratan</t>
  </si>
  <si>
    <t>FC KK</t>
  </si>
  <si>
    <t>FC KTP</t>
  </si>
  <si>
    <t>SP*</t>
  </si>
  <si>
    <t>Suket Penghasilan</t>
  </si>
  <si>
    <t>Foto Kondisi Rumah</t>
  </si>
  <si>
    <t>JAKA</t>
  </si>
  <si>
    <t>DUSUN I</t>
  </si>
  <si>
    <t>MenempatiRumah Sendiri tetapi masih semi permanen</t>
  </si>
  <si>
    <t>pengajuan bantuan bedah rumah DD tahun  2025</t>
  </si>
  <si>
    <t>BIDANG TRANTIBUM LINMAS</t>
  </si>
  <si>
    <t>; WONOSARI</t>
  </si>
  <si>
    <t>NIHIL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</si>
</sst>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 mmmm yyyy"/>
    <numFmt numFmtId="165" formatCode="mm-dd-yyyy"/>
    <numFmt numFmtId="166" formatCode="m-d-yyyy"/>
    <numFmt numFmtId="167" formatCode="d mmm yyyy"/>
    <numFmt numFmtId="168" formatCode="d-mmm-yyyy"/>
    <numFmt numFmtId="169" formatCode="dd mmmm yyyy"/>
    <numFmt numFmtId="170" formatCode="d mmmm"/>
    <numFmt numFmtId="171" formatCode="dd/mm/yyyy"/>
    <numFmt numFmtId="172" formatCode="d/m/yyyy"/>
    <numFmt numFmtId="173" formatCode="yyyy-mm-dd"/>
    <numFmt numFmtId="174" formatCode="d-m-yy"/>
    <numFmt numFmtId="175" formatCode="dd-mm-yy"/>
    <numFmt numFmtId="176" formatCode="mmmm 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color rgb="FF000000"/>
      <name val="Arial"/>
      <scheme val="minor"/>
    </font>
    <font>
      <sz val="12.0"/>
      <color theme="1"/>
      <name val="&quot;Times New Roman&quot;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quotePrefix="1"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readingOrder="0" vertical="bottom"/>
    </xf>
    <xf quotePrefix="1" borderId="5" fillId="0" fontId="3" numFmtId="0" xfId="0" applyAlignment="1" applyBorder="1" applyFont="1">
      <alignment readingOrder="0" vertical="bottom"/>
    </xf>
    <xf quotePrefix="1" borderId="5" fillId="0" fontId="2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1"/>
    </xf>
    <xf borderId="5" fillId="0" fontId="3" numFmtId="164" xfId="0" applyAlignment="1" applyBorder="1" applyFont="1" applyNumberFormat="1">
      <alignment readingOrder="0" vertical="bottom"/>
    </xf>
    <xf borderId="6" fillId="3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3" numFmtId="167" xfId="0" applyAlignment="1" applyBorder="1" applyFont="1" applyNumberFormat="1">
      <alignment readingOrder="0" vertical="bottom"/>
    </xf>
    <xf borderId="5" fillId="0" fontId="3" numFmtId="168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67" xfId="0" applyAlignment="1" applyBorder="1" applyFont="1" applyNumberFormat="1">
      <alignment horizontal="right" readingOrder="0" vertical="bottom"/>
    </xf>
    <xf borderId="5" fillId="0" fontId="3" numFmtId="169" xfId="0" applyAlignment="1" applyBorder="1" applyFont="1" applyNumberFormat="1">
      <alignment readingOrder="0" vertical="bottom"/>
    </xf>
    <xf borderId="5" fillId="0" fontId="2" numFmtId="164" xfId="0" applyAlignment="1" applyBorder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readingOrder="0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2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71" xfId="0" applyAlignment="1" applyBorder="1" applyFont="1" applyNumberFormat="1">
      <alignment readingOrder="0" vertical="bottom"/>
    </xf>
    <xf borderId="6" fillId="0" fontId="2" numFmtId="172" xfId="0" applyAlignment="1" applyBorder="1" applyFont="1" applyNumberFormat="1">
      <alignment readingOrder="0" vertical="bottom"/>
    </xf>
    <xf borderId="6" fillId="0" fontId="6" numFmtId="173" xfId="0" applyAlignment="1" applyBorder="1" applyFont="1" applyNumberFormat="1">
      <alignment readingOrder="0" vertical="bottom"/>
    </xf>
    <xf borderId="6" fillId="0" fontId="12" numFmtId="0" xfId="0" applyAlignment="1" applyBorder="1" applyFont="1">
      <alignment horizontal="center"/>
    </xf>
    <xf borderId="6" fillId="0" fontId="6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/>
    </xf>
    <xf borderId="0" fillId="0" fontId="14" numFmtId="0" xfId="0" applyAlignment="1" applyFont="1">
      <alignment readingOrder="0" vertical="bottom"/>
    </xf>
    <xf borderId="0" fillId="0" fontId="14" numFmtId="171" xfId="0" applyAlignment="1" applyFont="1" applyNumberFormat="1">
      <alignment horizontal="right" readingOrder="0" vertical="bottom"/>
    </xf>
    <xf borderId="0" fillId="0" fontId="14" numFmtId="0" xfId="0" applyAlignment="1" applyFont="1">
      <alignment horizontal="center" readingOrder="0" vertical="bottom"/>
    </xf>
    <xf borderId="0" fillId="0" fontId="14" numFmtId="172" xfId="0" applyAlignment="1" applyFont="1" applyNumberFormat="1">
      <alignment horizontal="right"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5" numFmtId="0" xfId="0" applyAlignment="1" applyFont="1">
      <alignment readingOrder="0" vertical="top"/>
    </xf>
    <xf borderId="0" fillId="0" fontId="15" numFmtId="0" xfId="0" applyAlignment="1" applyFont="1">
      <alignment horizontal="center" readingOrder="0" vertical="top"/>
    </xf>
    <xf borderId="0" fillId="0" fontId="15" numFmtId="174" xfId="0" applyAlignment="1" applyFont="1" applyNumberFormat="1">
      <alignment readingOrder="0" vertical="top"/>
    </xf>
    <xf borderId="0" fillId="0" fontId="12" numFmtId="0" xfId="0" applyAlignment="1" applyFont="1">
      <alignment horizontal="center" vertical="top"/>
    </xf>
    <xf borderId="0" fillId="0" fontId="12" numFmtId="0" xfId="0" applyAlignment="1" applyFont="1">
      <alignment readingOrder="0" vertical="top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vertical="top"/>
    </xf>
    <xf borderId="0" fillId="0" fontId="15" numFmtId="174" xfId="0" applyAlignment="1" applyFont="1" applyNumberFormat="1">
      <alignment horizontal="center" readingOrder="0" vertical="top"/>
    </xf>
    <xf borderId="0" fillId="0" fontId="15" numFmtId="175" xfId="0" applyAlignment="1" applyFont="1" applyNumberFormat="1">
      <alignment readingOrder="0" vertical="top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76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vertical="bottom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7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2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6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7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6">
        <v>164.0</v>
      </c>
      <c r="E6" s="17">
        <v>187.0</v>
      </c>
      <c r="F6" s="16">
        <v>552.0</v>
      </c>
      <c r="G6" s="16">
        <v>30.0</v>
      </c>
      <c r="H6" s="16">
        <v>40.0</v>
      </c>
      <c r="I6" s="16">
        <v>145.0</v>
      </c>
      <c r="J6" s="16">
        <v>86.0</v>
      </c>
      <c r="K6" s="16">
        <v>2.0</v>
      </c>
      <c r="L6" s="16"/>
      <c r="M6" s="16" t="s">
        <v>25</v>
      </c>
      <c r="N6" s="18" t="s">
        <v>25</v>
      </c>
      <c r="O6" s="18"/>
      <c r="P6" s="16">
        <v>9.0</v>
      </c>
      <c r="Q6" s="19" t="s">
        <v>26</v>
      </c>
      <c r="R6" s="15" t="s">
        <v>22</v>
      </c>
      <c r="S6" s="2"/>
    </row>
    <row r="7">
      <c r="A7" s="20">
        <v>2.0</v>
      </c>
      <c r="B7" s="21" t="s">
        <v>27</v>
      </c>
      <c r="C7" s="15" t="s">
        <v>28</v>
      </c>
      <c r="D7" s="15">
        <v>322.0</v>
      </c>
      <c r="E7" s="22">
        <v>297.0</v>
      </c>
      <c r="F7" s="15">
        <v>1027.0</v>
      </c>
      <c r="G7" s="15">
        <v>56.0</v>
      </c>
      <c r="H7" s="15">
        <v>96.0</v>
      </c>
      <c r="I7" s="15">
        <v>209.0</v>
      </c>
      <c r="J7" s="15">
        <v>128.0</v>
      </c>
      <c r="K7" s="15">
        <v>4.0</v>
      </c>
      <c r="L7" s="23"/>
      <c r="M7" s="16" t="s">
        <v>25</v>
      </c>
      <c r="N7" s="18" t="s">
        <v>25</v>
      </c>
      <c r="O7" s="18"/>
      <c r="P7" s="16">
        <v>8.0</v>
      </c>
      <c r="Q7" s="19" t="s">
        <v>26</v>
      </c>
      <c r="R7" s="15" t="s">
        <v>22</v>
      </c>
      <c r="S7" s="2"/>
    </row>
    <row r="8">
      <c r="A8" s="20">
        <v>3.0</v>
      </c>
      <c r="B8" s="24" t="s">
        <v>29</v>
      </c>
      <c r="C8" s="15" t="s">
        <v>30</v>
      </c>
      <c r="D8" s="16">
        <v>360.0</v>
      </c>
      <c r="E8" s="17">
        <v>415.0</v>
      </c>
      <c r="F8" s="16">
        <v>1284.0</v>
      </c>
      <c r="G8" s="15">
        <v>63.0</v>
      </c>
      <c r="H8" s="15">
        <v>111.0</v>
      </c>
      <c r="I8" s="15">
        <v>731.0</v>
      </c>
      <c r="J8" s="15">
        <v>194.0</v>
      </c>
      <c r="K8" s="15">
        <v>5.0</v>
      </c>
      <c r="L8" s="25"/>
      <c r="M8" s="16" t="s">
        <v>25</v>
      </c>
      <c r="N8" s="18" t="s">
        <v>25</v>
      </c>
      <c r="O8" s="18"/>
      <c r="P8" s="16">
        <v>9.0</v>
      </c>
      <c r="Q8" s="19" t="s">
        <v>26</v>
      </c>
      <c r="R8" s="15" t="s">
        <v>22</v>
      </c>
      <c r="S8" s="2"/>
    </row>
    <row r="9">
      <c r="A9" s="20">
        <v>4.0</v>
      </c>
      <c r="B9" s="24" t="s">
        <v>31</v>
      </c>
      <c r="C9" s="15" t="s">
        <v>32</v>
      </c>
      <c r="D9" s="15">
        <v>108.0</v>
      </c>
      <c r="E9" s="22">
        <v>106.0</v>
      </c>
      <c r="F9" s="15">
        <v>352.0</v>
      </c>
      <c r="G9" s="15">
        <v>22.0</v>
      </c>
      <c r="H9" s="15">
        <v>61.0</v>
      </c>
      <c r="I9" s="15">
        <v>218.0</v>
      </c>
      <c r="J9" s="15">
        <v>61.0</v>
      </c>
      <c r="K9" s="15">
        <v>2.0</v>
      </c>
      <c r="L9" s="25"/>
      <c r="M9" s="16" t="s">
        <v>25</v>
      </c>
      <c r="N9" s="18" t="s">
        <v>25</v>
      </c>
      <c r="O9" s="18"/>
      <c r="P9" s="16">
        <v>9.0</v>
      </c>
      <c r="Q9" s="19" t="s">
        <v>26</v>
      </c>
      <c r="R9" s="15" t="s">
        <v>22</v>
      </c>
      <c r="S9" s="2"/>
    </row>
    <row r="10">
      <c r="A10" s="20">
        <v>5.0</v>
      </c>
      <c r="B10" s="24" t="s">
        <v>33</v>
      </c>
      <c r="C10" s="15" t="s">
        <v>34</v>
      </c>
      <c r="D10" s="15">
        <v>138.0</v>
      </c>
      <c r="E10" s="22">
        <v>155.0</v>
      </c>
      <c r="F10" s="15">
        <v>505.0</v>
      </c>
      <c r="G10" s="15">
        <v>51.0</v>
      </c>
      <c r="H10" s="15">
        <v>73.0</v>
      </c>
      <c r="I10" s="15">
        <v>142.0</v>
      </c>
      <c r="J10" s="15">
        <v>51.0</v>
      </c>
      <c r="K10" s="15">
        <v>1.0</v>
      </c>
      <c r="L10" s="25"/>
      <c r="M10" s="16" t="s">
        <v>25</v>
      </c>
      <c r="N10" s="18" t="s">
        <v>25</v>
      </c>
      <c r="O10" s="18"/>
      <c r="P10" s="16">
        <v>8.0</v>
      </c>
      <c r="Q10" s="19" t="s">
        <v>26</v>
      </c>
      <c r="R10" s="15" t="s">
        <v>22</v>
      </c>
      <c r="S10" s="2"/>
    </row>
    <row r="11">
      <c r="A11" s="13"/>
      <c r="B11" s="26"/>
      <c r="C11" s="25"/>
      <c r="D11" s="25"/>
      <c r="E11" s="27"/>
      <c r="F11" s="25"/>
      <c r="G11" s="25"/>
      <c r="H11" s="25"/>
      <c r="I11" s="25"/>
      <c r="J11" s="25"/>
      <c r="K11" s="25"/>
      <c r="L11" s="25"/>
      <c r="M11" s="16"/>
      <c r="N11" s="25"/>
      <c r="O11" s="18"/>
      <c r="P11" s="28"/>
      <c r="Q11" s="29"/>
      <c r="R11" s="25"/>
      <c r="S11" s="2"/>
    </row>
    <row r="12">
      <c r="A12" s="13"/>
      <c r="B12" s="26"/>
      <c r="C12" s="25"/>
      <c r="D12" s="25"/>
      <c r="E12" s="27"/>
      <c r="F12" s="23"/>
      <c r="G12" s="25"/>
      <c r="H12" s="25"/>
      <c r="I12" s="25"/>
      <c r="J12" s="25"/>
      <c r="K12" s="25"/>
      <c r="L12" s="23"/>
      <c r="M12" s="25"/>
      <c r="N12" s="25"/>
      <c r="O12" s="23"/>
      <c r="P12" s="28"/>
      <c r="Q12" s="29"/>
      <c r="R12" s="25"/>
      <c r="S12" s="2"/>
    </row>
    <row r="13">
      <c r="A13" s="13"/>
      <c r="B13" s="26"/>
      <c r="C13" s="25"/>
      <c r="D13" s="25"/>
      <c r="E13" s="27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28"/>
      <c r="Q13" s="29"/>
      <c r="R13" s="25"/>
      <c r="S13" s="2"/>
    </row>
    <row r="14">
      <c r="A14" s="13"/>
      <c r="B14" s="26"/>
      <c r="C14" s="25"/>
      <c r="D14" s="25"/>
      <c r="E14" s="27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28"/>
      <c r="Q14" s="29"/>
      <c r="R14" s="25"/>
      <c r="S14" s="2"/>
    </row>
    <row r="15">
      <c r="A15" s="13"/>
      <c r="B15" s="26"/>
      <c r="C15" s="25"/>
      <c r="D15" s="25"/>
      <c r="E15" s="27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28"/>
      <c r="Q15" s="29"/>
      <c r="R15" s="25"/>
      <c r="S15" s="2"/>
    </row>
    <row r="16">
      <c r="A16" s="13"/>
      <c r="B16" s="26"/>
      <c r="C16" s="25"/>
      <c r="D16" s="25"/>
      <c r="E16" s="27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28"/>
      <c r="Q16" s="29"/>
      <c r="R16" s="25"/>
      <c r="S16" s="2"/>
    </row>
    <row r="17">
      <c r="A17" s="13"/>
      <c r="B17" s="26"/>
      <c r="C17" s="25"/>
      <c r="D17" s="25"/>
      <c r="E17" s="27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28"/>
      <c r="Q17" s="29"/>
      <c r="R17" s="25"/>
      <c r="S17" s="2"/>
    </row>
    <row r="18">
      <c r="A18" s="13"/>
      <c r="B18" s="26"/>
      <c r="C18" s="25"/>
      <c r="D18" s="25"/>
      <c r="E18" s="27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28"/>
      <c r="Q18" s="29"/>
      <c r="R18" s="25"/>
      <c r="S18" s="2"/>
    </row>
    <row r="19">
      <c r="A19" s="13"/>
      <c r="B19" s="26"/>
      <c r="C19" s="25"/>
      <c r="D19" s="25"/>
      <c r="E19" s="27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28"/>
      <c r="Q19" s="29"/>
      <c r="R19" s="25"/>
      <c r="S19" s="2"/>
    </row>
    <row r="20">
      <c r="A20" s="13"/>
      <c r="B20" s="26"/>
      <c r="C20" s="25"/>
      <c r="D20" s="25"/>
      <c r="E20" s="27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28"/>
      <c r="Q20" s="29"/>
      <c r="R20" s="25"/>
      <c r="S20" s="2"/>
    </row>
    <row r="21">
      <c r="A21" s="13"/>
      <c r="B21" s="26"/>
      <c r="C21" s="25"/>
      <c r="D21" s="25"/>
      <c r="E21" s="27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28"/>
      <c r="Q21" s="29"/>
      <c r="R21" s="25"/>
      <c r="S21" s="2"/>
    </row>
    <row r="22">
      <c r="A22" s="13"/>
      <c r="B22" s="26"/>
      <c r="C22" s="25"/>
      <c r="D22" s="25"/>
      <c r="E22" s="27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28"/>
      <c r="Q22" s="29"/>
      <c r="R22" s="25"/>
      <c r="S22" s="2"/>
    </row>
    <row r="23">
      <c r="A23" s="13"/>
      <c r="B23" s="26"/>
      <c r="C23" s="25"/>
      <c r="D23" s="25"/>
      <c r="E23" s="27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28"/>
      <c r="Q23" s="29"/>
      <c r="R23" s="25"/>
      <c r="S23" s="2"/>
    </row>
    <row r="24">
      <c r="A24" s="13"/>
      <c r="B24" s="26"/>
      <c r="C24" s="25"/>
      <c r="D24" s="25"/>
      <c r="E24" s="27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28"/>
      <c r="Q24" s="29"/>
      <c r="R24" s="25"/>
      <c r="S24" s="2"/>
    </row>
    <row r="25">
      <c r="A25" s="13"/>
      <c r="B25" s="26"/>
      <c r="C25" s="25"/>
      <c r="D25" s="25"/>
      <c r="E25" s="27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28"/>
      <c r="Q25" s="29"/>
      <c r="R25" s="25"/>
      <c r="S25" s="2"/>
    </row>
    <row r="26">
      <c r="A26" s="13"/>
      <c r="B26" s="26"/>
      <c r="C26" s="25"/>
      <c r="D26" s="25"/>
      <c r="E26" s="27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28"/>
      <c r="Q26" s="29"/>
      <c r="R26" s="25"/>
      <c r="S26" s="2"/>
    </row>
    <row r="27">
      <c r="A27" s="13"/>
      <c r="B27" s="26"/>
      <c r="C27" s="25"/>
      <c r="D27" s="25"/>
      <c r="E27" s="27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28"/>
      <c r="Q27" s="29"/>
      <c r="R27" s="25"/>
      <c r="S27" s="2"/>
    </row>
    <row r="28">
      <c r="A28" s="13"/>
      <c r="B28" s="26"/>
      <c r="C28" s="25"/>
      <c r="D28" s="25"/>
      <c r="E28" s="27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28"/>
      <c r="Q28" s="29"/>
      <c r="R28" s="25"/>
      <c r="S28" s="2"/>
    </row>
    <row r="29">
      <c r="A29" s="13"/>
      <c r="B29" s="26"/>
      <c r="C29" s="25"/>
      <c r="D29" s="25"/>
      <c r="E29" s="27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28"/>
      <c r="Q29" s="29"/>
      <c r="R29" s="25"/>
      <c r="S29" s="2"/>
    </row>
    <row r="30">
      <c r="A30" s="13"/>
      <c r="B30" s="26"/>
      <c r="C30" s="25"/>
      <c r="D30" s="25"/>
      <c r="E30" s="27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28"/>
      <c r="Q30" s="29"/>
      <c r="R30" s="25"/>
      <c r="S30" s="2"/>
    </row>
    <row r="31">
      <c r="A31" s="30" t="s">
        <v>35</v>
      </c>
      <c r="B31" s="31"/>
      <c r="C31" s="9"/>
      <c r="D31" s="25">
        <f t="shared" ref="D31:H31" si="1">SUM(D6:D30)</f>
        <v>1092</v>
      </c>
      <c r="E31" s="25">
        <f t="shared" si="1"/>
        <v>1160</v>
      </c>
      <c r="F31" s="25">
        <f t="shared" si="1"/>
        <v>3720</v>
      </c>
      <c r="G31" s="25">
        <f t="shared" si="1"/>
        <v>222</v>
      </c>
      <c r="H31" s="25">
        <f t="shared" si="1"/>
        <v>381</v>
      </c>
      <c r="I31" s="25"/>
      <c r="J31" s="25"/>
      <c r="K31" s="25">
        <f t="shared" ref="K31:R31" si="2">SUM(K6:K30)</f>
        <v>14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43</v>
      </c>
      <c r="Q31" s="27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38</v>
      </c>
      <c r="B5" s="35" t="s">
        <v>39</v>
      </c>
      <c r="C5" s="35" t="s">
        <v>40</v>
      </c>
      <c r="D5" s="35" t="s">
        <v>41</v>
      </c>
      <c r="E5" s="35" t="s">
        <v>42</v>
      </c>
      <c r="F5" s="35" t="s">
        <v>43</v>
      </c>
      <c r="G5" s="35" t="s">
        <v>44</v>
      </c>
      <c r="H5" s="36" t="s">
        <v>45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7" t="s">
        <v>46</v>
      </c>
      <c r="I6" s="37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40">
        <v>45954.0</v>
      </c>
      <c r="C8" s="41"/>
      <c r="D8" s="42" t="s">
        <v>48</v>
      </c>
      <c r="E8" s="19" t="s">
        <v>49</v>
      </c>
      <c r="F8" s="41" t="s">
        <v>50</v>
      </c>
      <c r="G8" s="43" t="s">
        <v>51</v>
      </c>
      <c r="H8" s="43" t="s">
        <v>52</v>
      </c>
      <c r="I8" s="25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40">
        <v>45870.0</v>
      </c>
      <c r="C9" s="41"/>
      <c r="D9" s="41" t="s">
        <v>54</v>
      </c>
      <c r="E9" s="41" t="s">
        <v>55</v>
      </c>
      <c r="F9" s="41" t="s">
        <v>56</v>
      </c>
      <c r="G9" s="43" t="s">
        <v>51</v>
      </c>
      <c r="H9" s="43" t="s">
        <v>52</v>
      </c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40">
        <v>45678.0</v>
      </c>
      <c r="C10" s="43"/>
      <c r="D10" s="41" t="s">
        <v>57</v>
      </c>
      <c r="E10" s="41" t="s">
        <v>58</v>
      </c>
      <c r="F10" s="41" t="s">
        <v>59</v>
      </c>
      <c r="G10" s="43" t="s">
        <v>51</v>
      </c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0">
        <v>4.0</v>
      </c>
      <c r="B11" s="44">
        <v>45671.0</v>
      </c>
      <c r="C11" s="43"/>
      <c r="D11" s="41" t="s">
        <v>60</v>
      </c>
      <c r="E11" s="19" t="s">
        <v>61</v>
      </c>
      <c r="F11" s="41" t="s">
        <v>62</v>
      </c>
      <c r="G11" s="43" t="s">
        <v>51</v>
      </c>
      <c r="H11" s="4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0">
        <v>5.0</v>
      </c>
      <c r="B12" s="40">
        <v>46114.0</v>
      </c>
      <c r="C12" s="43"/>
      <c r="D12" s="45" t="s">
        <v>63</v>
      </c>
      <c r="E12" s="41" t="s">
        <v>64</v>
      </c>
      <c r="F12" s="41" t="s">
        <v>65</v>
      </c>
      <c r="G12" s="43" t="s">
        <v>51</v>
      </c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0">
        <v>6.0</v>
      </c>
      <c r="B13" s="44">
        <v>46114.0</v>
      </c>
      <c r="C13" s="43"/>
      <c r="D13" s="45" t="s">
        <v>66</v>
      </c>
      <c r="E13" s="41" t="s">
        <v>67</v>
      </c>
      <c r="F13" s="41" t="s">
        <v>68</v>
      </c>
      <c r="G13" s="43" t="s">
        <v>51</v>
      </c>
      <c r="H13" s="43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0">
        <v>7.0</v>
      </c>
      <c r="B14" s="44">
        <v>46181.0</v>
      </c>
      <c r="C14" s="43"/>
      <c r="D14" s="45" t="s">
        <v>60</v>
      </c>
      <c r="E14" s="19" t="s">
        <v>61</v>
      </c>
      <c r="F14" s="41" t="s">
        <v>62</v>
      </c>
      <c r="G14" s="43" t="s">
        <v>51</v>
      </c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0">
        <v>8.0</v>
      </c>
      <c r="B15" s="15" t="s">
        <v>69</v>
      </c>
      <c r="C15" s="43"/>
      <c r="D15" s="45" t="s">
        <v>48</v>
      </c>
      <c r="E15" s="41" t="s">
        <v>49</v>
      </c>
      <c r="F15" s="41" t="s">
        <v>70</v>
      </c>
      <c r="G15" s="43" t="s">
        <v>51</v>
      </c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0">
        <v>9.0</v>
      </c>
      <c r="B16" s="44">
        <v>46043.0</v>
      </c>
      <c r="C16" s="43"/>
      <c r="D16" s="46" t="s">
        <v>71</v>
      </c>
      <c r="E16" s="41" t="s">
        <v>72</v>
      </c>
      <c r="F16" s="41" t="s">
        <v>73</v>
      </c>
      <c r="G16" s="43" t="s">
        <v>51</v>
      </c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0">
        <v>10.0</v>
      </c>
      <c r="B17" s="44">
        <v>46136.0</v>
      </c>
      <c r="C17" s="43"/>
      <c r="D17" s="45" t="s">
        <v>74</v>
      </c>
      <c r="E17" s="41" t="s">
        <v>75</v>
      </c>
      <c r="F17" s="41" t="s">
        <v>76</v>
      </c>
      <c r="G17" s="43" t="s">
        <v>51</v>
      </c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7"/>
      <c r="C18" s="43"/>
      <c r="D18" s="43"/>
      <c r="E18" s="43"/>
      <c r="F18" s="43"/>
      <c r="G18" s="4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7"/>
      <c r="C19" s="43"/>
      <c r="D19" s="43"/>
      <c r="E19" s="43"/>
      <c r="F19" s="43"/>
      <c r="G19" s="4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7"/>
      <c r="C20" s="43"/>
      <c r="D20" s="43"/>
      <c r="E20" s="43"/>
      <c r="F20" s="43"/>
      <c r="G20" s="4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7"/>
      <c r="C21" s="43"/>
      <c r="D21" s="43"/>
      <c r="E21" s="43"/>
      <c r="F21" s="43"/>
      <c r="G21" s="4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8"/>
      <c r="C22" s="43"/>
      <c r="D22" s="43"/>
      <c r="E22" s="43"/>
      <c r="F22" s="43"/>
      <c r="G22" s="4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7"/>
      <c r="C23" s="43"/>
      <c r="D23" s="43"/>
      <c r="E23" s="43"/>
      <c r="F23" s="43"/>
      <c r="G23" s="4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7"/>
      <c r="C24" s="43"/>
      <c r="D24" s="43"/>
      <c r="E24" s="43"/>
      <c r="F24" s="43"/>
      <c r="G24" s="4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7"/>
      <c r="C25" s="43"/>
      <c r="D25" s="43"/>
      <c r="E25" s="43"/>
      <c r="F25" s="43"/>
      <c r="G25" s="4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7"/>
      <c r="C26" s="43"/>
      <c r="D26" s="43"/>
      <c r="E26" s="43"/>
      <c r="F26" s="43"/>
      <c r="G26" s="4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7"/>
      <c r="C27" s="43"/>
      <c r="D27" s="49"/>
      <c r="E27" s="43"/>
      <c r="F27" s="43"/>
      <c r="G27" s="4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0"/>
      <c r="C28" s="43"/>
      <c r="D28" s="43"/>
      <c r="E28" s="43"/>
      <c r="F28" s="43"/>
      <c r="G28" s="43"/>
      <c r="H28" s="23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0"/>
      <c r="C29" s="43"/>
      <c r="D29" s="43"/>
      <c r="E29" s="43"/>
      <c r="F29" s="43"/>
      <c r="G29" s="43"/>
      <c r="H29" s="23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88"/>
    <col customWidth="1" min="4" max="4" width="17.13"/>
    <col customWidth="1" min="5" max="5" width="22.0"/>
    <col customWidth="1" min="6" max="6" width="15.75"/>
    <col customWidth="1" min="7" max="7" width="15.5"/>
    <col customWidth="1" min="8" max="8" width="14.88"/>
    <col customWidth="1" min="9" max="9" width="16.13"/>
  </cols>
  <sheetData>
    <row r="1">
      <c r="A1" s="32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78</v>
      </c>
      <c r="B3" s="52" t="s">
        <v>79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38</v>
      </c>
      <c r="B5" s="35" t="s">
        <v>39</v>
      </c>
      <c r="C5" s="35" t="s">
        <v>40</v>
      </c>
      <c r="D5" s="35" t="s">
        <v>41</v>
      </c>
      <c r="E5" s="35" t="s">
        <v>42</v>
      </c>
      <c r="F5" s="35" t="s">
        <v>43</v>
      </c>
      <c r="G5" s="53" t="s">
        <v>44</v>
      </c>
      <c r="H5" s="36" t="s">
        <v>45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7" t="s">
        <v>46</v>
      </c>
      <c r="I6" s="37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3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54">
        <v>45818.0</v>
      </c>
      <c r="C8" s="41" t="s">
        <v>80</v>
      </c>
      <c r="D8" s="55" t="s">
        <v>81</v>
      </c>
      <c r="E8" s="41" t="s">
        <v>82</v>
      </c>
      <c r="F8" s="41" t="s">
        <v>83</v>
      </c>
      <c r="G8" s="43" t="s">
        <v>84</v>
      </c>
      <c r="H8" s="43" t="s">
        <v>85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54">
        <v>45796.0</v>
      </c>
      <c r="C9" s="41" t="s">
        <v>80</v>
      </c>
      <c r="D9" s="41" t="s">
        <v>86</v>
      </c>
      <c r="E9" s="56" t="s">
        <v>87</v>
      </c>
      <c r="F9" s="56" t="s">
        <v>88</v>
      </c>
      <c r="G9" s="43" t="s">
        <v>84</v>
      </c>
      <c r="H9" s="43" t="s">
        <v>85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>
        <v>3.0</v>
      </c>
      <c r="B10" s="54">
        <v>45791.0</v>
      </c>
      <c r="C10" s="41" t="s">
        <v>80</v>
      </c>
      <c r="D10" s="41" t="s">
        <v>89</v>
      </c>
      <c r="E10" s="41" t="s">
        <v>90</v>
      </c>
      <c r="F10" s="41" t="s">
        <v>91</v>
      </c>
      <c r="G10" s="43" t="s">
        <v>84</v>
      </c>
      <c r="H10" s="43" t="s">
        <v>85</v>
      </c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7">
        <v>4.0</v>
      </c>
      <c r="B11" s="58">
        <v>45764.0</v>
      </c>
      <c r="C11" s="41" t="s">
        <v>80</v>
      </c>
      <c r="D11" s="41" t="s">
        <v>92</v>
      </c>
      <c r="E11" s="56" t="s">
        <v>93</v>
      </c>
      <c r="F11" s="56" t="s">
        <v>94</v>
      </c>
      <c r="G11" s="43" t="s">
        <v>84</v>
      </c>
      <c r="H11" s="43" t="s">
        <v>85</v>
      </c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>
        <v>5.0</v>
      </c>
      <c r="B12" s="59">
        <v>45712.0</v>
      </c>
      <c r="C12" s="41" t="s">
        <v>80</v>
      </c>
      <c r="D12" s="60" t="s">
        <v>95</v>
      </c>
      <c r="E12" s="41" t="s">
        <v>96</v>
      </c>
      <c r="F12" s="41" t="s">
        <v>97</v>
      </c>
      <c r="G12" s="43" t="s">
        <v>84</v>
      </c>
      <c r="H12" s="43" t="s">
        <v>85</v>
      </c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>
        <v>6.0</v>
      </c>
      <c r="B13" s="61">
        <v>45672.0</v>
      </c>
      <c r="C13" s="41" t="s">
        <v>80</v>
      </c>
      <c r="D13" s="41" t="s">
        <v>98</v>
      </c>
      <c r="E13" s="41" t="s">
        <v>99</v>
      </c>
      <c r="F13" s="41" t="s">
        <v>94</v>
      </c>
      <c r="G13" s="43" t="s">
        <v>84</v>
      </c>
      <c r="H13" s="43" t="s">
        <v>85</v>
      </c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7">
        <v>7.0</v>
      </c>
      <c r="B14" s="62">
        <v>45665.0</v>
      </c>
      <c r="C14" s="41" t="s">
        <v>80</v>
      </c>
      <c r="D14" s="41" t="s">
        <v>100</v>
      </c>
      <c r="E14" s="56" t="s">
        <v>101</v>
      </c>
      <c r="F14" s="56" t="s">
        <v>102</v>
      </c>
      <c r="G14" s="43" t="s">
        <v>84</v>
      </c>
      <c r="H14" s="43" t="s">
        <v>85</v>
      </c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>
        <v>8.0</v>
      </c>
      <c r="B15" s="63">
        <v>46177.0</v>
      </c>
      <c r="C15" s="41" t="s">
        <v>80</v>
      </c>
      <c r="D15" s="46" t="s">
        <v>66</v>
      </c>
      <c r="E15" s="56" t="s">
        <v>67</v>
      </c>
      <c r="F15" s="56" t="s">
        <v>68</v>
      </c>
      <c r="G15" s="43" t="s">
        <v>84</v>
      </c>
      <c r="H15" s="43" t="s">
        <v>85</v>
      </c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7">
        <v>9.0</v>
      </c>
      <c r="B16" s="63">
        <v>46113.0</v>
      </c>
      <c r="C16" s="41" t="s">
        <v>80</v>
      </c>
      <c r="D16" s="46" t="s">
        <v>103</v>
      </c>
      <c r="E16" s="56" t="s">
        <v>104</v>
      </c>
      <c r="F16" s="56" t="s">
        <v>105</v>
      </c>
      <c r="G16" s="43" t="s">
        <v>84</v>
      </c>
      <c r="H16" s="43" t="s">
        <v>85</v>
      </c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>
        <v>10.0</v>
      </c>
      <c r="B17" s="63">
        <v>46114.0</v>
      </c>
      <c r="C17" s="41" t="s">
        <v>80</v>
      </c>
      <c r="D17" s="46" t="s">
        <v>106</v>
      </c>
      <c r="E17" s="56" t="s">
        <v>64</v>
      </c>
      <c r="F17" s="56" t="s">
        <v>65</v>
      </c>
      <c r="G17" s="43" t="s">
        <v>84</v>
      </c>
      <c r="H17" s="43" t="s">
        <v>85</v>
      </c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7">
        <v>11.0</v>
      </c>
      <c r="B18" s="63">
        <v>46118.0</v>
      </c>
      <c r="C18" s="41" t="s">
        <v>80</v>
      </c>
      <c r="D18" s="46" t="s">
        <v>107</v>
      </c>
      <c r="E18" s="56" t="s">
        <v>108</v>
      </c>
      <c r="F18" s="56" t="s">
        <v>109</v>
      </c>
      <c r="G18" s="43" t="s">
        <v>84</v>
      </c>
      <c r="H18" s="43" t="s">
        <v>85</v>
      </c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>
        <v>12.0</v>
      </c>
      <c r="B19" s="63">
        <v>46139.0</v>
      </c>
      <c r="C19" s="41" t="s">
        <v>80</v>
      </c>
      <c r="D19" s="46" t="s">
        <v>110</v>
      </c>
      <c r="E19" s="56" t="s">
        <v>111</v>
      </c>
      <c r="F19" s="56" t="s">
        <v>112</v>
      </c>
      <c r="G19" s="43" t="s">
        <v>84</v>
      </c>
      <c r="H19" s="43" t="s">
        <v>85</v>
      </c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7">
        <v>13.0</v>
      </c>
      <c r="B20" s="63">
        <v>46111.0</v>
      </c>
      <c r="C20" s="41" t="s">
        <v>80</v>
      </c>
      <c r="D20" s="46" t="s">
        <v>113</v>
      </c>
      <c r="E20" s="56" t="s">
        <v>114</v>
      </c>
      <c r="F20" s="56" t="s">
        <v>112</v>
      </c>
      <c r="G20" s="43" t="s">
        <v>84</v>
      </c>
      <c r="H20" s="43" t="s">
        <v>85</v>
      </c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>
        <v>14.0</v>
      </c>
      <c r="B21" s="63">
        <v>46111.0</v>
      </c>
      <c r="C21" s="41" t="s">
        <v>80</v>
      </c>
      <c r="D21" s="46" t="s">
        <v>115</v>
      </c>
      <c r="E21" s="56" t="s">
        <v>116</v>
      </c>
      <c r="F21" s="56" t="s">
        <v>117</v>
      </c>
      <c r="G21" s="43" t="s">
        <v>84</v>
      </c>
      <c r="H21" s="43" t="s">
        <v>85</v>
      </c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4"/>
      <c r="B22" s="65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66">
        <v>18.0</v>
      </c>
      <c r="AL1" s="67"/>
    </row>
    <row r="2">
      <c r="A2" s="33"/>
      <c r="B2" s="2"/>
      <c r="C2" s="2"/>
      <c r="D2" s="2"/>
      <c r="E2" s="33"/>
      <c r="F2" s="33"/>
      <c r="G2" s="33"/>
      <c r="H2" s="33"/>
      <c r="I2" s="33"/>
      <c r="J2" s="3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33"/>
      <c r="B3" s="2" t="s">
        <v>1</v>
      </c>
      <c r="C3" s="34" t="s">
        <v>2</v>
      </c>
      <c r="D3" s="2"/>
      <c r="E3" s="33"/>
      <c r="F3" s="33"/>
      <c r="G3" s="33"/>
      <c r="H3" s="33"/>
      <c r="I3" s="33"/>
      <c r="J3" s="3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68" t="s">
        <v>3</v>
      </c>
      <c r="B4" s="68" t="s">
        <v>118</v>
      </c>
      <c r="C4" s="69" t="s">
        <v>119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9"/>
      <c r="AA4" s="70" t="s">
        <v>120</v>
      </c>
      <c r="AB4" s="31"/>
      <c r="AC4" s="31"/>
      <c r="AD4" s="31"/>
      <c r="AE4" s="31"/>
      <c r="AF4" s="9"/>
      <c r="AG4" s="70" t="s">
        <v>121</v>
      </c>
      <c r="AH4" s="31"/>
      <c r="AI4" s="31"/>
      <c r="AJ4" s="9"/>
      <c r="AK4" s="71" t="s">
        <v>122</v>
      </c>
      <c r="AL4" s="2"/>
    </row>
    <row r="5">
      <c r="A5" s="72"/>
      <c r="B5" s="72"/>
      <c r="C5" s="73" t="s">
        <v>123</v>
      </c>
      <c r="D5" s="31"/>
      <c r="E5" s="31"/>
      <c r="F5" s="31"/>
      <c r="G5" s="31"/>
      <c r="H5" s="31"/>
      <c r="I5" s="31"/>
      <c r="J5" s="9"/>
      <c r="K5" s="74" t="s">
        <v>124</v>
      </c>
      <c r="L5" s="75"/>
      <c r="M5" s="75"/>
      <c r="N5" s="76"/>
      <c r="O5" s="77" t="s">
        <v>125</v>
      </c>
      <c r="R5" s="78"/>
      <c r="S5" s="77" t="s">
        <v>126</v>
      </c>
      <c r="V5" s="78"/>
      <c r="W5" s="79" t="s">
        <v>127</v>
      </c>
      <c r="X5" s="70" t="s">
        <v>128</v>
      </c>
      <c r="Y5" s="31"/>
      <c r="Z5" s="9"/>
      <c r="AA5" s="68" t="s">
        <v>129</v>
      </c>
      <c r="AB5" s="76"/>
      <c r="AC5" s="68" t="s">
        <v>130</v>
      </c>
      <c r="AD5" s="76"/>
      <c r="AE5" s="68" t="s">
        <v>131</v>
      </c>
      <c r="AF5" s="76"/>
      <c r="AG5" s="68" t="s">
        <v>132</v>
      </c>
      <c r="AH5" s="76"/>
      <c r="AI5" s="68" t="s">
        <v>133</v>
      </c>
      <c r="AJ5" s="76"/>
      <c r="AK5" s="80"/>
      <c r="AL5" s="2"/>
    </row>
    <row r="6">
      <c r="A6" s="72"/>
      <c r="B6" s="72"/>
      <c r="C6" s="73" t="s">
        <v>134</v>
      </c>
      <c r="D6" s="31"/>
      <c r="E6" s="31"/>
      <c r="F6" s="9"/>
      <c r="G6" s="70" t="s">
        <v>135</v>
      </c>
      <c r="H6" s="31"/>
      <c r="I6" s="31"/>
      <c r="J6" s="9"/>
      <c r="K6" s="81"/>
      <c r="L6" s="82"/>
      <c r="M6" s="82"/>
      <c r="N6" s="83"/>
      <c r="O6" s="81"/>
      <c r="P6" s="82"/>
      <c r="Q6" s="82"/>
      <c r="R6" s="83"/>
      <c r="S6" s="81"/>
      <c r="T6" s="82"/>
      <c r="U6" s="82"/>
      <c r="V6" s="83"/>
      <c r="W6" s="80"/>
      <c r="X6" s="79" t="s">
        <v>136</v>
      </c>
      <c r="Y6" s="79" t="s">
        <v>137</v>
      </c>
      <c r="Z6" s="79" t="s">
        <v>138</v>
      </c>
      <c r="AA6" s="72"/>
      <c r="AB6" s="78"/>
      <c r="AC6" s="72"/>
      <c r="AD6" s="78"/>
      <c r="AE6" s="72"/>
      <c r="AF6" s="78"/>
      <c r="AG6" s="72"/>
      <c r="AH6" s="78"/>
      <c r="AI6" s="72"/>
      <c r="AJ6" s="78"/>
      <c r="AK6" s="80"/>
      <c r="AL6" s="2"/>
    </row>
    <row r="7">
      <c r="A7" s="72"/>
      <c r="B7" s="72"/>
      <c r="C7" s="73" t="s">
        <v>139</v>
      </c>
      <c r="D7" s="9"/>
      <c r="E7" s="70" t="s">
        <v>140</v>
      </c>
      <c r="F7" s="9"/>
      <c r="G7" s="70" t="s">
        <v>139</v>
      </c>
      <c r="H7" s="9"/>
      <c r="I7" s="70" t="s">
        <v>140</v>
      </c>
      <c r="J7" s="9"/>
      <c r="K7" s="84" t="s">
        <v>139</v>
      </c>
      <c r="L7" s="83"/>
      <c r="M7" s="84" t="s">
        <v>140</v>
      </c>
      <c r="N7" s="83"/>
      <c r="O7" s="84" t="s">
        <v>139</v>
      </c>
      <c r="P7" s="83"/>
      <c r="Q7" s="84" t="s">
        <v>140</v>
      </c>
      <c r="R7" s="83"/>
      <c r="S7" s="84" t="s">
        <v>139</v>
      </c>
      <c r="T7" s="83"/>
      <c r="U7" s="84" t="s">
        <v>140</v>
      </c>
      <c r="V7" s="83"/>
      <c r="W7" s="80"/>
      <c r="X7" s="80"/>
      <c r="Y7" s="80"/>
      <c r="Z7" s="80"/>
      <c r="AA7" s="81"/>
      <c r="AB7" s="83"/>
      <c r="AC7" s="81"/>
      <c r="AD7" s="83"/>
      <c r="AE7" s="81"/>
      <c r="AF7" s="83"/>
      <c r="AG7" s="81"/>
      <c r="AH7" s="83"/>
      <c r="AI7" s="81"/>
      <c r="AJ7" s="83"/>
      <c r="AK7" s="80"/>
      <c r="AL7" s="2"/>
    </row>
    <row r="8">
      <c r="A8" s="81"/>
      <c r="B8" s="81"/>
      <c r="C8" s="85" t="s">
        <v>141</v>
      </c>
      <c r="D8" s="86" t="s">
        <v>142</v>
      </c>
      <c r="E8" s="86" t="s">
        <v>141</v>
      </c>
      <c r="F8" s="86" t="s">
        <v>142</v>
      </c>
      <c r="G8" s="86" t="s">
        <v>141</v>
      </c>
      <c r="H8" s="86" t="s">
        <v>142</v>
      </c>
      <c r="I8" s="86" t="s">
        <v>141</v>
      </c>
      <c r="J8" s="86" t="s">
        <v>142</v>
      </c>
      <c r="K8" s="87" t="s">
        <v>141</v>
      </c>
      <c r="L8" s="87" t="s">
        <v>142</v>
      </c>
      <c r="M8" s="87" t="s">
        <v>141</v>
      </c>
      <c r="N8" s="87" t="s">
        <v>142</v>
      </c>
      <c r="O8" s="87" t="s">
        <v>141</v>
      </c>
      <c r="P8" s="87" t="s">
        <v>142</v>
      </c>
      <c r="Q8" s="87" t="s">
        <v>141</v>
      </c>
      <c r="R8" s="87" t="s">
        <v>142</v>
      </c>
      <c r="S8" s="87" t="s">
        <v>141</v>
      </c>
      <c r="T8" s="87" t="s">
        <v>142</v>
      </c>
      <c r="U8" s="87" t="s">
        <v>141</v>
      </c>
      <c r="V8" s="87" t="s">
        <v>142</v>
      </c>
      <c r="W8" s="11"/>
      <c r="X8" s="11"/>
      <c r="Y8" s="11"/>
      <c r="Z8" s="11"/>
      <c r="AA8" s="86" t="s">
        <v>141</v>
      </c>
      <c r="AB8" s="86" t="s">
        <v>142</v>
      </c>
      <c r="AC8" s="86" t="s">
        <v>141</v>
      </c>
      <c r="AD8" s="86" t="s">
        <v>142</v>
      </c>
      <c r="AE8" s="86" t="s">
        <v>141</v>
      </c>
      <c r="AF8" s="86" t="s">
        <v>142</v>
      </c>
      <c r="AG8" s="86" t="s">
        <v>141</v>
      </c>
      <c r="AH8" s="86" t="s">
        <v>142</v>
      </c>
      <c r="AI8" s="86" t="s">
        <v>141</v>
      </c>
      <c r="AJ8" s="86" t="s">
        <v>142</v>
      </c>
      <c r="AK8" s="11"/>
      <c r="AL8" s="2"/>
    </row>
    <row r="9">
      <c r="A9" s="88">
        <v>1.0</v>
      </c>
      <c r="B9" s="89">
        <v>2.0</v>
      </c>
      <c r="C9" s="89">
        <v>3.0</v>
      </c>
      <c r="D9" s="89">
        <v>4.0</v>
      </c>
      <c r="E9" s="89">
        <v>5.0</v>
      </c>
      <c r="F9" s="89">
        <v>6.0</v>
      </c>
      <c r="G9" s="89">
        <v>7.0</v>
      </c>
      <c r="H9" s="89">
        <v>8.0</v>
      </c>
      <c r="I9" s="89">
        <v>9.0</v>
      </c>
      <c r="J9" s="89">
        <v>10.0</v>
      </c>
      <c r="K9" s="90">
        <v>11.0</v>
      </c>
      <c r="L9" s="90">
        <v>12.0</v>
      </c>
      <c r="M9" s="90">
        <v>13.0</v>
      </c>
      <c r="N9" s="90">
        <v>14.0</v>
      </c>
      <c r="O9" s="90">
        <v>15.0</v>
      </c>
      <c r="P9" s="90">
        <v>16.0</v>
      </c>
      <c r="Q9" s="90">
        <v>17.0</v>
      </c>
      <c r="R9" s="90">
        <v>18.0</v>
      </c>
      <c r="S9" s="90">
        <v>19.0</v>
      </c>
      <c r="T9" s="90">
        <v>20.0</v>
      </c>
      <c r="U9" s="90">
        <v>21.0</v>
      </c>
      <c r="V9" s="90">
        <v>22.0</v>
      </c>
      <c r="W9" s="90">
        <v>23.0</v>
      </c>
      <c r="X9" s="90">
        <v>24.0</v>
      </c>
      <c r="Y9" s="90">
        <v>25.0</v>
      </c>
      <c r="Z9" s="90">
        <v>26.0</v>
      </c>
      <c r="AA9" s="90">
        <v>27.0</v>
      </c>
      <c r="AB9" s="90">
        <v>28.0</v>
      </c>
      <c r="AC9" s="90">
        <v>29.0</v>
      </c>
      <c r="AD9" s="90">
        <v>30.0</v>
      </c>
      <c r="AE9" s="90">
        <v>31.0</v>
      </c>
      <c r="AF9" s="90">
        <v>32.0</v>
      </c>
      <c r="AG9" s="90">
        <v>33.0</v>
      </c>
      <c r="AH9" s="90">
        <v>34.0</v>
      </c>
      <c r="AI9" s="90">
        <v>35.0</v>
      </c>
      <c r="AJ9" s="90">
        <v>36.0</v>
      </c>
      <c r="AK9" s="90">
        <v>37.0</v>
      </c>
      <c r="AL9" s="2"/>
    </row>
    <row r="10">
      <c r="A10" s="28">
        <v>1.0</v>
      </c>
      <c r="B10" s="91" t="s">
        <v>143</v>
      </c>
      <c r="C10" s="92">
        <v>1.0</v>
      </c>
      <c r="D10" s="92">
        <v>0.0</v>
      </c>
      <c r="E10" s="92">
        <v>20.0</v>
      </c>
      <c r="F10" s="92">
        <v>21.0</v>
      </c>
      <c r="G10" s="92">
        <v>0.0</v>
      </c>
      <c r="H10" s="92">
        <v>4.0</v>
      </c>
      <c r="I10" s="92">
        <v>70.0</v>
      </c>
      <c r="J10" s="92">
        <v>65.0</v>
      </c>
      <c r="K10" s="93">
        <v>80.0</v>
      </c>
      <c r="L10" s="93">
        <v>105.0</v>
      </c>
      <c r="M10" s="93">
        <v>0.0</v>
      </c>
      <c r="N10" s="93">
        <v>0.0</v>
      </c>
      <c r="O10" s="92">
        <v>0.0</v>
      </c>
      <c r="P10" s="92">
        <v>4.0</v>
      </c>
      <c r="Q10" s="86">
        <f t="shared" ref="Q10:R10" si="1">E10+G10+I10</f>
        <v>90</v>
      </c>
      <c r="R10" s="86">
        <f t="shared" si="1"/>
        <v>90</v>
      </c>
      <c r="S10" s="87">
        <v>110.0</v>
      </c>
      <c r="T10" s="87">
        <v>140.0</v>
      </c>
      <c r="U10" s="87">
        <v>0.0</v>
      </c>
      <c r="V10" s="87">
        <v>0.0</v>
      </c>
      <c r="W10" s="94">
        <f t="shared" ref="W10:W15" si="3">N10+P10+R10</f>
        <v>94</v>
      </c>
      <c r="X10" s="94">
        <f t="shared" ref="X10:X15" si="4">P10+R10</f>
        <v>94</v>
      </c>
      <c r="Y10" s="94">
        <v>36.0</v>
      </c>
      <c r="Z10" s="94">
        <f t="shared" ref="Z10:Z15" si="5">C10+D10+E10+F10</f>
        <v>42</v>
      </c>
      <c r="AA10" s="95">
        <v>0.0</v>
      </c>
      <c r="AB10" s="96">
        <f t="shared" ref="AB10:AB15" si="6">9+8+9+9+8</f>
        <v>43</v>
      </c>
      <c r="AC10" s="96">
        <v>0.0</v>
      </c>
      <c r="AD10" s="96">
        <v>0.0</v>
      </c>
      <c r="AE10" s="96">
        <v>0.0</v>
      </c>
      <c r="AF10" s="94">
        <v>1.0</v>
      </c>
      <c r="AG10" s="96">
        <v>0.0</v>
      </c>
      <c r="AH10" s="96">
        <v>4.0</v>
      </c>
      <c r="AI10" s="96">
        <v>0.0</v>
      </c>
      <c r="AJ10" s="96">
        <v>0.0</v>
      </c>
      <c r="AK10" s="23"/>
      <c r="AL10" s="2"/>
    </row>
    <row r="11">
      <c r="A11" s="28">
        <v>2.0</v>
      </c>
      <c r="B11" s="91" t="s">
        <v>144</v>
      </c>
      <c r="C11" s="92">
        <v>1.0</v>
      </c>
      <c r="D11" s="92">
        <v>0.0</v>
      </c>
      <c r="E11" s="92">
        <v>20.0</v>
      </c>
      <c r="F11" s="92">
        <v>19.0</v>
      </c>
      <c r="G11" s="92">
        <v>1.0</v>
      </c>
      <c r="H11" s="92">
        <v>2.0</v>
      </c>
      <c r="I11" s="92">
        <v>70.0</v>
      </c>
      <c r="J11" s="92">
        <v>65.0</v>
      </c>
      <c r="K11" s="93">
        <v>1.0</v>
      </c>
      <c r="L11" s="93">
        <v>1.0</v>
      </c>
      <c r="M11" s="93">
        <v>90.0</v>
      </c>
      <c r="N11" s="93">
        <v>106.0</v>
      </c>
      <c r="O11" s="92">
        <v>1.0</v>
      </c>
      <c r="P11" s="92">
        <v>2.0</v>
      </c>
      <c r="Q11" s="86">
        <f t="shared" ref="Q11:R11" si="2">E11+G11+I11</f>
        <v>91</v>
      </c>
      <c r="R11" s="86">
        <f t="shared" si="2"/>
        <v>86</v>
      </c>
      <c r="S11" s="87">
        <v>2.0</v>
      </c>
      <c r="T11" s="87">
        <v>3.0</v>
      </c>
      <c r="U11" s="87">
        <v>145.0</v>
      </c>
      <c r="V11" s="87">
        <v>146.0</v>
      </c>
      <c r="W11" s="94">
        <f t="shared" si="3"/>
        <v>194</v>
      </c>
      <c r="X11" s="94">
        <f t="shared" si="4"/>
        <v>88</v>
      </c>
      <c r="Y11" s="94">
        <v>38.0</v>
      </c>
      <c r="Z11" s="94">
        <f t="shared" si="5"/>
        <v>40</v>
      </c>
      <c r="AA11" s="96">
        <v>0.0</v>
      </c>
      <c r="AB11" s="96">
        <f t="shared" si="6"/>
        <v>43</v>
      </c>
      <c r="AC11" s="96">
        <v>0.0</v>
      </c>
      <c r="AD11" s="96">
        <v>0.0</v>
      </c>
      <c r="AE11" s="96">
        <v>0.0</v>
      </c>
      <c r="AF11" s="94">
        <v>2.0</v>
      </c>
      <c r="AG11" s="96">
        <v>1.0</v>
      </c>
      <c r="AH11" s="96">
        <v>2.0</v>
      </c>
      <c r="AI11" s="96">
        <v>0.0</v>
      </c>
      <c r="AJ11" s="96">
        <v>0.0</v>
      </c>
      <c r="AK11" s="23"/>
      <c r="AL11" s="2"/>
    </row>
    <row r="12">
      <c r="A12" s="28">
        <v>3.0</v>
      </c>
      <c r="B12" s="91" t="s">
        <v>145</v>
      </c>
      <c r="C12" s="92">
        <v>1.0</v>
      </c>
      <c r="D12" s="92">
        <v>1.0</v>
      </c>
      <c r="E12" s="92">
        <v>20.0</v>
      </c>
      <c r="F12" s="92">
        <v>18.0</v>
      </c>
      <c r="G12" s="92">
        <v>2.0</v>
      </c>
      <c r="H12" s="92">
        <v>3.0</v>
      </c>
      <c r="I12" s="92">
        <v>68.0</v>
      </c>
      <c r="J12" s="92">
        <v>62.0</v>
      </c>
      <c r="K12" s="93">
        <v>0.0</v>
      </c>
      <c r="L12" s="93">
        <v>1.0</v>
      </c>
      <c r="M12" s="93">
        <v>86.0</v>
      </c>
      <c r="N12" s="93">
        <v>87.0</v>
      </c>
      <c r="O12" s="92">
        <v>2.0</v>
      </c>
      <c r="P12" s="92">
        <v>3.0</v>
      </c>
      <c r="Q12" s="86">
        <f t="shared" ref="Q12:R12" si="7">E12+G12+I12</f>
        <v>90</v>
      </c>
      <c r="R12" s="86">
        <f t="shared" si="7"/>
        <v>83</v>
      </c>
      <c r="S12" s="87">
        <v>2.0</v>
      </c>
      <c r="T12" s="87">
        <v>0.0</v>
      </c>
      <c r="U12" s="87">
        <v>132.0</v>
      </c>
      <c r="V12" s="87">
        <v>122.0</v>
      </c>
      <c r="W12" s="94">
        <f t="shared" si="3"/>
        <v>173</v>
      </c>
      <c r="X12" s="94">
        <f t="shared" si="4"/>
        <v>86</v>
      </c>
      <c r="Y12" s="94">
        <v>37.0</v>
      </c>
      <c r="Z12" s="94">
        <f t="shared" si="5"/>
        <v>40</v>
      </c>
      <c r="AA12" s="96">
        <v>0.0</v>
      </c>
      <c r="AB12" s="96">
        <f t="shared" si="6"/>
        <v>43</v>
      </c>
      <c r="AC12" s="96">
        <v>0.0</v>
      </c>
      <c r="AD12" s="96">
        <v>0.0</v>
      </c>
      <c r="AE12" s="96">
        <v>0.0</v>
      </c>
      <c r="AF12" s="94">
        <v>1.0</v>
      </c>
      <c r="AG12" s="96">
        <v>2.0</v>
      </c>
      <c r="AH12" s="96">
        <v>3.0</v>
      </c>
      <c r="AI12" s="96">
        <v>0.0</v>
      </c>
      <c r="AJ12" s="96">
        <v>0.0</v>
      </c>
      <c r="AK12" s="86"/>
      <c r="AL12" s="2"/>
    </row>
    <row r="13">
      <c r="A13" s="28">
        <v>4.0</v>
      </c>
      <c r="B13" s="91" t="s">
        <v>146</v>
      </c>
      <c r="C13" s="92">
        <v>0.0</v>
      </c>
      <c r="D13" s="92">
        <v>2.0</v>
      </c>
      <c r="E13" s="92">
        <v>18.0</v>
      </c>
      <c r="F13" s="92">
        <v>15.0</v>
      </c>
      <c r="G13" s="92">
        <v>2.0</v>
      </c>
      <c r="H13" s="92">
        <v>3.0</v>
      </c>
      <c r="I13" s="92">
        <v>70.0</v>
      </c>
      <c r="J13" s="92">
        <v>65.0</v>
      </c>
      <c r="K13" s="93">
        <v>2.0</v>
      </c>
      <c r="L13" s="93">
        <v>0.0</v>
      </c>
      <c r="M13" s="93">
        <v>88.0</v>
      </c>
      <c r="N13" s="93">
        <v>72.0</v>
      </c>
      <c r="O13" s="92">
        <v>2.0</v>
      </c>
      <c r="P13" s="92">
        <v>3.0</v>
      </c>
      <c r="Q13" s="86">
        <f t="shared" ref="Q13:R13" si="8">E13+G13+I13</f>
        <v>90</v>
      </c>
      <c r="R13" s="86">
        <f t="shared" si="8"/>
        <v>83</v>
      </c>
      <c r="S13" s="87">
        <v>1.0</v>
      </c>
      <c r="T13" s="87">
        <v>0.0</v>
      </c>
      <c r="U13" s="87">
        <v>144.0</v>
      </c>
      <c r="V13" s="87">
        <v>112.0</v>
      </c>
      <c r="W13" s="94">
        <f t="shared" si="3"/>
        <v>158</v>
      </c>
      <c r="X13" s="94">
        <f t="shared" si="4"/>
        <v>86</v>
      </c>
      <c r="Y13" s="94">
        <v>35.0</v>
      </c>
      <c r="Z13" s="94">
        <f t="shared" si="5"/>
        <v>35</v>
      </c>
      <c r="AA13" s="96">
        <v>0.0</v>
      </c>
      <c r="AB13" s="96">
        <f t="shared" si="6"/>
        <v>43</v>
      </c>
      <c r="AC13" s="96">
        <v>0.0</v>
      </c>
      <c r="AD13" s="96">
        <v>0.0</v>
      </c>
      <c r="AE13" s="96">
        <v>0.0</v>
      </c>
      <c r="AF13" s="94">
        <v>1.0</v>
      </c>
      <c r="AG13" s="96">
        <v>2.0</v>
      </c>
      <c r="AH13" s="96">
        <v>3.0</v>
      </c>
      <c r="AI13" s="96">
        <v>0.0</v>
      </c>
      <c r="AJ13" s="96">
        <v>0.0</v>
      </c>
      <c r="AK13" s="86"/>
      <c r="AL13" s="2"/>
    </row>
    <row r="14">
      <c r="A14" s="28">
        <v>5.0</v>
      </c>
      <c r="B14" s="91" t="s">
        <v>147</v>
      </c>
      <c r="C14" s="92">
        <v>2.0</v>
      </c>
      <c r="D14" s="92">
        <v>1.0</v>
      </c>
      <c r="E14" s="92">
        <v>18.0</v>
      </c>
      <c r="F14" s="92">
        <v>15.0</v>
      </c>
      <c r="G14" s="92">
        <v>2.0</v>
      </c>
      <c r="H14" s="92">
        <v>2.0</v>
      </c>
      <c r="I14" s="92">
        <v>70.0</v>
      </c>
      <c r="J14" s="92">
        <v>66.0</v>
      </c>
      <c r="K14" s="93">
        <v>1.0</v>
      </c>
      <c r="L14" s="93">
        <v>0.0</v>
      </c>
      <c r="M14" s="93">
        <v>92.0</v>
      </c>
      <c r="N14" s="93">
        <v>101.0</v>
      </c>
      <c r="O14" s="92">
        <v>2.0</v>
      </c>
      <c r="P14" s="92">
        <v>2.0</v>
      </c>
      <c r="Q14" s="86">
        <f t="shared" ref="Q14:R14" si="9">E14+G14+I14</f>
        <v>90</v>
      </c>
      <c r="R14" s="86">
        <f t="shared" si="9"/>
        <v>83</v>
      </c>
      <c r="S14" s="87">
        <v>1.0</v>
      </c>
      <c r="T14" s="87">
        <v>3.0</v>
      </c>
      <c r="U14" s="87">
        <v>122.0</v>
      </c>
      <c r="V14" s="87">
        <v>144.0</v>
      </c>
      <c r="W14" s="94">
        <f t="shared" si="3"/>
        <v>186</v>
      </c>
      <c r="X14" s="94">
        <f t="shared" si="4"/>
        <v>85</v>
      </c>
      <c r="Y14" s="94">
        <v>31.0</v>
      </c>
      <c r="Z14" s="94">
        <f t="shared" si="5"/>
        <v>36</v>
      </c>
      <c r="AA14" s="96">
        <v>0.0</v>
      </c>
      <c r="AB14" s="96">
        <f t="shared" si="6"/>
        <v>43</v>
      </c>
      <c r="AC14" s="96">
        <v>0.0</v>
      </c>
      <c r="AD14" s="96">
        <v>0.0</v>
      </c>
      <c r="AE14" s="96">
        <v>0.0</v>
      </c>
      <c r="AF14" s="94">
        <v>2.0</v>
      </c>
      <c r="AG14" s="96">
        <v>2.0</v>
      </c>
      <c r="AH14" s="96">
        <v>2.0</v>
      </c>
      <c r="AI14" s="96">
        <v>0.0</v>
      </c>
      <c r="AJ14" s="96">
        <v>0.0</v>
      </c>
      <c r="AK14" s="86"/>
      <c r="AL14" s="2"/>
    </row>
    <row r="15">
      <c r="A15" s="28">
        <v>6.0</v>
      </c>
      <c r="B15" s="91" t="s">
        <v>148</v>
      </c>
      <c r="C15" s="92"/>
      <c r="D15" s="92"/>
      <c r="E15" s="92"/>
      <c r="F15" s="92"/>
      <c r="G15" s="92"/>
      <c r="H15" s="92"/>
      <c r="I15" s="92"/>
      <c r="J15" s="92"/>
      <c r="K15" s="93">
        <v>0.0</v>
      </c>
      <c r="L15" s="93">
        <v>0.0</v>
      </c>
      <c r="M15" s="93">
        <v>78.0</v>
      </c>
      <c r="N15" s="93">
        <v>94.0</v>
      </c>
      <c r="O15" s="92">
        <v>4.0</v>
      </c>
      <c r="P15" s="92">
        <v>2.0</v>
      </c>
      <c r="Q15" s="86">
        <f t="shared" ref="Q15:R15" si="10">E15+G15+I15</f>
        <v>0</v>
      </c>
      <c r="R15" s="86">
        <f t="shared" si="10"/>
        <v>0</v>
      </c>
      <c r="S15" s="87">
        <v>0.0</v>
      </c>
      <c r="T15" s="87">
        <v>0.0</v>
      </c>
      <c r="U15" s="87">
        <v>141.0</v>
      </c>
      <c r="V15" s="87">
        <v>114.0</v>
      </c>
      <c r="W15" s="94">
        <f t="shared" si="3"/>
        <v>96</v>
      </c>
      <c r="X15" s="94">
        <f t="shared" si="4"/>
        <v>2</v>
      </c>
      <c r="Y15" s="94">
        <v>29.0</v>
      </c>
      <c r="Z15" s="94">
        <f t="shared" si="5"/>
        <v>0</v>
      </c>
      <c r="AA15" s="96">
        <v>0.0</v>
      </c>
      <c r="AB15" s="96">
        <f t="shared" si="6"/>
        <v>43</v>
      </c>
      <c r="AC15" s="96">
        <v>0.0</v>
      </c>
      <c r="AD15" s="96">
        <v>0.0</v>
      </c>
      <c r="AE15" s="96">
        <v>0.0</v>
      </c>
      <c r="AF15" s="94">
        <v>1.0</v>
      </c>
      <c r="AG15" s="96">
        <v>4.0</v>
      </c>
      <c r="AH15" s="94">
        <v>2.0</v>
      </c>
      <c r="AI15" s="96">
        <v>0.0</v>
      </c>
      <c r="AJ15" s="96">
        <v>0.0</v>
      </c>
      <c r="AK15" s="23"/>
      <c r="AL15" s="2"/>
    </row>
    <row r="16">
      <c r="A16" s="28">
        <v>7.0</v>
      </c>
      <c r="B16" s="91" t="s">
        <v>149</v>
      </c>
      <c r="C16" s="92"/>
      <c r="D16" s="92"/>
      <c r="E16" s="92"/>
      <c r="F16" s="92"/>
      <c r="G16" s="92"/>
      <c r="H16" s="92"/>
      <c r="I16" s="92"/>
      <c r="J16" s="92"/>
      <c r="K16" s="93"/>
      <c r="L16" s="93"/>
      <c r="M16" s="93"/>
      <c r="N16" s="93"/>
      <c r="O16" s="92"/>
      <c r="P16" s="92"/>
      <c r="Q16" s="86"/>
      <c r="R16" s="86"/>
      <c r="S16" s="87"/>
      <c r="T16" s="87"/>
      <c r="U16" s="87"/>
      <c r="V16" s="87"/>
      <c r="W16" s="94"/>
      <c r="X16" s="94"/>
      <c r="Y16" s="94"/>
      <c r="Z16" s="94"/>
      <c r="AA16" s="96"/>
      <c r="AB16" s="96"/>
      <c r="AC16" s="96"/>
      <c r="AD16" s="96"/>
      <c r="AE16" s="96"/>
      <c r="AF16" s="96"/>
      <c r="AG16" s="96"/>
      <c r="AH16" s="94"/>
      <c r="AI16" s="96"/>
      <c r="AJ16" s="96"/>
      <c r="AK16" s="86"/>
      <c r="AL16" s="2"/>
    </row>
    <row r="17">
      <c r="A17" s="28">
        <v>8.0</v>
      </c>
      <c r="B17" s="91" t="s">
        <v>150</v>
      </c>
      <c r="C17" s="92"/>
      <c r="D17" s="92"/>
      <c r="E17" s="92"/>
      <c r="F17" s="92"/>
      <c r="G17" s="92"/>
      <c r="H17" s="92"/>
      <c r="I17" s="92"/>
      <c r="J17" s="92"/>
      <c r="K17" s="93"/>
      <c r="L17" s="93"/>
      <c r="M17" s="93"/>
      <c r="N17" s="93"/>
      <c r="O17" s="92"/>
      <c r="P17" s="92"/>
      <c r="Q17" s="86"/>
      <c r="R17" s="86"/>
      <c r="S17" s="93"/>
      <c r="T17" s="93"/>
      <c r="U17" s="87"/>
      <c r="V17" s="87"/>
      <c r="W17" s="94"/>
      <c r="X17" s="94"/>
      <c r="Y17" s="92"/>
      <c r="Z17" s="94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23"/>
      <c r="AL17" s="2"/>
    </row>
    <row r="18">
      <c r="A18" s="28">
        <v>9.0</v>
      </c>
      <c r="B18" s="91" t="s">
        <v>151</v>
      </c>
      <c r="C18" s="92"/>
      <c r="D18" s="92"/>
      <c r="E18" s="92"/>
      <c r="F18" s="92"/>
      <c r="G18" s="92"/>
      <c r="H18" s="92"/>
      <c r="I18" s="92"/>
      <c r="J18" s="92"/>
      <c r="K18" s="97"/>
      <c r="L18" s="97"/>
      <c r="M18" s="97"/>
      <c r="N18" s="97"/>
      <c r="O18" s="92"/>
      <c r="P18" s="92"/>
      <c r="Q18" s="86"/>
      <c r="R18" s="86"/>
      <c r="S18" s="56"/>
      <c r="T18" s="56"/>
      <c r="U18" s="87"/>
      <c r="V18" s="87"/>
      <c r="W18" s="94"/>
      <c r="X18" s="94"/>
      <c r="Y18" s="94"/>
      <c r="Z18" s="94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23"/>
      <c r="AL18" s="2"/>
    </row>
    <row r="19">
      <c r="A19" s="28">
        <v>10.0</v>
      </c>
      <c r="B19" s="91" t="s">
        <v>152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86"/>
      <c r="R19" s="86"/>
      <c r="S19" s="56"/>
      <c r="T19" s="56"/>
      <c r="U19" s="87"/>
      <c r="V19" s="87"/>
      <c r="W19" s="94"/>
      <c r="X19" s="94"/>
      <c r="Y19" s="56"/>
      <c r="Z19" s="94"/>
      <c r="AA19" s="96"/>
      <c r="AB19" s="96"/>
      <c r="AC19" s="96"/>
      <c r="AD19" s="96"/>
      <c r="AE19" s="96"/>
      <c r="AF19" s="56"/>
      <c r="AG19" s="99"/>
      <c r="AH19" s="56"/>
      <c r="AI19" s="96"/>
      <c r="AJ19" s="96"/>
      <c r="AK19" s="23"/>
      <c r="AL19" s="2"/>
    </row>
    <row r="20">
      <c r="A20" s="28">
        <v>11.0</v>
      </c>
      <c r="B20" s="91" t="s">
        <v>153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86"/>
      <c r="R20" s="86"/>
      <c r="S20" s="56"/>
      <c r="T20" s="56"/>
      <c r="U20" s="56"/>
      <c r="V20" s="56"/>
      <c r="W20" s="94"/>
      <c r="X20" s="94"/>
      <c r="Y20" s="56"/>
      <c r="Z20" s="94"/>
      <c r="AA20" s="96"/>
      <c r="AB20" s="96"/>
      <c r="AC20" s="96"/>
      <c r="AD20" s="96"/>
      <c r="AE20" s="96"/>
      <c r="AF20" s="56"/>
      <c r="AG20" s="99"/>
      <c r="AH20" s="56"/>
      <c r="AI20" s="96"/>
      <c r="AJ20" s="96"/>
      <c r="AK20" s="23"/>
      <c r="AL20" s="2"/>
    </row>
    <row r="21">
      <c r="A21" s="28">
        <v>12.0</v>
      </c>
      <c r="B21" s="91" t="s">
        <v>154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86"/>
      <c r="R21" s="86"/>
      <c r="S21" s="56"/>
      <c r="T21" s="56"/>
      <c r="U21" s="56"/>
      <c r="V21" s="56"/>
      <c r="W21" s="94"/>
      <c r="X21" s="94"/>
      <c r="Y21" s="56"/>
      <c r="Z21" s="94"/>
      <c r="AA21" s="96"/>
      <c r="AB21" s="96"/>
      <c r="AC21" s="96"/>
      <c r="AD21" s="96"/>
      <c r="AE21" s="96"/>
      <c r="AF21" s="56"/>
      <c r="AG21" s="99"/>
      <c r="AH21" s="56"/>
      <c r="AI21" s="96"/>
      <c r="AJ21" s="96"/>
      <c r="AK21" s="23"/>
      <c r="AL21" s="2"/>
    </row>
    <row r="22">
      <c r="A22" s="33"/>
      <c r="B22" s="2"/>
      <c r="C22" s="2"/>
      <c r="D22" s="2"/>
      <c r="E22" s="33"/>
      <c r="F22" s="33"/>
      <c r="G22" s="33"/>
      <c r="H22" s="33"/>
      <c r="I22" s="33"/>
      <c r="J22" s="3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33"/>
      <c r="B23" s="2"/>
      <c r="C23" s="2"/>
      <c r="D23" s="2"/>
      <c r="E23" s="33"/>
      <c r="F23" s="33"/>
      <c r="G23" s="33"/>
      <c r="H23" s="33"/>
      <c r="I23" s="33"/>
      <c r="J23" s="3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66" t="s">
        <v>155</v>
      </c>
      <c r="D24" s="2"/>
      <c r="E24" s="33"/>
      <c r="F24" s="33"/>
      <c r="G24" s="33"/>
      <c r="H24" s="33"/>
      <c r="I24" s="33"/>
      <c r="J24" s="3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52" t="s">
        <v>156</v>
      </c>
      <c r="B25" s="100" t="s">
        <v>80</v>
      </c>
      <c r="C25" s="2"/>
      <c r="D25" s="2"/>
      <c r="E25" s="33"/>
      <c r="F25" s="33"/>
      <c r="G25" s="33"/>
      <c r="H25" s="33"/>
      <c r="I25" s="33"/>
      <c r="J25" s="3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52" t="s">
        <v>157</v>
      </c>
      <c r="B26" s="100">
        <v>2026.0</v>
      </c>
      <c r="D26" s="2"/>
      <c r="E26" s="33"/>
      <c r="F26" s="33"/>
      <c r="G26" s="33"/>
      <c r="H26" s="33"/>
      <c r="I26" s="33"/>
      <c r="J26" s="3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52"/>
      <c r="B27" s="100"/>
      <c r="D27" s="2"/>
      <c r="E27" s="33"/>
      <c r="F27" s="33"/>
      <c r="G27" s="33"/>
      <c r="H27" s="33"/>
      <c r="I27" s="33"/>
      <c r="J27" s="3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52" t="s">
        <v>158</v>
      </c>
      <c r="E28" s="101"/>
      <c r="F28" s="101"/>
      <c r="G28" s="101"/>
      <c r="H28" s="101"/>
      <c r="I28" s="101"/>
      <c r="J28" s="101"/>
      <c r="K28" s="102"/>
      <c r="L28" s="102"/>
      <c r="M28" s="102"/>
      <c r="N28" s="102"/>
      <c r="O28" s="102"/>
      <c r="P28" s="102"/>
      <c r="Q28" s="10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103" t="s">
        <v>3</v>
      </c>
      <c r="B29" s="104" t="s">
        <v>159</v>
      </c>
      <c r="C29" s="75"/>
      <c r="D29" s="75"/>
      <c r="E29" s="69" t="s">
        <v>160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9"/>
      <c r="Q29" s="10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93" t="s">
        <v>161</v>
      </c>
      <c r="C30" s="93" t="s">
        <v>162</v>
      </c>
      <c r="D30" s="93" t="s">
        <v>163</v>
      </c>
      <c r="E30" s="93" t="s">
        <v>164</v>
      </c>
      <c r="F30" s="93" t="s">
        <v>165</v>
      </c>
      <c r="G30" s="93" t="s">
        <v>166</v>
      </c>
      <c r="H30" s="93" t="s">
        <v>167</v>
      </c>
      <c r="I30" s="93" t="s">
        <v>147</v>
      </c>
      <c r="J30" s="93" t="s">
        <v>168</v>
      </c>
      <c r="K30" s="93" t="s">
        <v>169</v>
      </c>
      <c r="L30" s="93" t="s">
        <v>170</v>
      </c>
      <c r="M30" s="93" t="s">
        <v>171</v>
      </c>
      <c r="N30" s="93" t="s">
        <v>172</v>
      </c>
      <c r="O30" s="93" t="s">
        <v>173</v>
      </c>
      <c r="P30" s="93" t="s">
        <v>174</v>
      </c>
      <c r="Q30" s="10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06">
        <v>1.0</v>
      </c>
      <c r="B31" s="106">
        <v>2.0</v>
      </c>
      <c r="C31" s="106">
        <v>3.0</v>
      </c>
      <c r="D31" s="106">
        <v>4.0</v>
      </c>
      <c r="E31" s="106">
        <v>5.0</v>
      </c>
      <c r="F31" s="106">
        <v>6.0</v>
      </c>
      <c r="G31" s="106">
        <v>7.0</v>
      </c>
      <c r="H31" s="106">
        <v>8.0</v>
      </c>
      <c r="I31" s="106">
        <v>9.0</v>
      </c>
      <c r="J31" s="106">
        <v>10.0</v>
      </c>
      <c r="K31" s="106">
        <v>11.0</v>
      </c>
      <c r="L31" s="106">
        <v>12.0</v>
      </c>
      <c r="M31" s="106">
        <v>13.0</v>
      </c>
      <c r="N31" s="106">
        <v>14.0</v>
      </c>
      <c r="O31" s="106">
        <v>15.0</v>
      </c>
      <c r="P31" s="106">
        <v>16.0</v>
      </c>
      <c r="Q31" s="10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108" t="s">
        <v>175</v>
      </c>
      <c r="C32" s="108" t="s">
        <v>176</v>
      </c>
      <c r="D32" s="108"/>
      <c r="E32" s="98" t="s">
        <v>25</v>
      </c>
      <c r="F32" s="98" t="s">
        <v>25</v>
      </c>
      <c r="G32" s="98" t="s">
        <v>25</v>
      </c>
      <c r="H32" s="98"/>
      <c r="I32" s="98" t="s">
        <v>25</v>
      </c>
      <c r="J32" s="109"/>
      <c r="K32" s="110"/>
      <c r="L32" s="110"/>
      <c r="M32" s="110"/>
      <c r="N32" s="110"/>
      <c r="O32" s="110"/>
      <c r="P32" s="110"/>
      <c r="Q32" s="11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108" t="s">
        <v>177</v>
      </c>
      <c r="C33" s="108" t="s">
        <v>178</v>
      </c>
      <c r="D33" s="108"/>
      <c r="E33" s="109"/>
      <c r="F33" s="98" t="s">
        <v>25</v>
      </c>
      <c r="G33" s="98" t="s">
        <v>25</v>
      </c>
      <c r="H33" s="98"/>
      <c r="I33" s="98" t="s">
        <v>25</v>
      </c>
      <c r="J33" s="109"/>
      <c r="K33" s="110"/>
      <c r="L33" s="110"/>
      <c r="M33" s="110"/>
      <c r="N33" s="110"/>
      <c r="O33" s="110"/>
      <c r="P33" s="110"/>
      <c r="Q33" s="11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108" t="s">
        <v>179</v>
      </c>
      <c r="C34" s="108" t="s">
        <v>180</v>
      </c>
      <c r="D34" s="108"/>
      <c r="E34" s="109"/>
      <c r="F34" s="98" t="s">
        <v>25</v>
      </c>
      <c r="G34" s="98" t="s">
        <v>25</v>
      </c>
      <c r="H34" s="98" t="s">
        <v>25</v>
      </c>
      <c r="I34" s="98" t="s">
        <v>25</v>
      </c>
      <c r="J34" s="109"/>
      <c r="K34" s="110"/>
      <c r="L34" s="110"/>
      <c r="M34" s="110"/>
      <c r="N34" s="110"/>
      <c r="O34" s="110"/>
      <c r="P34" s="110"/>
      <c r="Q34" s="11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108" t="s">
        <v>181</v>
      </c>
      <c r="C35" s="108" t="s">
        <v>182</v>
      </c>
      <c r="D35" s="108"/>
      <c r="E35" s="109"/>
      <c r="F35" s="98" t="s">
        <v>25</v>
      </c>
      <c r="G35" s="98" t="s">
        <v>25</v>
      </c>
      <c r="H35" s="98" t="s">
        <v>25</v>
      </c>
      <c r="I35" s="98" t="s">
        <v>25</v>
      </c>
      <c r="J35" s="109"/>
      <c r="K35" s="110"/>
      <c r="L35" s="110"/>
      <c r="M35" s="110"/>
      <c r="N35" s="110"/>
      <c r="O35" s="110"/>
      <c r="P35" s="110"/>
      <c r="Q35" s="11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108" t="s">
        <v>183</v>
      </c>
      <c r="C36" s="108" t="s">
        <v>184</v>
      </c>
      <c r="D36" s="108"/>
      <c r="E36" s="98" t="s">
        <v>25</v>
      </c>
      <c r="F36" s="98" t="s">
        <v>25</v>
      </c>
      <c r="G36" s="98" t="s">
        <v>25</v>
      </c>
      <c r="H36" s="98" t="s">
        <v>25</v>
      </c>
      <c r="I36" s="98"/>
      <c r="J36" s="109"/>
      <c r="K36" s="110"/>
      <c r="L36" s="110"/>
      <c r="M36" s="110"/>
      <c r="N36" s="110"/>
      <c r="O36" s="110"/>
      <c r="P36" s="110"/>
      <c r="Q36" s="11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108" t="s">
        <v>185</v>
      </c>
      <c r="C37" s="108" t="s">
        <v>186</v>
      </c>
      <c r="D37" s="108"/>
      <c r="E37" s="98" t="s">
        <v>25</v>
      </c>
      <c r="F37" s="109"/>
      <c r="G37" s="98" t="s">
        <v>25</v>
      </c>
      <c r="H37" s="98" t="s">
        <v>25</v>
      </c>
      <c r="I37" s="98" t="s">
        <v>25</v>
      </c>
      <c r="J37" s="109"/>
      <c r="K37" s="110"/>
      <c r="L37" s="110"/>
      <c r="M37" s="110"/>
      <c r="N37" s="110"/>
      <c r="O37" s="110"/>
      <c r="P37" s="110"/>
      <c r="Q37" s="11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108" t="s">
        <v>187</v>
      </c>
      <c r="C38" s="108" t="s">
        <v>188</v>
      </c>
      <c r="D38" s="108"/>
      <c r="E38" s="109"/>
      <c r="F38" s="98" t="s">
        <v>25</v>
      </c>
      <c r="G38" s="98" t="s">
        <v>25</v>
      </c>
      <c r="H38" s="98" t="s">
        <v>25</v>
      </c>
      <c r="I38" s="98" t="s">
        <v>25</v>
      </c>
      <c r="J38" s="109"/>
      <c r="K38" s="110"/>
      <c r="L38" s="110"/>
      <c r="M38" s="110"/>
      <c r="N38" s="110"/>
      <c r="O38" s="110"/>
      <c r="P38" s="110"/>
      <c r="Q38" s="11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108" t="s">
        <v>189</v>
      </c>
      <c r="C39" s="108" t="s">
        <v>190</v>
      </c>
      <c r="D39" s="108"/>
      <c r="E39" s="98" t="s">
        <v>25</v>
      </c>
      <c r="F39" s="109"/>
      <c r="G39" s="98" t="s">
        <v>25</v>
      </c>
      <c r="H39" s="98" t="s">
        <v>25</v>
      </c>
      <c r="I39" s="98" t="s">
        <v>25</v>
      </c>
      <c r="J39" s="109"/>
      <c r="K39" s="110"/>
      <c r="L39" s="110"/>
      <c r="M39" s="110"/>
      <c r="N39" s="110"/>
      <c r="O39" s="110"/>
      <c r="P39" s="110"/>
      <c r="Q39" s="11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108" t="s">
        <v>191</v>
      </c>
      <c r="C40" s="108" t="s">
        <v>192</v>
      </c>
      <c r="D40" s="108"/>
      <c r="E40" s="98" t="s">
        <v>25</v>
      </c>
      <c r="F40" s="98" t="s">
        <v>25</v>
      </c>
      <c r="G40" s="98"/>
      <c r="H40" s="98"/>
      <c r="I40" s="98" t="s">
        <v>25</v>
      </c>
      <c r="J40" s="109"/>
      <c r="K40" s="110"/>
      <c r="L40" s="110"/>
      <c r="M40" s="110"/>
      <c r="N40" s="110"/>
      <c r="O40" s="110"/>
      <c r="P40" s="110"/>
      <c r="Q40" s="11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108" t="s">
        <v>193</v>
      </c>
      <c r="C41" s="108" t="s">
        <v>194</v>
      </c>
      <c r="D41" s="108"/>
      <c r="E41" s="109"/>
      <c r="F41" s="98" t="s">
        <v>25</v>
      </c>
      <c r="G41" s="98" t="s">
        <v>25</v>
      </c>
      <c r="H41" s="98" t="s">
        <v>25</v>
      </c>
      <c r="I41" s="98" t="s">
        <v>25</v>
      </c>
      <c r="J41" s="109"/>
      <c r="K41" s="110"/>
      <c r="L41" s="110"/>
      <c r="M41" s="110"/>
      <c r="N41" s="110"/>
      <c r="O41" s="110"/>
      <c r="P41" s="110"/>
      <c r="Q41" s="11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108" t="s">
        <v>195</v>
      </c>
      <c r="C42" s="108" t="s">
        <v>196</v>
      </c>
      <c r="D42" s="108"/>
      <c r="E42" s="98"/>
      <c r="F42" s="98" t="s">
        <v>25</v>
      </c>
      <c r="G42" s="98" t="s">
        <v>25</v>
      </c>
      <c r="H42" s="98" t="s">
        <v>25</v>
      </c>
      <c r="I42" s="98" t="s">
        <v>25</v>
      </c>
      <c r="J42" s="109"/>
      <c r="K42" s="110"/>
      <c r="L42" s="110"/>
      <c r="M42" s="110"/>
      <c r="N42" s="110"/>
      <c r="O42" s="110"/>
      <c r="P42" s="110"/>
      <c r="Q42" s="11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108" t="s">
        <v>197</v>
      </c>
      <c r="C43" s="108" t="s">
        <v>198</v>
      </c>
      <c r="D43" s="108"/>
      <c r="E43" s="98"/>
      <c r="F43" s="98" t="s">
        <v>25</v>
      </c>
      <c r="G43" s="98" t="s">
        <v>25</v>
      </c>
      <c r="H43" s="98" t="s">
        <v>25</v>
      </c>
      <c r="I43" s="98" t="s">
        <v>25</v>
      </c>
      <c r="J43" s="109"/>
      <c r="K43" s="110"/>
      <c r="L43" s="110"/>
      <c r="M43" s="110"/>
      <c r="N43" s="110"/>
      <c r="O43" s="110"/>
      <c r="P43" s="110"/>
      <c r="Q43" s="11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3">
        <v>13.0</v>
      </c>
      <c r="B44" s="108" t="s">
        <v>199</v>
      </c>
      <c r="C44" s="108" t="s">
        <v>200</v>
      </c>
      <c r="D44" s="108"/>
      <c r="E44" s="98" t="s">
        <v>25</v>
      </c>
      <c r="F44" s="98" t="s">
        <v>25</v>
      </c>
      <c r="G44" s="98"/>
      <c r="H44" s="98" t="s">
        <v>25</v>
      </c>
      <c r="I44" s="98" t="s">
        <v>25</v>
      </c>
      <c r="J44" s="109"/>
      <c r="K44" s="110"/>
      <c r="L44" s="110"/>
      <c r="M44" s="110"/>
      <c r="N44" s="110"/>
      <c r="O44" s="110"/>
      <c r="P44" s="110"/>
      <c r="Q44" s="11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3">
        <v>14.0</v>
      </c>
      <c r="B45" s="108" t="s">
        <v>201</v>
      </c>
      <c r="C45" s="108" t="s">
        <v>202</v>
      </c>
      <c r="D45" s="108"/>
      <c r="E45" s="109"/>
      <c r="F45" s="98" t="s">
        <v>25</v>
      </c>
      <c r="G45" s="98" t="s">
        <v>25</v>
      </c>
      <c r="H45" s="98" t="s">
        <v>25</v>
      </c>
      <c r="I45" s="98" t="s">
        <v>25</v>
      </c>
      <c r="J45" s="109"/>
      <c r="K45" s="110"/>
      <c r="L45" s="110"/>
      <c r="M45" s="110"/>
      <c r="N45" s="110"/>
      <c r="O45" s="110"/>
      <c r="P45" s="110"/>
      <c r="Q45" s="11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3">
        <v>15.0</v>
      </c>
      <c r="B46" s="108" t="s">
        <v>203</v>
      </c>
      <c r="C46" s="108" t="s">
        <v>204</v>
      </c>
      <c r="D46" s="108"/>
      <c r="E46" s="98" t="s">
        <v>25</v>
      </c>
      <c r="F46" s="98" t="s">
        <v>25</v>
      </c>
      <c r="G46" s="98"/>
      <c r="H46" s="98"/>
      <c r="I46" s="98"/>
      <c r="J46" s="109"/>
      <c r="K46" s="110"/>
      <c r="L46" s="110"/>
      <c r="M46" s="110"/>
      <c r="N46" s="110"/>
      <c r="O46" s="110"/>
      <c r="P46" s="110"/>
      <c r="Q46" s="11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3">
        <v>16.0</v>
      </c>
      <c r="B47" s="108" t="s">
        <v>205</v>
      </c>
      <c r="C47" s="108" t="s">
        <v>206</v>
      </c>
      <c r="D47" s="108"/>
      <c r="E47" s="98"/>
      <c r="F47" s="98" t="s">
        <v>25</v>
      </c>
      <c r="G47" s="98" t="s">
        <v>25</v>
      </c>
      <c r="H47" s="98" t="s">
        <v>25</v>
      </c>
      <c r="I47" s="98"/>
      <c r="J47" s="109"/>
      <c r="K47" s="110"/>
      <c r="L47" s="110"/>
      <c r="M47" s="110"/>
      <c r="N47" s="110"/>
      <c r="O47" s="110"/>
      <c r="P47" s="110"/>
      <c r="Q47" s="111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3">
        <v>17.0</v>
      </c>
      <c r="B48" s="108" t="s">
        <v>207</v>
      </c>
      <c r="C48" s="108" t="s">
        <v>208</v>
      </c>
      <c r="D48" s="108"/>
      <c r="E48" s="98" t="s">
        <v>25</v>
      </c>
      <c r="F48" s="109"/>
      <c r="G48" s="98" t="s">
        <v>25</v>
      </c>
      <c r="H48" s="98" t="s">
        <v>25</v>
      </c>
      <c r="I48" s="98"/>
      <c r="J48" s="109"/>
      <c r="K48" s="110"/>
      <c r="L48" s="110"/>
      <c r="M48" s="110"/>
      <c r="N48" s="110"/>
      <c r="O48" s="110"/>
      <c r="P48" s="110"/>
      <c r="Q48" s="111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3">
        <v>18.0</v>
      </c>
      <c r="B49" s="108" t="s">
        <v>209</v>
      </c>
      <c r="C49" s="108" t="s">
        <v>210</v>
      </c>
      <c r="D49" s="108"/>
      <c r="E49" s="98" t="s">
        <v>25</v>
      </c>
      <c r="F49" s="98" t="s">
        <v>25</v>
      </c>
      <c r="G49" s="98" t="s">
        <v>25</v>
      </c>
      <c r="H49" s="98" t="s">
        <v>25</v>
      </c>
      <c r="I49" s="98"/>
      <c r="J49" s="109"/>
      <c r="K49" s="110"/>
      <c r="L49" s="110"/>
      <c r="M49" s="110"/>
      <c r="N49" s="110"/>
      <c r="O49" s="110"/>
      <c r="P49" s="110"/>
      <c r="Q49" s="111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19.0</v>
      </c>
      <c r="B50" s="108" t="s">
        <v>211</v>
      </c>
      <c r="C50" s="108" t="s">
        <v>212</v>
      </c>
      <c r="D50" s="108"/>
      <c r="E50" s="98" t="s">
        <v>25</v>
      </c>
      <c r="F50" s="109"/>
      <c r="G50" s="98" t="s">
        <v>25</v>
      </c>
      <c r="H50" s="98" t="s">
        <v>25</v>
      </c>
      <c r="I50" s="98"/>
      <c r="J50" s="109"/>
      <c r="K50" s="110"/>
      <c r="L50" s="110"/>
      <c r="M50" s="110"/>
      <c r="N50" s="110"/>
      <c r="O50" s="110"/>
      <c r="P50" s="110"/>
      <c r="Q50" s="11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20.0</v>
      </c>
      <c r="B51" s="108" t="s">
        <v>213</v>
      </c>
      <c r="C51" s="108" t="s">
        <v>214</v>
      </c>
      <c r="D51" s="108"/>
      <c r="E51" s="98" t="s">
        <v>25</v>
      </c>
      <c r="F51" s="98" t="s">
        <v>25</v>
      </c>
      <c r="G51" s="98" t="s">
        <v>25</v>
      </c>
      <c r="H51" s="98"/>
      <c r="I51" s="98" t="s">
        <v>25</v>
      </c>
      <c r="J51" s="109"/>
      <c r="K51" s="110"/>
      <c r="L51" s="110"/>
      <c r="M51" s="110"/>
      <c r="N51" s="110"/>
      <c r="O51" s="110"/>
      <c r="P51" s="110"/>
      <c r="Q51" s="111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21.0</v>
      </c>
      <c r="B52" s="108" t="s">
        <v>215</v>
      </c>
      <c r="C52" s="108" t="s">
        <v>216</v>
      </c>
      <c r="D52" s="108"/>
      <c r="E52" s="98" t="s">
        <v>25</v>
      </c>
      <c r="F52" s="98" t="s">
        <v>25</v>
      </c>
      <c r="G52" s="98"/>
      <c r="H52" s="98" t="s">
        <v>25</v>
      </c>
      <c r="I52" s="98" t="s">
        <v>25</v>
      </c>
      <c r="J52" s="109"/>
      <c r="K52" s="110"/>
      <c r="L52" s="110"/>
      <c r="M52" s="110"/>
      <c r="N52" s="110"/>
      <c r="O52" s="110"/>
      <c r="P52" s="110"/>
      <c r="Q52" s="111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22.0</v>
      </c>
      <c r="B53" s="108" t="s">
        <v>217</v>
      </c>
      <c r="C53" s="108" t="s">
        <v>218</v>
      </c>
      <c r="D53" s="108"/>
      <c r="E53" s="98"/>
      <c r="F53" s="98" t="s">
        <v>25</v>
      </c>
      <c r="G53" s="98" t="s">
        <v>25</v>
      </c>
      <c r="H53" s="98" t="s">
        <v>25</v>
      </c>
      <c r="I53" s="98"/>
      <c r="J53" s="109"/>
      <c r="K53" s="110"/>
      <c r="L53" s="110"/>
      <c r="M53" s="110"/>
      <c r="N53" s="110"/>
      <c r="O53" s="110"/>
      <c r="P53" s="110"/>
      <c r="Q53" s="111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23.0</v>
      </c>
      <c r="B54" s="108" t="s">
        <v>219</v>
      </c>
      <c r="C54" s="108" t="s">
        <v>220</v>
      </c>
      <c r="D54" s="108" t="s">
        <v>221</v>
      </c>
      <c r="E54" s="98"/>
      <c r="F54" s="98" t="s">
        <v>25</v>
      </c>
      <c r="G54" s="98" t="s">
        <v>25</v>
      </c>
      <c r="H54" s="98"/>
      <c r="I54" s="98" t="s">
        <v>25</v>
      </c>
      <c r="J54" s="109"/>
      <c r="K54" s="110"/>
      <c r="L54" s="110"/>
      <c r="M54" s="110"/>
      <c r="N54" s="110"/>
      <c r="O54" s="110"/>
      <c r="P54" s="110"/>
      <c r="Q54" s="111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24.0</v>
      </c>
      <c r="B55" s="108" t="s">
        <v>222</v>
      </c>
      <c r="C55" s="108" t="s">
        <v>223</v>
      </c>
      <c r="D55" s="108" t="s">
        <v>224</v>
      </c>
      <c r="E55" s="98"/>
      <c r="F55" s="98" t="s">
        <v>25</v>
      </c>
      <c r="G55" s="98" t="s">
        <v>25</v>
      </c>
      <c r="H55" s="98" t="s">
        <v>25</v>
      </c>
      <c r="I55" s="98" t="s">
        <v>25</v>
      </c>
      <c r="J55" s="109"/>
      <c r="K55" s="110"/>
      <c r="L55" s="110"/>
      <c r="M55" s="110"/>
      <c r="N55" s="110"/>
      <c r="O55" s="110"/>
      <c r="P55" s="110"/>
      <c r="Q55" s="111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25.0</v>
      </c>
      <c r="B56" s="108" t="s">
        <v>225</v>
      </c>
      <c r="C56" s="108" t="s">
        <v>226</v>
      </c>
      <c r="D56" s="108" t="s">
        <v>227</v>
      </c>
      <c r="E56" s="98"/>
      <c r="F56" s="98"/>
      <c r="G56" s="98" t="s">
        <v>25</v>
      </c>
      <c r="H56" s="98" t="s">
        <v>25</v>
      </c>
      <c r="I56" s="98" t="s">
        <v>25</v>
      </c>
      <c r="J56" s="109"/>
      <c r="K56" s="110"/>
      <c r="L56" s="110"/>
      <c r="M56" s="110"/>
      <c r="N56" s="110"/>
      <c r="O56" s="110"/>
      <c r="P56" s="110"/>
      <c r="Q56" s="111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26.0</v>
      </c>
      <c r="B57" s="108" t="s">
        <v>228</v>
      </c>
      <c r="C57" s="108" t="s">
        <v>229</v>
      </c>
      <c r="D57" s="108" t="s">
        <v>230</v>
      </c>
      <c r="E57" s="98"/>
      <c r="F57" s="98"/>
      <c r="G57" s="98" t="s">
        <v>25</v>
      </c>
      <c r="H57" s="98" t="s">
        <v>25</v>
      </c>
      <c r="I57" s="98"/>
      <c r="J57" s="109"/>
      <c r="K57" s="110"/>
      <c r="L57" s="110"/>
      <c r="M57" s="110"/>
      <c r="N57" s="110"/>
      <c r="O57" s="110"/>
      <c r="P57" s="110"/>
      <c r="Q57" s="111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3">
        <v>27.0</v>
      </c>
      <c r="B58" s="108" t="s">
        <v>231</v>
      </c>
      <c r="C58" s="108" t="s">
        <v>232</v>
      </c>
      <c r="D58" s="108" t="s">
        <v>233</v>
      </c>
      <c r="E58" s="98"/>
      <c r="F58" s="98" t="s">
        <v>25</v>
      </c>
      <c r="G58" s="98"/>
      <c r="H58" s="98" t="s">
        <v>25</v>
      </c>
      <c r="I58" s="98" t="s">
        <v>25</v>
      </c>
      <c r="J58" s="109"/>
      <c r="K58" s="110"/>
      <c r="L58" s="110"/>
      <c r="M58" s="110"/>
      <c r="N58" s="110"/>
      <c r="O58" s="110"/>
      <c r="P58" s="110"/>
      <c r="Q58" s="111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3">
        <v>28.0</v>
      </c>
      <c r="B59" s="108" t="s">
        <v>234</v>
      </c>
      <c r="C59" s="108" t="s">
        <v>235</v>
      </c>
      <c r="D59" s="108" t="s">
        <v>236</v>
      </c>
      <c r="E59" s="98"/>
      <c r="F59" s="98" t="s">
        <v>25</v>
      </c>
      <c r="G59" s="98" t="s">
        <v>25</v>
      </c>
      <c r="H59" s="98" t="s">
        <v>25</v>
      </c>
      <c r="I59" s="98" t="s">
        <v>25</v>
      </c>
      <c r="J59" s="109"/>
      <c r="K59" s="110"/>
      <c r="L59" s="110"/>
      <c r="M59" s="110"/>
      <c r="N59" s="110"/>
      <c r="O59" s="110"/>
      <c r="P59" s="110"/>
      <c r="Q59" s="11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3">
        <v>29.0</v>
      </c>
      <c r="B60" s="108" t="s">
        <v>237</v>
      </c>
      <c r="C60" s="108" t="s">
        <v>238</v>
      </c>
      <c r="D60" s="108" t="s">
        <v>239</v>
      </c>
      <c r="E60" s="98"/>
      <c r="F60" s="98" t="s">
        <v>25</v>
      </c>
      <c r="G60" s="98" t="s">
        <v>25</v>
      </c>
      <c r="H60" s="98" t="s">
        <v>25</v>
      </c>
      <c r="I60" s="98" t="s">
        <v>25</v>
      </c>
      <c r="J60" s="109"/>
      <c r="K60" s="110"/>
      <c r="L60" s="110"/>
      <c r="M60" s="110"/>
      <c r="N60" s="110"/>
      <c r="O60" s="110"/>
      <c r="P60" s="110"/>
      <c r="Q60" s="111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3">
        <v>30.0</v>
      </c>
      <c r="B61" s="108" t="s">
        <v>240</v>
      </c>
      <c r="C61" s="108" t="s">
        <v>241</v>
      </c>
      <c r="D61" s="108" t="s">
        <v>242</v>
      </c>
      <c r="E61" s="98" t="s">
        <v>25</v>
      </c>
      <c r="F61" s="98" t="s">
        <v>25</v>
      </c>
      <c r="G61" s="98" t="s">
        <v>25</v>
      </c>
      <c r="H61" s="98"/>
      <c r="I61" s="98" t="s">
        <v>25</v>
      </c>
      <c r="J61" s="109"/>
      <c r="K61" s="110"/>
      <c r="L61" s="110"/>
      <c r="M61" s="110"/>
      <c r="N61" s="110"/>
      <c r="O61" s="110"/>
      <c r="P61" s="110"/>
      <c r="Q61" s="11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>
        <v>31.0</v>
      </c>
      <c r="B62" s="108" t="s">
        <v>243</v>
      </c>
      <c r="C62" s="108" t="s">
        <v>244</v>
      </c>
      <c r="D62" s="108" t="s">
        <v>245</v>
      </c>
      <c r="E62" s="98"/>
      <c r="F62" s="98"/>
      <c r="G62" s="98" t="s">
        <v>25</v>
      </c>
      <c r="H62" s="98" t="s">
        <v>25</v>
      </c>
      <c r="I62" s="98" t="s">
        <v>25</v>
      </c>
      <c r="J62" s="109"/>
      <c r="K62" s="110"/>
      <c r="L62" s="110"/>
      <c r="M62" s="110"/>
      <c r="N62" s="110"/>
      <c r="O62" s="110"/>
      <c r="P62" s="110"/>
      <c r="Q62" s="111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3">
        <v>32.0</v>
      </c>
      <c r="B63" s="108" t="s">
        <v>246</v>
      </c>
      <c r="C63" s="108" t="s">
        <v>247</v>
      </c>
      <c r="D63" s="108" t="s">
        <v>248</v>
      </c>
      <c r="E63" s="98"/>
      <c r="F63" s="98" t="s">
        <v>25</v>
      </c>
      <c r="G63" s="98" t="s">
        <v>25</v>
      </c>
      <c r="H63" s="98" t="s">
        <v>25</v>
      </c>
      <c r="I63" s="98" t="s">
        <v>25</v>
      </c>
      <c r="J63" s="109"/>
      <c r="K63" s="110"/>
      <c r="L63" s="110"/>
      <c r="M63" s="110"/>
      <c r="N63" s="110"/>
      <c r="O63" s="110"/>
      <c r="P63" s="110"/>
      <c r="Q63" s="111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>
        <v>33.0</v>
      </c>
      <c r="B64" s="108" t="s">
        <v>249</v>
      </c>
      <c r="C64" s="108" t="s">
        <v>250</v>
      </c>
      <c r="D64" s="108" t="s">
        <v>251</v>
      </c>
      <c r="E64" s="98" t="s">
        <v>25</v>
      </c>
      <c r="F64" s="98" t="s">
        <v>25</v>
      </c>
      <c r="G64" s="98"/>
      <c r="H64" s="98" t="s">
        <v>25</v>
      </c>
      <c r="I64" s="98" t="s">
        <v>25</v>
      </c>
      <c r="J64" s="109"/>
      <c r="K64" s="110"/>
      <c r="L64" s="110"/>
      <c r="M64" s="110"/>
      <c r="N64" s="110"/>
      <c r="O64" s="110"/>
      <c r="P64" s="110"/>
      <c r="Q64" s="111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34.0</v>
      </c>
      <c r="B65" s="108" t="s">
        <v>252</v>
      </c>
      <c r="C65" s="108" t="s">
        <v>253</v>
      </c>
      <c r="D65" s="108" t="s">
        <v>254</v>
      </c>
      <c r="E65" s="98" t="s">
        <v>25</v>
      </c>
      <c r="F65" s="98" t="s">
        <v>25</v>
      </c>
      <c r="G65" s="98" t="s">
        <v>25</v>
      </c>
      <c r="H65" s="98" t="s">
        <v>25</v>
      </c>
      <c r="I65" s="98" t="s">
        <v>25</v>
      </c>
      <c r="J65" s="109"/>
      <c r="K65" s="110"/>
      <c r="L65" s="110"/>
      <c r="M65" s="110"/>
      <c r="N65" s="110"/>
      <c r="O65" s="110"/>
      <c r="P65" s="110"/>
      <c r="Q65" s="111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35.0</v>
      </c>
      <c r="B66" s="108" t="s">
        <v>255</v>
      </c>
      <c r="C66" s="108" t="s">
        <v>256</v>
      </c>
      <c r="D66" s="108" t="s">
        <v>257</v>
      </c>
      <c r="E66" s="98" t="s">
        <v>25</v>
      </c>
      <c r="F66" s="98" t="s">
        <v>25</v>
      </c>
      <c r="G66" s="98" t="s">
        <v>25</v>
      </c>
      <c r="H66" s="98" t="s">
        <v>25</v>
      </c>
      <c r="I66" s="98"/>
      <c r="J66" s="109"/>
      <c r="K66" s="110"/>
      <c r="L66" s="110"/>
      <c r="M66" s="110"/>
      <c r="N66" s="110"/>
      <c r="O66" s="110"/>
      <c r="P66" s="110"/>
      <c r="Q66" s="111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36.0</v>
      </c>
      <c r="B67" s="108" t="s">
        <v>258</v>
      </c>
      <c r="C67" s="108" t="s">
        <v>259</v>
      </c>
      <c r="D67" s="108" t="s">
        <v>260</v>
      </c>
      <c r="E67" s="98"/>
      <c r="F67" s="98" t="s">
        <v>25</v>
      </c>
      <c r="G67" s="98"/>
      <c r="H67" s="98" t="s">
        <v>25</v>
      </c>
      <c r="I67" s="98" t="s">
        <v>25</v>
      </c>
      <c r="J67" s="109"/>
      <c r="K67" s="110"/>
      <c r="L67" s="110"/>
      <c r="M67" s="110"/>
      <c r="N67" s="110"/>
      <c r="O67" s="110"/>
      <c r="P67" s="110"/>
      <c r="Q67" s="111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37.0</v>
      </c>
      <c r="B68" s="108" t="s">
        <v>261</v>
      </c>
      <c r="C68" s="108" t="s">
        <v>262</v>
      </c>
      <c r="D68" s="108" t="s">
        <v>263</v>
      </c>
      <c r="E68" s="98" t="s">
        <v>25</v>
      </c>
      <c r="F68" s="98" t="s">
        <v>25</v>
      </c>
      <c r="G68" s="98" t="s">
        <v>25</v>
      </c>
      <c r="H68" s="98"/>
      <c r="I68" s="98"/>
      <c r="J68" s="109"/>
      <c r="K68" s="110"/>
      <c r="L68" s="110"/>
      <c r="M68" s="110"/>
      <c r="N68" s="110"/>
      <c r="O68" s="110"/>
      <c r="P68" s="110"/>
      <c r="Q68" s="111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38.0</v>
      </c>
      <c r="B69" s="108" t="s">
        <v>264</v>
      </c>
      <c r="C69" s="108" t="s">
        <v>96</v>
      </c>
      <c r="D69" s="108" t="s">
        <v>265</v>
      </c>
      <c r="E69" s="98"/>
      <c r="F69" s="98" t="s">
        <v>25</v>
      </c>
      <c r="G69" s="98" t="s">
        <v>25</v>
      </c>
      <c r="H69" s="98" t="s">
        <v>25</v>
      </c>
      <c r="I69" s="98" t="s">
        <v>25</v>
      </c>
      <c r="J69" s="109"/>
      <c r="K69" s="110"/>
      <c r="L69" s="110"/>
      <c r="M69" s="110"/>
      <c r="N69" s="110"/>
      <c r="O69" s="110"/>
      <c r="P69" s="110"/>
      <c r="Q69" s="111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39.0</v>
      </c>
      <c r="B70" s="108" t="s">
        <v>266</v>
      </c>
      <c r="C70" s="108" t="s">
        <v>267</v>
      </c>
      <c r="D70" s="108" t="s">
        <v>268</v>
      </c>
      <c r="E70" s="98" t="s">
        <v>25</v>
      </c>
      <c r="F70" s="98" t="s">
        <v>25</v>
      </c>
      <c r="G70" s="98"/>
      <c r="H70" s="98" t="s">
        <v>25</v>
      </c>
      <c r="I70" s="98" t="s">
        <v>25</v>
      </c>
      <c r="J70" s="109"/>
      <c r="K70" s="110"/>
      <c r="L70" s="110"/>
      <c r="M70" s="110"/>
      <c r="N70" s="110"/>
      <c r="O70" s="110"/>
      <c r="P70" s="110"/>
      <c r="Q70" s="111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40.0</v>
      </c>
      <c r="B71" s="108" t="s">
        <v>269</v>
      </c>
      <c r="C71" s="108" t="s">
        <v>270</v>
      </c>
      <c r="D71" s="108" t="s">
        <v>271</v>
      </c>
      <c r="E71" s="98" t="s">
        <v>25</v>
      </c>
      <c r="F71" s="98" t="s">
        <v>25</v>
      </c>
      <c r="G71" s="98" t="s">
        <v>25</v>
      </c>
      <c r="H71" s="98" t="s">
        <v>25</v>
      </c>
      <c r="I71" s="98" t="s">
        <v>25</v>
      </c>
      <c r="J71" s="109"/>
      <c r="K71" s="110"/>
      <c r="L71" s="110"/>
      <c r="M71" s="110"/>
      <c r="N71" s="110"/>
      <c r="O71" s="110"/>
      <c r="P71" s="110"/>
      <c r="Q71" s="111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41.0</v>
      </c>
      <c r="B72" s="108" t="s">
        <v>272</v>
      </c>
      <c r="C72" s="108" t="s">
        <v>273</v>
      </c>
      <c r="D72" s="108" t="s">
        <v>274</v>
      </c>
      <c r="E72" s="98"/>
      <c r="F72" s="98" t="s">
        <v>25</v>
      </c>
      <c r="G72" s="98" t="s">
        <v>25</v>
      </c>
      <c r="H72" s="98"/>
      <c r="I72" s="98" t="s">
        <v>25</v>
      </c>
      <c r="J72" s="109"/>
      <c r="K72" s="110"/>
      <c r="L72" s="110"/>
      <c r="M72" s="110"/>
      <c r="N72" s="110"/>
      <c r="O72" s="110"/>
      <c r="P72" s="110"/>
      <c r="Q72" s="111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3">
        <v>42.0</v>
      </c>
      <c r="B73" s="108" t="s">
        <v>275</v>
      </c>
      <c r="C73" s="108" t="s">
        <v>276</v>
      </c>
      <c r="D73" s="108" t="s">
        <v>277</v>
      </c>
      <c r="E73" s="98"/>
      <c r="F73" s="98" t="s">
        <v>25</v>
      </c>
      <c r="G73" s="98"/>
      <c r="H73" s="98" t="s">
        <v>25</v>
      </c>
      <c r="I73" s="98" t="s">
        <v>25</v>
      </c>
      <c r="J73" s="109"/>
      <c r="K73" s="110"/>
      <c r="L73" s="110"/>
      <c r="M73" s="110"/>
      <c r="N73" s="110"/>
      <c r="O73" s="110"/>
      <c r="P73" s="110"/>
      <c r="Q73" s="111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3">
        <v>43.0</v>
      </c>
      <c r="B74" s="108" t="s">
        <v>278</v>
      </c>
      <c r="C74" s="108" t="s">
        <v>279</v>
      </c>
      <c r="D74" s="108" t="s">
        <v>280</v>
      </c>
      <c r="E74" s="98" t="s">
        <v>25</v>
      </c>
      <c r="F74" s="98" t="s">
        <v>25</v>
      </c>
      <c r="G74" s="98"/>
      <c r="H74" s="98" t="s">
        <v>25</v>
      </c>
      <c r="I74" s="98" t="s">
        <v>25</v>
      </c>
      <c r="J74" s="109"/>
      <c r="K74" s="110"/>
      <c r="L74" s="110"/>
      <c r="M74" s="110"/>
      <c r="N74" s="110"/>
      <c r="O74" s="110"/>
      <c r="P74" s="110"/>
      <c r="Q74" s="111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3">
        <v>44.0</v>
      </c>
      <c r="B75" s="108" t="s">
        <v>281</v>
      </c>
      <c r="C75" s="108" t="s">
        <v>282</v>
      </c>
      <c r="D75" s="108" t="s">
        <v>283</v>
      </c>
      <c r="E75" s="98"/>
      <c r="F75" s="98" t="s">
        <v>25</v>
      </c>
      <c r="G75" s="98" t="s">
        <v>25</v>
      </c>
      <c r="H75" s="98" t="s">
        <v>25</v>
      </c>
      <c r="I75" s="98" t="s">
        <v>25</v>
      </c>
      <c r="J75" s="109"/>
      <c r="K75" s="110"/>
      <c r="L75" s="110"/>
      <c r="M75" s="110"/>
      <c r="N75" s="110"/>
      <c r="O75" s="110"/>
      <c r="P75" s="110"/>
      <c r="Q75" s="111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3">
        <v>45.0</v>
      </c>
      <c r="B76" s="108" t="s">
        <v>284</v>
      </c>
      <c r="C76" s="108" t="s">
        <v>285</v>
      </c>
      <c r="D76" s="108" t="s">
        <v>286</v>
      </c>
      <c r="E76" s="98" t="s">
        <v>25</v>
      </c>
      <c r="F76" s="98" t="s">
        <v>25</v>
      </c>
      <c r="G76" s="98"/>
      <c r="H76" s="98"/>
      <c r="I76" s="98" t="s">
        <v>25</v>
      </c>
      <c r="J76" s="109"/>
      <c r="K76" s="110"/>
      <c r="L76" s="110"/>
      <c r="M76" s="110"/>
      <c r="N76" s="110"/>
      <c r="O76" s="110"/>
      <c r="P76" s="110"/>
      <c r="Q76" s="11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>
        <v>46.0</v>
      </c>
      <c r="B77" s="108" t="s">
        <v>287</v>
      </c>
      <c r="C77" s="108" t="s">
        <v>288</v>
      </c>
      <c r="D77" s="108" t="s">
        <v>289</v>
      </c>
      <c r="E77" s="98"/>
      <c r="F77" s="98" t="s">
        <v>25</v>
      </c>
      <c r="G77" s="98" t="s">
        <v>25</v>
      </c>
      <c r="H77" s="98" t="s">
        <v>25</v>
      </c>
      <c r="I77" s="98" t="s">
        <v>25</v>
      </c>
      <c r="J77" s="109"/>
      <c r="K77" s="110"/>
      <c r="L77" s="110"/>
      <c r="M77" s="110"/>
      <c r="N77" s="110"/>
      <c r="O77" s="110"/>
      <c r="P77" s="110"/>
      <c r="Q77" s="111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3">
        <v>47.0</v>
      </c>
      <c r="B78" s="108" t="s">
        <v>290</v>
      </c>
      <c r="C78" s="108" t="s">
        <v>291</v>
      </c>
      <c r="D78" s="108" t="s">
        <v>292</v>
      </c>
      <c r="E78" s="98" t="s">
        <v>25</v>
      </c>
      <c r="F78" s="98"/>
      <c r="G78" s="98" t="s">
        <v>25</v>
      </c>
      <c r="H78" s="98" t="s">
        <v>25</v>
      </c>
      <c r="I78" s="98"/>
      <c r="J78" s="109"/>
      <c r="K78" s="110"/>
      <c r="L78" s="110"/>
      <c r="M78" s="110"/>
      <c r="N78" s="110"/>
      <c r="O78" s="110"/>
      <c r="P78" s="110"/>
      <c r="Q78" s="111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>
        <v>48.0</v>
      </c>
      <c r="B79" s="108" t="s">
        <v>293</v>
      </c>
      <c r="C79" s="108" t="s">
        <v>294</v>
      </c>
      <c r="D79" s="108" t="s">
        <v>295</v>
      </c>
      <c r="E79" s="98" t="s">
        <v>25</v>
      </c>
      <c r="F79" s="98" t="s">
        <v>25</v>
      </c>
      <c r="G79" s="98"/>
      <c r="H79" s="98" t="s">
        <v>25</v>
      </c>
      <c r="I79" s="98"/>
      <c r="J79" s="109"/>
      <c r="K79" s="110"/>
      <c r="L79" s="110"/>
      <c r="M79" s="110"/>
      <c r="N79" s="110"/>
      <c r="O79" s="110"/>
      <c r="P79" s="110"/>
      <c r="Q79" s="111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49.0</v>
      </c>
      <c r="B80" s="108" t="s">
        <v>296</v>
      </c>
      <c r="C80" s="108" t="s">
        <v>297</v>
      </c>
      <c r="D80" s="108" t="s">
        <v>298</v>
      </c>
      <c r="E80" s="98" t="s">
        <v>25</v>
      </c>
      <c r="F80" s="98"/>
      <c r="G80" s="98" t="s">
        <v>25</v>
      </c>
      <c r="H80" s="98" t="s">
        <v>25</v>
      </c>
      <c r="I80" s="98"/>
      <c r="J80" s="109"/>
      <c r="K80" s="110"/>
      <c r="L80" s="110"/>
      <c r="M80" s="110"/>
      <c r="N80" s="110"/>
      <c r="O80" s="110"/>
      <c r="P80" s="110"/>
      <c r="Q80" s="111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50.0</v>
      </c>
      <c r="B81" s="108" t="s">
        <v>299</v>
      </c>
      <c r="C81" s="108" t="s">
        <v>300</v>
      </c>
      <c r="D81" s="108" t="s">
        <v>301</v>
      </c>
      <c r="E81" s="98" t="s">
        <v>25</v>
      </c>
      <c r="F81" s="98" t="s">
        <v>25</v>
      </c>
      <c r="G81" s="98"/>
      <c r="H81" s="98" t="s">
        <v>25</v>
      </c>
      <c r="I81" s="98" t="s">
        <v>25</v>
      </c>
      <c r="J81" s="109"/>
      <c r="K81" s="110"/>
      <c r="L81" s="110"/>
      <c r="M81" s="110"/>
      <c r="N81" s="110"/>
      <c r="O81" s="110"/>
      <c r="P81" s="110"/>
      <c r="Q81" s="111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51.0</v>
      </c>
      <c r="B82" s="108" t="s">
        <v>302</v>
      </c>
      <c r="C82" s="108" t="s">
        <v>303</v>
      </c>
      <c r="D82" s="108" t="s">
        <v>304</v>
      </c>
      <c r="E82" s="98"/>
      <c r="F82" s="98"/>
      <c r="G82" s="98" t="s">
        <v>25</v>
      </c>
      <c r="H82" s="98" t="s">
        <v>25</v>
      </c>
      <c r="I82" s="98" t="s">
        <v>25</v>
      </c>
      <c r="J82" s="109"/>
      <c r="K82" s="110"/>
      <c r="L82" s="110"/>
      <c r="M82" s="110"/>
      <c r="N82" s="110"/>
      <c r="O82" s="110"/>
      <c r="P82" s="110"/>
      <c r="Q82" s="111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52.0</v>
      </c>
      <c r="B83" s="108" t="s">
        <v>305</v>
      </c>
      <c r="C83" s="108" t="s">
        <v>306</v>
      </c>
      <c r="D83" s="108" t="s">
        <v>307</v>
      </c>
      <c r="E83" s="98" t="s">
        <v>25</v>
      </c>
      <c r="F83" s="98"/>
      <c r="G83" s="98" t="s">
        <v>25</v>
      </c>
      <c r="H83" s="98"/>
      <c r="I83" s="98" t="s">
        <v>25</v>
      </c>
      <c r="J83" s="109"/>
      <c r="K83" s="110"/>
      <c r="L83" s="110"/>
      <c r="M83" s="110"/>
      <c r="N83" s="110"/>
      <c r="O83" s="110"/>
      <c r="P83" s="110"/>
      <c r="Q83" s="111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53.0</v>
      </c>
      <c r="B84" s="108" t="s">
        <v>308</v>
      </c>
      <c r="C84" s="108" t="s">
        <v>309</v>
      </c>
      <c r="D84" s="108" t="s">
        <v>310</v>
      </c>
      <c r="E84" s="98" t="s">
        <v>25</v>
      </c>
      <c r="F84" s="98"/>
      <c r="G84" s="98"/>
      <c r="H84" s="98" t="s">
        <v>25</v>
      </c>
      <c r="I84" s="98" t="s">
        <v>25</v>
      </c>
      <c r="J84" s="109"/>
      <c r="K84" s="110"/>
      <c r="L84" s="110"/>
      <c r="M84" s="110"/>
      <c r="N84" s="110"/>
      <c r="O84" s="110"/>
      <c r="P84" s="110"/>
      <c r="Q84" s="111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54.0</v>
      </c>
      <c r="B85" s="108" t="s">
        <v>311</v>
      </c>
      <c r="C85" s="108" t="s">
        <v>312</v>
      </c>
      <c r="D85" s="108" t="s">
        <v>313</v>
      </c>
      <c r="E85" s="98" t="s">
        <v>25</v>
      </c>
      <c r="F85" s="98"/>
      <c r="G85" s="98" t="s">
        <v>25</v>
      </c>
      <c r="H85" s="98" t="s">
        <v>25</v>
      </c>
      <c r="I85" s="98" t="s">
        <v>25</v>
      </c>
      <c r="J85" s="109"/>
      <c r="K85" s="110"/>
      <c r="L85" s="110"/>
      <c r="M85" s="110"/>
      <c r="N85" s="110"/>
      <c r="O85" s="110"/>
      <c r="P85" s="110"/>
      <c r="Q85" s="111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55.0</v>
      </c>
      <c r="B86" s="108" t="s">
        <v>314</v>
      </c>
      <c r="C86" s="108" t="s">
        <v>315</v>
      </c>
      <c r="D86" s="108" t="s">
        <v>316</v>
      </c>
      <c r="E86" s="98" t="s">
        <v>25</v>
      </c>
      <c r="F86" s="98"/>
      <c r="G86" s="98" t="s">
        <v>25</v>
      </c>
      <c r="H86" s="98" t="s">
        <v>25</v>
      </c>
      <c r="I86" s="98" t="s">
        <v>25</v>
      </c>
      <c r="J86" s="109"/>
      <c r="K86" s="110"/>
      <c r="L86" s="110"/>
      <c r="M86" s="110"/>
      <c r="N86" s="110"/>
      <c r="O86" s="110"/>
      <c r="P86" s="110"/>
      <c r="Q86" s="111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56.0</v>
      </c>
      <c r="B87" s="108" t="s">
        <v>317</v>
      </c>
      <c r="C87" s="108" t="s">
        <v>318</v>
      </c>
      <c r="D87" s="108" t="s">
        <v>319</v>
      </c>
      <c r="E87" s="98"/>
      <c r="F87" s="98"/>
      <c r="G87" s="98"/>
      <c r="H87" s="98" t="s">
        <v>25</v>
      </c>
      <c r="I87" s="98" t="s">
        <v>25</v>
      </c>
      <c r="J87" s="109"/>
      <c r="K87" s="110"/>
      <c r="L87" s="110"/>
      <c r="M87" s="110"/>
      <c r="N87" s="110"/>
      <c r="O87" s="110"/>
      <c r="P87" s="110"/>
      <c r="Q87" s="111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3">
        <v>57.0</v>
      </c>
      <c r="B88" s="108" t="s">
        <v>320</v>
      </c>
      <c r="C88" s="108" t="s">
        <v>321</v>
      </c>
      <c r="D88" s="108" t="s">
        <v>322</v>
      </c>
      <c r="E88" s="98" t="s">
        <v>25</v>
      </c>
      <c r="F88" s="98" t="s">
        <v>25</v>
      </c>
      <c r="G88" s="98" t="s">
        <v>25</v>
      </c>
      <c r="H88" s="98"/>
      <c r="I88" s="98" t="s">
        <v>25</v>
      </c>
      <c r="J88" s="109"/>
      <c r="K88" s="110"/>
      <c r="L88" s="110"/>
      <c r="M88" s="110"/>
      <c r="N88" s="110"/>
      <c r="O88" s="110"/>
      <c r="P88" s="110"/>
      <c r="Q88" s="111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3">
        <v>58.0</v>
      </c>
      <c r="B89" s="108" t="s">
        <v>323</v>
      </c>
      <c r="C89" s="108" t="s">
        <v>324</v>
      </c>
      <c r="D89" s="108" t="s">
        <v>325</v>
      </c>
      <c r="E89" s="98" t="s">
        <v>25</v>
      </c>
      <c r="F89" s="98" t="s">
        <v>25</v>
      </c>
      <c r="G89" s="98"/>
      <c r="H89" s="98" t="s">
        <v>25</v>
      </c>
      <c r="I89" s="98" t="s">
        <v>25</v>
      </c>
      <c r="J89" s="109"/>
      <c r="K89" s="110"/>
      <c r="L89" s="110"/>
      <c r="M89" s="110"/>
      <c r="N89" s="110"/>
      <c r="O89" s="110"/>
      <c r="P89" s="110"/>
      <c r="Q89" s="111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3">
        <v>59.0</v>
      </c>
      <c r="B90" s="108" t="s">
        <v>326</v>
      </c>
      <c r="C90" s="108" t="s">
        <v>327</v>
      </c>
      <c r="D90" s="108" t="s">
        <v>328</v>
      </c>
      <c r="E90" s="98" t="s">
        <v>25</v>
      </c>
      <c r="F90" s="98" t="s">
        <v>25</v>
      </c>
      <c r="G90" s="98" t="s">
        <v>25</v>
      </c>
      <c r="H90" s="98" t="s">
        <v>25</v>
      </c>
      <c r="I90" s="98"/>
      <c r="J90" s="109"/>
      <c r="K90" s="110"/>
      <c r="L90" s="110"/>
      <c r="M90" s="110"/>
      <c r="N90" s="110"/>
      <c r="O90" s="110"/>
      <c r="P90" s="110"/>
      <c r="Q90" s="111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3">
        <v>60.0</v>
      </c>
      <c r="B91" s="108" t="s">
        <v>329</v>
      </c>
      <c r="C91" s="108" t="s">
        <v>330</v>
      </c>
      <c r="D91" s="108" t="s">
        <v>331</v>
      </c>
      <c r="E91" s="98"/>
      <c r="F91" s="98"/>
      <c r="G91" s="98"/>
      <c r="H91" s="98" t="s">
        <v>25</v>
      </c>
      <c r="I91" s="98" t="s">
        <v>25</v>
      </c>
      <c r="J91" s="109"/>
      <c r="K91" s="110"/>
      <c r="L91" s="110"/>
      <c r="M91" s="110"/>
      <c r="N91" s="110"/>
      <c r="O91" s="110"/>
      <c r="P91" s="110"/>
      <c r="Q91" s="111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3">
        <v>61.0</v>
      </c>
      <c r="B92" s="108" t="s">
        <v>332</v>
      </c>
      <c r="C92" s="108" t="s">
        <v>333</v>
      </c>
      <c r="D92" s="108" t="s">
        <v>334</v>
      </c>
      <c r="E92" s="98" t="s">
        <v>25</v>
      </c>
      <c r="F92" s="98" t="s">
        <v>25</v>
      </c>
      <c r="G92" s="98" t="s">
        <v>25</v>
      </c>
      <c r="H92" s="98"/>
      <c r="I92" s="98" t="s">
        <v>25</v>
      </c>
      <c r="J92" s="109"/>
      <c r="K92" s="110"/>
      <c r="L92" s="110"/>
      <c r="M92" s="110"/>
      <c r="N92" s="110"/>
      <c r="O92" s="110"/>
      <c r="P92" s="110"/>
      <c r="Q92" s="111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3">
        <v>62.0</v>
      </c>
      <c r="B93" s="108" t="s">
        <v>335</v>
      </c>
      <c r="C93" s="108" t="s">
        <v>336</v>
      </c>
      <c r="D93" s="108" t="s">
        <v>337</v>
      </c>
      <c r="E93" s="98" t="s">
        <v>25</v>
      </c>
      <c r="F93" s="98" t="s">
        <v>25</v>
      </c>
      <c r="G93" s="98"/>
      <c r="H93" s="98" t="s">
        <v>25</v>
      </c>
      <c r="I93" s="98" t="s">
        <v>25</v>
      </c>
      <c r="J93" s="109"/>
      <c r="K93" s="110"/>
      <c r="L93" s="110"/>
      <c r="M93" s="110"/>
      <c r="N93" s="110"/>
      <c r="O93" s="110"/>
      <c r="P93" s="110"/>
      <c r="Q93" s="111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3">
        <v>63.0</v>
      </c>
      <c r="B94" s="108" t="s">
        <v>338</v>
      </c>
      <c r="C94" s="108" t="s">
        <v>339</v>
      </c>
      <c r="D94" s="108" t="s">
        <v>340</v>
      </c>
      <c r="E94" s="98" t="s">
        <v>25</v>
      </c>
      <c r="F94" s="98"/>
      <c r="G94" s="98" t="s">
        <v>25</v>
      </c>
      <c r="H94" s="98" t="s">
        <v>25</v>
      </c>
      <c r="I94" s="98"/>
      <c r="J94" s="109"/>
      <c r="K94" s="110"/>
      <c r="L94" s="110"/>
      <c r="M94" s="110"/>
      <c r="N94" s="110"/>
      <c r="O94" s="110"/>
      <c r="P94" s="110"/>
      <c r="Q94" s="111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3">
        <v>64.0</v>
      </c>
      <c r="B95" s="108" t="s">
        <v>341</v>
      </c>
      <c r="C95" s="108" t="s">
        <v>342</v>
      </c>
      <c r="D95" s="108" t="s">
        <v>343</v>
      </c>
      <c r="E95" s="98"/>
      <c r="F95" s="98" t="s">
        <v>25</v>
      </c>
      <c r="G95" s="98"/>
      <c r="H95" s="98" t="s">
        <v>25</v>
      </c>
      <c r="I95" s="98"/>
      <c r="J95" s="109"/>
      <c r="K95" s="110"/>
      <c r="L95" s="110"/>
      <c r="M95" s="110"/>
      <c r="N95" s="110"/>
      <c r="O95" s="110"/>
      <c r="P95" s="110"/>
      <c r="Q95" s="111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3">
        <v>65.0</v>
      </c>
      <c r="B96" s="108" t="s">
        <v>344</v>
      </c>
      <c r="C96" s="108" t="s">
        <v>345</v>
      </c>
      <c r="D96" s="108" t="s">
        <v>346</v>
      </c>
      <c r="E96" s="98" t="s">
        <v>25</v>
      </c>
      <c r="F96" s="98" t="s">
        <v>25</v>
      </c>
      <c r="G96" s="98" t="s">
        <v>25</v>
      </c>
      <c r="H96" s="98" t="s">
        <v>25</v>
      </c>
      <c r="I96" s="98" t="s">
        <v>25</v>
      </c>
      <c r="J96" s="109"/>
      <c r="K96" s="110"/>
      <c r="L96" s="110"/>
      <c r="M96" s="110"/>
      <c r="N96" s="110"/>
      <c r="O96" s="110"/>
      <c r="P96" s="110"/>
      <c r="Q96" s="111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3">
        <v>66.0</v>
      </c>
      <c r="B97" s="108" t="s">
        <v>347</v>
      </c>
      <c r="C97" s="108" t="s">
        <v>348</v>
      </c>
      <c r="D97" s="108" t="s">
        <v>349</v>
      </c>
      <c r="E97" s="98" t="s">
        <v>25</v>
      </c>
      <c r="F97" s="98"/>
      <c r="G97" s="98"/>
      <c r="H97" s="98" t="s">
        <v>25</v>
      </c>
      <c r="I97" s="98" t="s">
        <v>25</v>
      </c>
      <c r="J97" s="109"/>
      <c r="K97" s="110"/>
      <c r="L97" s="110"/>
      <c r="M97" s="110"/>
      <c r="N97" s="110"/>
      <c r="O97" s="110"/>
      <c r="P97" s="110"/>
      <c r="Q97" s="111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3">
        <v>67.0</v>
      </c>
      <c r="B98" s="108" t="s">
        <v>350</v>
      </c>
      <c r="C98" s="108" t="s">
        <v>351</v>
      </c>
      <c r="D98" s="108" t="s">
        <v>352</v>
      </c>
      <c r="E98" s="98"/>
      <c r="F98" s="98" t="s">
        <v>25</v>
      </c>
      <c r="G98" s="98" t="s">
        <v>25</v>
      </c>
      <c r="H98" s="98" t="s">
        <v>25</v>
      </c>
      <c r="I98" s="98" t="s">
        <v>25</v>
      </c>
      <c r="J98" s="109"/>
      <c r="K98" s="110"/>
      <c r="L98" s="110"/>
      <c r="M98" s="110"/>
      <c r="N98" s="110"/>
      <c r="O98" s="110"/>
      <c r="P98" s="110"/>
      <c r="Q98" s="111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3">
        <v>68.0</v>
      </c>
      <c r="B99" s="108" t="s">
        <v>353</v>
      </c>
      <c r="C99" s="108" t="s">
        <v>354</v>
      </c>
      <c r="D99" s="108" t="s">
        <v>355</v>
      </c>
      <c r="E99" s="98" t="s">
        <v>25</v>
      </c>
      <c r="F99" s="98" t="s">
        <v>25</v>
      </c>
      <c r="G99" s="98" t="s">
        <v>25</v>
      </c>
      <c r="H99" s="98" t="s">
        <v>25</v>
      </c>
      <c r="I99" s="98" t="s">
        <v>25</v>
      </c>
      <c r="J99" s="109"/>
      <c r="K99" s="110"/>
      <c r="L99" s="110"/>
      <c r="M99" s="110"/>
      <c r="N99" s="110"/>
      <c r="O99" s="110"/>
      <c r="P99" s="110"/>
      <c r="Q99" s="111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3">
        <v>69.0</v>
      </c>
      <c r="B100" s="108" t="s">
        <v>356</v>
      </c>
      <c r="C100" s="108" t="s">
        <v>357</v>
      </c>
      <c r="D100" s="108" t="s">
        <v>358</v>
      </c>
      <c r="E100" s="98" t="s">
        <v>25</v>
      </c>
      <c r="F100" s="98" t="s">
        <v>25</v>
      </c>
      <c r="G100" s="98" t="s">
        <v>25</v>
      </c>
      <c r="H100" s="98"/>
      <c r="I100" s="98" t="s">
        <v>25</v>
      </c>
      <c r="J100" s="109"/>
      <c r="K100" s="110"/>
      <c r="L100" s="110"/>
      <c r="M100" s="110"/>
      <c r="N100" s="110"/>
      <c r="O100" s="110"/>
      <c r="P100" s="110"/>
      <c r="Q100" s="111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3">
        <v>70.0</v>
      </c>
      <c r="B101" s="108" t="s">
        <v>359</v>
      </c>
      <c r="C101" s="108" t="s">
        <v>360</v>
      </c>
      <c r="D101" s="108" t="s">
        <v>361</v>
      </c>
      <c r="E101" s="98"/>
      <c r="F101" s="98" t="s">
        <v>25</v>
      </c>
      <c r="G101" s="98" t="s">
        <v>25</v>
      </c>
      <c r="H101" s="98" t="s">
        <v>25</v>
      </c>
      <c r="I101" s="98" t="s">
        <v>25</v>
      </c>
      <c r="J101" s="109"/>
      <c r="K101" s="110"/>
      <c r="L101" s="110"/>
      <c r="M101" s="110"/>
      <c r="N101" s="110"/>
      <c r="O101" s="110"/>
      <c r="P101" s="110"/>
      <c r="Q101" s="111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3">
        <v>71.0</v>
      </c>
      <c r="B102" s="108" t="s">
        <v>362</v>
      </c>
      <c r="C102" s="108" t="s">
        <v>363</v>
      </c>
      <c r="D102" s="108" t="s">
        <v>364</v>
      </c>
      <c r="E102" s="98" t="s">
        <v>25</v>
      </c>
      <c r="F102" s="98" t="s">
        <v>25</v>
      </c>
      <c r="G102" s="98" t="s">
        <v>25</v>
      </c>
      <c r="H102" s="98" t="s">
        <v>25</v>
      </c>
      <c r="I102" s="98" t="s">
        <v>25</v>
      </c>
      <c r="J102" s="109"/>
      <c r="K102" s="110"/>
      <c r="L102" s="110"/>
      <c r="M102" s="110"/>
      <c r="N102" s="110"/>
      <c r="O102" s="110"/>
      <c r="P102" s="110"/>
      <c r="Q102" s="111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3">
        <v>72.0</v>
      </c>
      <c r="B103" s="108" t="s">
        <v>365</v>
      </c>
      <c r="C103" s="108"/>
      <c r="D103" s="108" t="s">
        <v>366</v>
      </c>
      <c r="E103" s="98" t="s">
        <v>25</v>
      </c>
      <c r="F103" s="98" t="s">
        <v>25</v>
      </c>
      <c r="G103" s="98" t="s">
        <v>25</v>
      </c>
      <c r="H103" s="98" t="s">
        <v>25</v>
      </c>
      <c r="I103" s="98" t="s">
        <v>25</v>
      </c>
      <c r="J103" s="109"/>
      <c r="K103" s="110"/>
      <c r="L103" s="110"/>
      <c r="M103" s="110"/>
      <c r="N103" s="110"/>
      <c r="O103" s="110"/>
      <c r="P103" s="110"/>
      <c r="Q103" s="111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3">
        <v>73.0</v>
      </c>
      <c r="B104" s="108" t="s">
        <v>367</v>
      </c>
      <c r="C104" s="108"/>
      <c r="D104" s="108" t="s">
        <v>368</v>
      </c>
      <c r="E104" s="98" t="s">
        <v>25</v>
      </c>
      <c r="F104" s="98" t="s">
        <v>25</v>
      </c>
      <c r="G104" s="98" t="s">
        <v>25</v>
      </c>
      <c r="H104" s="98" t="s">
        <v>25</v>
      </c>
      <c r="I104" s="98"/>
      <c r="J104" s="109"/>
      <c r="K104" s="110"/>
      <c r="L104" s="110"/>
      <c r="M104" s="110"/>
      <c r="N104" s="110"/>
      <c r="O104" s="110"/>
      <c r="P104" s="110"/>
      <c r="Q104" s="111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3">
        <v>74.0</v>
      </c>
      <c r="B105" s="108" t="s">
        <v>369</v>
      </c>
      <c r="C105" s="108"/>
      <c r="D105" s="108" t="s">
        <v>370</v>
      </c>
      <c r="E105" s="98"/>
      <c r="F105" s="98"/>
      <c r="G105" s="98" t="s">
        <v>25</v>
      </c>
      <c r="H105" s="98" t="s">
        <v>25</v>
      </c>
      <c r="I105" s="98" t="s">
        <v>25</v>
      </c>
      <c r="J105" s="109"/>
      <c r="K105" s="110"/>
      <c r="L105" s="110"/>
      <c r="M105" s="110"/>
      <c r="N105" s="110"/>
      <c r="O105" s="110"/>
      <c r="P105" s="110"/>
      <c r="Q105" s="111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3">
        <v>75.0</v>
      </c>
      <c r="B106" s="108" t="s">
        <v>371</v>
      </c>
      <c r="C106" s="108"/>
      <c r="D106" s="108" t="s">
        <v>372</v>
      </c>
      <c r="E106" s="98" t="s">
        <v>25</v>
      </c>
      <c r="F106" s="98"/>
      <c r="G106" s="98" t="s">
        <v>25</v>
      </c>
      <c r="H106" s="98" t="s">
        <v>25</v>
      </c>
      <c r="I106" s="98" t="s">
        <v>25</v>
      </c>
      <c r="J106" s="109"/>
      <c r="K106" s="110"/>
      <c r="L106" s="110"/>
      <c r="M106" s="110"/>
      <c r="N106" s="110"/>
      <c r="O106" s="110"/>
      <c r="P106" s="110"/>
      <c r="Q106" s="111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3">
        <v>76.0</v>
      </c>
      <c r="B107" s="108" t="s">
        <v>373</v>
      </c>
      <c r="C107" s="108"/>
      <c r="D107" s="108" t="s">
        <v>374</v>
      </c>
      <c r="E107" s="98" t="s">
        <v>25</v>
      </c>
      <c r="F107" s="98"/>
      <c r="G107" s="98" t="s">
        <v>25</v>
      </c>
      <c r="H107" s="98" t="s">
        <v>25</v>
      </c>
      <c r="I107" s="98" t="s">
        <v>25</v>
      </c>
      <c r="J107" s="109"/>
      <c r="K107" s="110"/>
      <c r="L107" s="110"/>
      <c r="M107" s="110"/>
      <c r="N107" s="110"/>
      <c r="O107" s="110"/>
      <c r="P107" s="110"/>
      <c r="Q107" s="111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3">
        <v>77.0</v>
      </c>
      <c r="B108" s="108" t="s">
        <v>375</v>
      </c>
      <c r="C108" s="108"/>
      <c r="D108" s="108" t="s">
        <v>376</v>
      </c>
      <c r="E108" s="98"/>
      <c r="F108" s="98"/>
      <c r="G108" s="98" t="s">
        <v>25</v>
      </c>
      <c r="H108" s="98" t="s">
        <v>25</v>
      </c>
      <c r="I108" s="98" t="s">
        <v>25</v>
      </c>
      <c r="J108" s="109"/>
      <c r="K108" s="110"/>
      <c r="L108" s="110"/>
      <c r="M108" s="110"/>
      <c r="N108" s="110"/>
      <c r="O108" s="110"/>
      <c r="P108" s="110"/>
      <c r="Q108" s="111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3">
        <v>78.0</v>
      </c>
      <c r="B109" s="108" t="s">
        <v>377</v>
      </c>
      <c r="C109" s="108" t="s">
        <v>378</v>
      </c>
      <c r="D109" s="108" t="s">
        <v>379</v>
      </c>
      <c r="E109" s="98" t="s">
        <v>25</v>
      </c>
      <c r="F109" s="98" t="s">
        <v>25</v>
      </c>
      <c r="G109" s="98" t="s">
        <v>25</v>
      </c>
      <c r="H109" s="98" t="s">
        <v>25</v>
      </c>
      <c r="I109" s="98" t="s">
        <v>25</v>
      </c>
      <c r="J109" s="109"/>
      <c r="K109" s="110"/>
      <c r="L109" s="110"/>
      <c r="M109" s="110"/>
      <c r="N109" s="110"/>
      <c r="O109" s="110"/>
      <c r="P109" s="110"/>
      <c r="Q109" s="111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3">
        <v>79.0</v>
      </c>
      <c r="B110" s="108" t="s">
        <v>380</v>
      </c>
      <c r="C110" s="108" t="s">
        <v>381</v>
      </c>
      <c r="D110" s="108" t="s">
        <v>382</v>
      </c>
      <c r="E110" s="98" t="s">
        <v>25</v>
      </c>
      <c r="F110" s="98" t="s">
        <v>25</v>
      </c>
      <c r="G110" s="98" t="s">
        <v>25</v>
      </c>
      <c r="H110" s="98" t="s">
        <v>25</v>
      </c>
      <c r="I110" s="98" t="s">
        <v>25</v>
      </c>
      <c r="J110" s="109"/>
      <c r="K110" s="110"/>
      <c r="L110" s="110"/>
      <c r="M110" s="110"/>
      <c r="N110" s="110"/>
      <c r="O110" s="110"/>
      <c r="P110" s="110"/>
      <c r="Q110" s="111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3">
        <v>80.0</v>
      </c>
      <c r="B111" s="108" t="s">
        <v>383</v>
      </c>
      <c r="C111" s="108" t="s">
        <v>384</v>
      </c>
      <c r="D111" s="108" t="s">
        <v>385</v>
      </c>
      <c r="E111" s="98" t="s">
        <v>25</v>
      </c>
      <c r="F111" s="98" t="s">
        <v>25</v>
      </c>
      <c r="G111" s="98" t="s">
        <v>25</v>
      </c>
      <c r="H111" s="98" t="s">
        <v>25</v>
      </c>
      <c r="I111" s="98"/>
      <c r="J111" s="109"/>
      <c r="K111" s="110"/>
      <c r="L111" s="110"/>
      <c r="M111" s="110"/>
      <c r="N111" s="110"/>
      <c r="O111" s="110"/>
      <c r="P111" s="110"/>
      <c r="Q111" s="111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3">
        <v>81.0</v>
      </c>
      <c r="B112" s="108" t="s">
        <v>386</v>
      </c>
      <c r="C112" s="108" t="s">
        <v>387</v>
      </c>
      <c r="D112" s="108" t="s">
        <v>388</v>
      </c>
      <c r="E112" s="98"/>
      <c r="F112" s="98" t="s">
        <v>25</v>
      </c>
      <c r="G112" s="98" t="s">
        <v>25</v>
      </c>
      <c r="H112" s="98" t="s">
        <v>25</v>
      </c>
      <c r="I112" s="98" t="s">
        <v>25</v>
      </c>
      <c r="J112" s="109"/>
      <c r="K112" s="110"/>
      <c r="L112" s="110"/>
      <c r="M112" s="110"/>
      <c r="N112" s="110"/>
      <c r="O112" s="110"/>
      <c r="P112" s="110"/>
      <c r="Q112" s="111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3">
        <v>82.0</v>
      </c>
      <c r="B113" s="108" t="s">
        <v>389</v>
      </c>
      <c r="C113" s="108"/>
      <c r="D113" s="108" t="s">
        <v>390</v>
      </c>
      <c r="E113" s="98" t="s">
        <v>25</v>
      </c>
      <c r="F113" s="98" t="s">
        <v>25</v>
      </c>
      <c r="G113" s="98" t="s">
        <v>25</v>
      </c>
      <c r="H113" s="98" t="s">
        <v>25</v>
      </c>
      <c r="I113" s="98" t="s">
        <v>25</v>
      </c>
      <c r="J113" s="109"/>
      <c r="K113" s="110"/>
      <c r="L113" s="110"/>
      <c r="M113" s="110"/>
      <c r="N113" s="110"/>
      <c r="O113" s="110"/>
      <c r="P113" s="110"/>
      <c r="Q113" s="111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3">
        <v>83.0</v>
      </c>
      <c r="B114" s="108" t="s">
        <v>391</v>
      </c>
      <c r="C114" s="108" t="s">
        <v>392</v>
      </c>
      <c r="D114" s="108" t="s">
        <v>393</v>
      </c>
      <c r="E114" s="98" t="s">
        <v>25</v>
      </c>
      <c r="F114" s="98" t="s">
        <v>25</v>
      </c>
      <c r="G114" s="98" t="s">
        <v>25</v>
      </c>
      <c r="H114" s="98" t="s">
        <v>25</v>
      </c>
      <c r="I114" s="98" t="s">
        <v>25</v>
      </c>
      <c r="J114" s="109"/>
      <c r="K114" s="110"/>
      <c r="L114" s="110"/>
      <c r="M114" s="110"/>
      <c r="N114" s="110"/>
      <c r="O114" s="110"/>
      <c r="P114" s="110"/>
      <c r="Q114" s="111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3">
        <v>84.0</v>
      </c>
      <c r="B115" s="108" t="s">
        <v>394</v>
      </c>
      <c r="C115" s="108"/>
      <c r="D115" s="108" t="s">
        <v>395</v>
      </c>
      <c r="E115" s="98"/>
      <c r="F115" s="98" t="s">
        <v>25</v>
      </c>
      <c r="G115" s="98" t="s">
        <v>25</v>
      </c>
      <c r="H115" s="98" t="s">
        <v>25</v>
      </c>
      <c r="I115" s="98" t="s">
        <v>25</v>
      </c>
      <c r="J115" s="109"/>
      <c r="K115" s="110"/>
      <c r="L115" s="110"/>
      <c r="M115" s="110"/>
      <c r="N115" s="110"/>
      <c r="O115" s="110"/>
      <c r="P115" s="110"/>
      <c r="Q115" s="111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3">
        <v>85.0</v>
      </c>
      <c r="B116" s="108" t="s">
        <v>396</v>
      </c>
      <c r="C116" s="108" t="s">
        <v>397</v>
      </c>
      <c r="D116" s="108" t="s">
        <v>398</v>
      </c>
      <c r="E116" s="98"/>
      <c r="F116" s="98"/>
      <c r="G116" s="98" t="s">
        <v>25</v>
      </c>
      <c r="H116" s="98" t="s">
        <v>25</v>
      </c>
      <c r="I116" s="98" t="s">
        <v>25</v>
      </c>
      <c r="J116" s="109"/>
      <c r="K116" s="110"/>
      <c r="L116" s="110"/>
      <c r="M116" s="110"/>
      <c r="N116" s="110"/>
      <c r="O116" s="110"/>
      <c r="P116" s="110"/>
      <c r="Q116" s="111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3">
        <v>86.0</v>
      </c>
      <c r="B117" s="108" t="s">
        <v>399</v>
      </c>
      <c r="C117" s="108" t="s">
        <v>400</v>
      </c>
      <c r="D117" s="108" t="s">
        <v>401</v>
      </c>
      <c r="E117" s="98"/>
      <c r="F117" s="98" t="s">
        <v>25</v>
      </c>
      <c r="G117" s="98" t="s">
        <v>25</v>
      </c>
      <c r="H117" s="98" t="s">
        <v>25</v>
      </c>
      <c r="I117" s="98" t="s">
        <v>25</v>
      </c>
      <c r="J117" s="109"/>
      <c r="K117" s="110"/>
      <c r="L117" s="110"/>
      <c r="M117" s="110"/>
      <c r="N117" s="110"/>
      <c r="O117" s="110"/>
      <c r="P117" s="110"/>
      <c r="Q117" s="111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3">
        <v>87.0</v>
      </c>
      <c r="B118" s="108" t="s">
        <v>402</v>
      </c>
      <c r="C118" s="108" t="s">
        <v>403</v>
      </c>
      <c r="D118" s="108" t="s">
        <v>404</v>
      </c>
      <c r="E118" s="98" t="s">
        <v>25</v>
      </c>
      <c r="F118" s="98" t="s">
        <v>25</v>
      </c>
      <c r="G118" s="98" t="s">
        <v>25</v>
      </c>
      <c r="H118" s="98" t="s">
        <v>25</v>
      </c>
      <c r="I118" s="98" t="s">
        <v>25</v>
      </c>
      <c r="J118" s="109"/>
      <c r="K118" s="110"/>
      <c r="L118" s="110"/>
      <c r="M118" s="110"/>
      <c r="N118" s="110"/>
      <c r="O118" s="110"/>
      <c r="P118" s="110"/>
      <c r="Q118" s="111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3">
        <v>88.0</v>
      </c>
      <c r="B119" s="108" t="s">
        <v>405</v>
      </c>
      <c r="C119" s="108" t="s">
        <v>406</v>
      </c>
      <c r="D119" s="108" t="s">
        <v>407</v>
      </c>
      <c r="E119" s="98" t="s">
        <v>25</v>
      </c>
      <c r="F119" s="98" t="s">
        <v>25</v>
      </c>
      <c r="G119" s="98" t="s">
        <v>25</v>
      </c>
      <c r="H119" s="98" t="s">
        <v>25</v>
      </c>
      <c r="I119" s="98" t="s">
        <v>25</v>
      </c>
      <c r="J119" s="109"/>
      <c r="K119" s="110"/>
      <c r="L119" s="110"/>
      <c r="M119" s="110"/>
      <c r="N119" s="110"/>
      <c r="O119" s="110"/>
      <c r="P119" s="110"/>
      <c r="Q119" s="111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3">
        <v>89.0</v>
      </c>
      <c r="B120" s="108" t="s">
        <v>408</v>
      </c>
      <c r="C120" s="108" t="s">
        <v>409</v>
      </c>
      <c r="D120" s="108" t="s">
        <v>410</v>
      </c>
      <c r="E120" s="98" t="s">
        <v>25</v>
      </c>
      <c r="F120" s="98" t="s">
        <v>25</v>
      </c>
      <c r="G120" s="98" t="s">
        <v>25</v>
      </c>
      <c r="H120" s="98" t="s">
        <v>25</v>
      </c>
      <c r="I120" s="98" t="s">
        <v>25</v>
      </c>
      <c r="J120" s="109"/>
      <c r="K120" s="110"/>
      <c r="L120" s="110"/>
      <c r="M120" s="110"/>
      <c r="N120" s="110"/>
      <c r="O120" s="110"/>
      <c r="P120" s="110"/>
      <c r="Q120" s="111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3">
        <v>90.0</v>
      </c>
      <c r="B121" s="108" t="s">
        <v>411</v>
      </c>
      <c r="C121" s="108" t="s">
        <v>412</v>
      </c>
      <c r="D121" s="108" t="s">
        <v>413</v>
      </c>
      <c r="E121" s="98" t="s">
        <v>25</v>
      </c>
      <c r="F121" s="98"/>
      <c r="G121" s="98" t="s">
        <v>25</v>
      </c>
      <c r="H121" s="98" t="s">
        <v>25</v>
      </c>
      <c r="I121" s="98" t="s">
        <v>25</v>
      </c>
      <c r="J121" s="109"/>
      <c r="K121" s="110"/>
      <c r="L121" s="110"/>
      <c r="M121" s="110"/>
      <c r="N121" s="110"/>
      <c r="O121" s="110"/>
      <c r="P121" s="110"/>
      <c r="Q121" s="111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3">
        <v>91.0</v>
      </c>
      <c r="B122" s="108" t="s">
        <v>414</v>
      </c>
      <c r="C122" s="108" t="s">
        <v>415</v>
      </c>
      <c r="D122" s="108" t="s">
        <v>416</v>
      </c>
      <c r="E122" s="98" t="s">
        <v>25</v>
      </c>
      <c r="F122" s="98" t="s">
        <v>25</v>
      </c>
      <c r="G122" s="98" t="s">
        <v>25</v>
      </c>
      <c r="H122" s="98" t="s">
        <v>25</v>
      </c>
      <c r="I122" s="98" t="s">
        <v>25</v>
      </c>
      <c r="J122" s="109"/>
      <c r="K122" s="110"/>
      <c r="L122" s="110"/>
      <c r="M122" s="110"/>
      <c r="N122" s="110"/>
      <c r="O122" s="110"/>
      <c r="P122" s="110"/>
      <c r="Q122" s="111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3">
        <v>92.0</v>
      </c>
      <c r="B123" s="108" t="s">
        <v>417</v>
      </c>
      <c r="C123" s="108" t="s">
        <v>418</v>
      </c>
      <c r="D123" s="108" t="s">
        <v>419</v>
      </c>
      <c r="E123" s="98" t="s">
        <v>25</v>
      </c>
      <c r="F123" s="98" t="s">
        <v>25</v>
      </c>
      <c r="G123" s="98" t="s">
        <v>25</v>
      </c>
      <c r="H123" s="98" t="s">
        <v>25</v>
      </c>
      <c r="I123" s="98" t="s">
        <v>25</v>
      </c>
      <c r="J123" s="109"/>
      <c r="K123" s="110"/>
      <c r="L123" s="110"/>
      <c r="M123" s="110"/>
      <c r="N123" s="110"/>
      <c r="O123" s="110"/>
      <c r="P123" s="110"/>
      <c r="Q123" s="111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3">
        <v>93.0</v>
      </c>
      <c r="B124" s="108" t="s">
        <v>420</v>
      </c>
      <c r="C124" s="108" t="s">
        <v>420</v>
      </c>
      <c r="D124" s="108" t="s">
        <v>421</v>
      </c>
      <c r="E124" s="98" t="s">
        <v>25</v>
      </c>
      <c r="F124" s="98"/>
      <c r="G124" s="98" t="s">
        <v>25</v>
      </c>
      <c r="H124" s="98" t="s">
        <v>25</v>
      </c>
      <c r="I124" s="98"/>
      <c r="J124" s="109"/>
      <c r="K124" s="110"/>
      <c r="L124" s="110"/>
      <c r="M124" s="110"/>
      <c r="N124" s="110"/>
      <c r="O124" s="110"/>
      <c r="P124" s="110"/>
      <c r="Q124" s="111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3">
        <v>94.0</v>
      </c>
      <c r="B125" s="108" t="s">
        <v>422</v>
      </c>
      <c r="C125" s="108" t="s">
        <v>423</v>
      </c>
      <c r="D125" s="108" t="s">
        <v>424</v>
      </c>
      <c r="E125" s="98" t="s">
        <v>25</v>
      </c>
      <c r="F125" s="98"/>
      <c r="G125" s="98" t="s">
        <v>25</v>
      </c>
      <c r="H125" s="98" t="s">
        <v>25</v>
      </c>
      <c r="I125" s="98"/>
      <c r="J125" s="109"/>
      <c r="K125" s="110"/>
      <c r="L125" s="110"/>
      <c r="M125" s="110"/>
      <c r="N125" s="110"/>
      <c r="O125" s="110"/>
      <c r="P125" s="110"/>
      <c r="Q125" s="111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3">
        <v>95.0</v>
      </c>
      <c r="B126" s="108" t="s">
        <v>425</v>
      </c>
      <c r="C126" s="108" t="s">
        <v>425</v>
      </c>
      <c r="D126" s="108" t="s">
        <v>426</v>
      </c>
      <c r="E126" s="98" t="s">
        <v>25</v>
      </c>
      <c r="F126" s="98"/>
      <c r="G126" s="98" t="s">
        <v>25</v>
      </c>
      <c r="H126" s="98" t="s">
        <v>25</v>
      </c>
      <c r="I126" s="98" t="s">
        <v>25</v>
      </c>
      <c r="J126" s="109"/>
      <c r="K126" s="110"/>
      <c r="L126" s="110"/>
      <c r="M126" s="110"/>
      <c r="N126" s="110"/>
      <c r="O126" s="110"/>
      <c r="P126" s="110"/>
      <c r="Q126" s="111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3">
        <v>96.0</v>
      </c>
      <c r="B127" s="108" t="s">
        <v>427</v>
      </c>
      <c r="C127" s="108" t="s">
        <v>428</v>
      </c>
      <c r="D127" s="108" t="s">
        <v>429</v>
      </c>
      <c r="E127" s="98" t="s">
        <v>25</v>
      </c>
      <c r="F127" s="98"/>
      <c r="G127" s="98" t="s">
        <v>25</v>
      </c>
      <c r="H127" s="98" t="s">
        <v>25</v>
      </c>
      <c r="I127" s="98"/>
      <c r="J127" s="109"/>
      <c r="K127" s="110"/>
      <c r="L127" s="110"/>
      <c r="M127" s="110"/>
      <c r="N127" s="110"/>
      <c r="O127" s="110"/>
      <c r="P127" s="110"/>
      <c r="Q127" s="111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3">
        <v>97.0</v>
      </c>
      <c r="B128" s="108" t="s">
        <v>430</v>
      </c>
      <c r="C128" s="108" t="s">
        <v>431</v>
      </c>
      <c r="D128" s="108" t="s">
        <v>432</v>
      </c>
      <c r="E128" s="98" t="s">
        <v>25</v>
      </c>
      <c r="F128" s="98" t="s">
        <v>25</v>
      </c>
      <c r="G128" s="98" t="s">
        <v>25</v>
      </c>
      <c r="H128" s="98" t="s">
        <v>25</v>
      </c>
      <c r="I128" s="98" t="s">
        <v>25</v>
      </c>
      <c r="J128" s="109"/>
      <c r="K128" s="110"/>
      <c r="L128" s="110"/>
      <c r="M128" s="110"/>
      <c r="N128" s="110"/>
      <c r="O128" s="110"/>
      <c r="P128" s="110"/>
      <c r="Q128" s="111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3">
        <v>98.0</v>
      </c>
      <c r="B129" s="108" t="s">
        <v>433</v>
      </c>
      <c r="C129" s="108" t="s">
        <v>434</v>
      </c>
      <c r="D129" s="108" t="s">
        <v>435</v>
      </c>
      <c r="E129" s="98" t="s">
        <v>25</v>
      </c>
      <c r="F129" s="98" t="s">
        <v>25</v>
      </c>
      <c r="G129" s="98" t="s">
        <v>25</v>
      </c>
      <c r="H129" s="98" t="s">
        <v>25</v>
      </c>
      <c r="I129" s="98" t="s">
        <v>25</v>
      </c>
      <c r="J129" s="109"/>
      <c r="K129" s="110"/>
      <c r="L129" s="110"/>
      <c r="M129" s="110"/>
      <c r="N129" s="110"/>
      <c r="O129" s="110"/>
      <c r="P129" s="110"/>
      <c r="Q129" s="111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33"/>
      <c r="B130" s="34"/>
      <c r="C130" s="2"/>
      <c r="D130" s="2"/>
      <c r="E130" s="33"/>
      <c r="F130" s="33"/>
      <c r="G130" s="33"/>
      <c r="H130" s="33"/>
      <c r="I130" s="33"/>
      <c r="J130" s="33"/>
      <c r="K130" s="2"/>
      <c r="L130" s="2"/>
      <c r="M130" s="2"/>
      <c r="N130" s="2"/>
      <c r="O130" s="2"/>
      <c r="P130" s="2"/>
      <c r="Q130" s="111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33"/>
      <c r="B131" s="34"/>
      <c r="C131" s="2"/>
      <c r="D131" s="2"/>
      <c r="E131" s="33"/>
      <c r="F131" s="33"/>
      <c r="G131" s="33"/>
      <c r="H131" s="33"/>
      <c r="I131" s="33"/>
      <c r="J131" s="33"/>
      <c r="K131" s="2"/>
      <c r="L131" s="2"/>
      <c r="M131" s="2"/>
      <c r="N131" s="2"/>
      <c r="O131" s="2"/>
      <c r="P131" s="2"/>
      <c r="Q131" s="111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33"/>
      <c r="B132" s="34"/>
      <c r="C132" s="2"/>
      <c r="D132" s="2"/>
      <c r="E132" s="33"/>
      <c r="F132" s="33"/>
      <c r="G132" s="33"/>
      <c r="H132" s="33"/>
      <c r="I132" s="33"/>
      <c r="J132" s="33"/>
      <c r="K132" s="2"/>
      <c r="L132" s="2"/>
      <c r="M132" s="2"/>
      <c r="N132" s="2"/>
      <c r="O132" s="2"/>
      <c r="P132" s="2"/>
      <c r="Q132" s="111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33"/>
      <c r="B133" s="34"/>
      <c r="C133" s="2"/>
      <c r="D133" s="2"/>
      <c r="E133" s="33"/>
      <c r="F133" s="33"/>
      <c r="G133" s="33"/>
      <c r="H133" s="33"/>
      <c r="I133" s="33"/>
      <c r="J133" s="33"/>
      <c r="K133" s="2"/>
      <c r="L133" s="2"/>
      <c r="M133" s="2"/>
      <c r="N133" s="2"/>
      <c r="O133" s="2"/>
      <c r="P133" s="2"/>
      <c r="Q133" s="111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33"/>
      <c r="B134" s="34"/>
      <c r="C134" s="2"/>
      <c r="D134" s="2"/>
      <c r="E134" s="33"/>
      <c r="F134" s="33"/>
      <c r="G134" s="33"/>
      <c r="H134" s="33"/>
      <c r="I134" s="33"/>
      <c r="J134" s="33"/>
      <c r="K134" s="2"/>
      <c r="L134" s="2"/>
      <c r="M134" s="2"/>
      <c r="N134" s="2"/>
      <c r="O134" s="2"/>
      <c r="P134" s="2"/>
      <c r="Q134" s="111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33"/>
      <c r="B135" s="34"/>
      <c r="C135" s="2"/>
      <c r="D135" s="2"/>
      <c r="E135" s="33"/>
      <c r="F135" s="33"/>
      <c r="G135" s="33"/>
      <c r="H135" s="33"/>
      <c r="I135" s="33"/>
      <c r="J135" s="33"/>
      <c r="K135" s="2"/>
      <c r="L135" s="2"/>
      <c r="M135" s="2"/>
      <c r="N135" s="2"/>
      <c r="O135" s="2"/>
      <c r="P135" s="2"/>
      <c r="Q135" s="111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33"/>
      <c r="B136" s="34"/>
      <c r="C136" s="2"/>
      <c r="D136" s="2"/>
      <c r="E136" s="33"/>
      <c r="F136" s="33"/>
      <c r="G136" s="33"/>
      <c r="H136" s="33"/>
      <c r="I136" s="33"/>
      <c r="J136" s="33"/>
      <c r="K136" s="2"/>
      <c r="L136" s="2"/>
      <c r="M136" s="2"/>
      <c r="N136" s="2"/>
      <c r="O136" s="2"/>
      <c r="P136" s="2"/>
      <c r="Q136" s="111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33"/>
      <c r="B137" s="34"/>
      <c r="C137" s="2"/>
      <c r="D137" s="2"/>
      <c r="E137" s="33"/>
      <c r="F137" s="33"/>
      <c r="G137" s="33"/>
      <c r="H137" s="33"/>
      <c r="I137" s="33"/>
      <c r="J137" s="33"/>
      <c r="K137" s="2"/>
      <c r="L137" s="2"/>
      <c r="M137" s="2"/>
      <c r="N137" s="2"/>
      <c r="O137" s="2"/>
      <c r="P137" s="2"/>
      <c r="Q137" s="111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33"/>
      <c r="B138" s="34"/>
      <c r="C138" s="2"/>
      <c r="D138" s="2"/>
      <c r="E138" s="33"/>
      <c r="F138" s="33"/>
      <c r="G138" s="33"/>
      <c r="H138" s="33"/>
      <c r="I138" s="33"/>
      <c r="J138" s="33"/>
      <c r="K138" s="2"/>
      <c r="L138" s="2"/>
      <c r="M138" s="2"/>
      <c r="N138" s="2"/>
      <c r="O138" s="2"/>
      <c r="P138" s="2"/>
      <c r="Q138" s="111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33"/>
      <c r="B139" s="34"/>
      <c r="C139" s="2"/>
      <c r="D139" s="2"/>
      <c r="E139" s="33"/>
      <c r="F139" s="33"/>
      <c r="G139" s="33"/>
      <c r="H139" s="33"/>
      <c r="I139" s="33"/>
      <c r="J139" s="33"/>
      <c r="K139" s="2"/>
      <c r="L139" s="2"/>
      <c r="M139" s="2"/>
      <c r="N139" s="2"/>
      <c r="O139" s="2"/>
      <c r="P139" s="2"/>
      <c r="Q139" s="111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33"/>
      <c r="B140" s="34"/>
      <c r="C140" s="2"/>
      <c r="D140" s="2"/>
      <c r="E140" s="33"/>
      <c r="F140" s="33"/>
      <c r="G140" s="33"/>
      <c r="H140" s="33"/>
      <c r="I140" s="33"/>
      <c r="J140" s="33"/>
      <c r="K140" s="2"/>
      <c r="L140" s="2"/>
      <c r="M140" s="2"/>
      <c r="N140" s="2"/>
      <c r="O140" s="2"/>
      <c r="P140" s="2"/>
      <c r="Q140" s="111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33"/>
      <c r="B141" s="34"/>
      <c r="C141" s="2"/>
      <c r="D141" s="2"/>
      <c r="E141" s="33"/>
      <c r="F141" s="33"/>
      <c r="G141" s="33"/>
      <c r="H141" s="33"/>
      <c r="I141" s="33"/>
      <c r="J141" s="33"/>
      <c r="K141" s="2"/>
      <c r="L141" s="2"/>
      <c r="M141" s="2"/>
      <c r="N141" s="2"/>
      <c r="O141" s="2"/>
      <c r="P141" s="2"/>
      <c r="Q141" s="111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33"/>
      <c r="B142" s="34"/>
      <c r="C142" s="2"/>
      <c r="D142" s="2"/>
      <c r="E142" s="33"/>
      <c r="F142" s="33"/>
      <c r="G142" s="33"/>
      <c r="H142" s="33"/>
      <c r="I142" s="33"/>
      <c r="J142" s="33"/>
      <c r="K142" s="2"/>
      <c r="L142" s="2"/>
      <c r="M142" s="2"/>
      <c r="N142" s="2"/>
      <c r="O142" s="2"/>
      <c r="P142" s="2"/>
      <c r="Q142" s="111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33"/>
      <c r="B143" s="34"/>
      <c r="C143" s="2"/>
      <c r="D143" s="2"/>
      <c r="E143" s="33"/>
      <c r="F143" s="33"/>
      <c r="G143" s="33"/>
      <c r="H143" s="33"/>
      <c r="I143" s="33"/>
      <c r="J143" s="33"/>
      <c r="K143" s="2"/>
      <c r="L143" s="2"/>
      <c r="M143" s="2"/>
      <c r="N143" s="2"/>
      <c r="O143" s="2"/>
      <c r="P143" s="2"/>
      <c r="Q143" s="111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33"/>
      <c r="B144" s="34"/>
      <c r="C144" s="2"/>
      <c r="D144" s="2"/>
      <c r="E144" s="33"/>
      <c r="F144" s="33"/>
      <c r="G144" s="33"/>
      <c r="H144" s="33"/>
      <c r="I144" s="33"/>
      <c r="J144" s="33"/>
      <c r="K144" s="2"/>
      <c r="L144" s="2"/>
      <c r="M144" s="2"/>
      <c r="N144" s="2"/>
      <c r="O144" s="2"/>
      <c r="P144" s="2"/>
      <c r="Q144" s="111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33"/>
      <c r="B145" s="34"/>
      <c r="C145" s="2"/>
      <c r="D145" s="2"/>
      <c r="E145" s="33"/>
      <c r="F145" s="33"/>
      <c r="G145" s="33"/>
      <c r="H145" s="33"/>
      <c r="I145" s="33"/>
      <c r="J145" s="33"/>
      <c r="K145" s="2"/>
      <c r="L145" s="2"/>
      <c r="M145" s="2"/>
      <c r="N145" s="2"/>
      <c r="O145" s="2"/>
      <c r="P145" s="2"/>
      <c r="Q145" s="111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33"/>
      <c r="B146" s="34"/>
      <c r="C146" s="2"/>
      <c r="D146" s="2"/>
      <c r="E146" s="33"/>
      <c r="F146" s="33"/>
      <c r="G146" s="33"/>
      <c r="H146" s="33"/>
      <c r="I146" s="33"/>
      <c r="J146" s="33"/>
      <c r="K146" s="2"/>
      <c r="L146" s="2"/>
      <c r="M146" s="2"/>
      <c r="N146" s="2"/>
      <c r="O146" s="2"/>
      <c r="P146" s="2"/>
      <c r="Q146" s="111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33"/>
      <c r="B147" s="34"/>
      <c r="C147" s="2"/>
      <c r="D147" s="2"/>
      <c r="E147" s="33"/>
      <c r="F147" s="33"/>
      <c r="G147" s="33"/>
      <c r="H147" s="33"/>
      <c r="I147" s="33"/>
      <c r="J147" s="33"/>
      <c r="K147" s="2"/>
      <c r="L147" s="2"/>
      <c r="M147" s="2"/>
      <c r="N147" s="2"/>
      <c r="O147" s="2"/>
      <c r="P147" s="2"/>
      <c r="Q147" s="111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33"/>
      <c r="B148" s="2"/>
      <c r="C148" s="2"/>
      <c r="D148" s="2"/>
      <c r="E148" s="33"/>
      <c r="F148" s="33"/>
      <c r="G148" s="33"/>
      <c r="H148" s="33"/>
      <c r="I148" s="33"/>
      <c r="J148" s="3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52" t="s">
        <v>436</v>
      </c>
      <c r="D149" s="102"/>
      <c r="E149" s="101"/>
      <c r="F149" s="101"/>
      <c r="G149" s="101"/>
      <c r="H149" s="101"/>
      <c r="I149" s="101"/>
      <c r="J149" s="101"/>
      <c r="K149" s="102"/>
      <c r="L149" s="102"/>
      <c r="M149" s="102"/>
      <c r="N149" s="102"/>
      <c r="O149" s="102"/>
      <c r="P149" s="102"/>
      <c r="Q149" s="10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3" t="s">
        <v>3</v>
      </c>
      <c r="B150" s="112" t="s">
        <v>437</v>
      </c>
      <c r="C150" s="103" t="s">
        <v>438</v>
      </c>
      <c r="D150" s="103" t="s">
        <v>439</v>
      </c>
      <c r="E150" s="69" t="s">
        <v>440</v>
      </c>
      <c r="F150" s="9"/>
      <c r="G150" s="69" t="s">
        <v>441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9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1"/>
      <c r="B151" s="11"/>
      <c r="C151" s="11"/>
      <c r="D151" s="11"/>
      <c r="E151" s="93" t="s">
        <v>128</v>
      </c>
      <c r="F151" s="93" t="s">
        <v>442</v>
      </c>
      <c r="G151" s="93" t="s">
        <v>164</v>
      </c>
      <c r="H151" s="93" t="s">
        <v>165</v>
      </c>
      <c r="I151" s="93" t="s">
        <v>166</v>
      </c>
      <c r="J151" s="93" t="s">
        <v>167</v>
      </c>
      <c r="K151" s="93" t="s">
        <v>147</v>
      </c>
      <c r="L151" s="93" t="s">
        <v>168</v>
      </c>
      <c r="M151" s="93" t="s">
        <v>169</v>
      </c>
      <c r="N151" s="93" t="s">
        <v>170</v>
      </c>
      <c r="O151" s="93" t="s">
        <v>171</v>
      </c>
      <c r="P151" s="93" t="s">
        <v>172</v>
      </c>
      <c r="Q151" s="93" t="s">
        <v>173</v>
      </c>
      <c r="R151" s="97" t="s">
        <v>174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06">
        <v>1.0</v>
      </c>
      <c r="B152" s="106">
        <v>2.0</v>
      </c>
      <c r="C152" s="106">
        <v>3.0</v>
      </c>
      <c r="D152" s="106">
        <v>4.0</v>
      </c>
      <c r="E152" s="106">
        <v>5.0</v>
      </c>
      <c r="F152" s="106">
        <v>6.0</v>
      </c>
      <c r="G152" s="106">
        <v>7.0</v>
      </c>
      <c r="H152" s="106">
        <v>8.0</v>
      </c>
      <c r="I152" s="106">
        <v>9.0</v>
      </c>
      <c r="J152" s="106">
        <v>10.0</v>
      </c>
      <c r="K152" s="106">
        <v>11.0</v>
      </c>
      <c r="L152" s="106">
        <v>12.0</v>
      </c>
      <c r="M152" s="106">
        <v>13.0</v>
      </c>
      <c r="N152" s="106">
        <v>14.0</v>
      </c>
      <c r="O152" s="106">
        <v>15.0</v>
      </c>
      <c r="P152" s="106">
        <v>16.0</v>
      </c>
      <c r="Q152" s="106">
        <v>17.0</v>
      </c>
      <c r="R152" s="106">
        <v>18.0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8">
        <v>1.0</v>
      </c>
      <c r="B153" s="97" t="s">
        <v>443</v>
      </c>
      <c r="C153" s="97" t="s">
        <v>141</v>
      </c>
      <c r="D153" s="113">
        <v>43692.0</v>
      </c>
      <c r="E153" s="98" t="s">
        <v>444</v>
      </c>
      <c r="F153" s="98" t="s">
        <v>445</v>
      </c>
      <c r="G153" s="98" t="s">
        <v>25</v>
      </c>
      <c r="H153" s="98" t="s">
        <v>25</v>
      </c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8">
        <v>2.0</v>
      </c>
      <c r="B154" s="97" t="s">
        <v>446</v>
      </c>
      <c r="C154" s="97" t="s">
        <v>141</v>
      </c>
      <c r="D154" s="97" t="s">
        <v>447</v>
      </c>
      <c r="E154" s="98" t="s">
        <v>448</v>
      </c>
      <c r="F154" s="98" t="s">
        <v>449</v>
      </c>
      <c r="G154" s="98" t="s">
        <v>25</v>
      </c>
      <c r="H154" s="98" t="s">
        <v>25</v>
      </c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8">
        <v>3.0</v>
      </c>
      <c r="B155" s="97" t="s">
        <v>450</v>
      </c>
      <c r="C155" s="97" t="s">
        <v>141</v>
      </c>
      <c r="D155" s="113">
        <v>43695.0</v>
      </c>
      <c r="E155" s="98" t="s">
        <v>451</v>
      </c>
      <c r="F155" s="98" t="s">
        <v>82</v>
      </c>
      <c r="G155" s="98" t="s">
        <v>25</v>
      </c>
      <c r="H155" s="98" t="s">
        <v>25</v>
      </c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8">
        <v>4.0</v>
      </c>
      <c r="B156" s="97" t="s">
        <v>452</v>
      </c>
      <c r="C156" s="97" t="s">
        <v>142</v>
      </c>
      <c r="D156" s="113">
        <v>43706.0</v>
      </c>
      <c r="E156" s="98" t="s">
        <v>453</v>
      </c>
      <c r="F156" s="98" t="s">
        <v>454</v>
      </c>
      <c r="G156" s="98" t="s">
        <v>25</v>
      </c>
      <c r="H156" s="98" t="s">
        <v>25</v>
      </c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8">
        <v>5.0</v>
      </c>
      <c r="B157" s="97" t="s">
        <v>455</v>
      </c>
      <c r="C157" s="97" t="s">
        <v>142</v>
      </c>
      <c r="D157" s="113">
        <v>43707.0</v>
      </c>
      <c r="E157" s="98" t="s">
        <v>456</v>
      </c>
      <c r="F157" s="98" t="s">
        <v>457</v>
      </c>
      <c r="G157" s="98" t="s">
        <v>25</v>
      </c>
      <c r="H157" s="98" t="s">
        <v>25</v>
      </c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8">
        <v>6.0</v>
      </c>
      <c r="B158" s="97" t="s">
        <v>458</v>
      </c>
      <c r="C158" s="97" t="s">
        <v>142</v>
      </c>
      <c r="D158" s="113">
        <v>43718.0</v>
      </c>
      <c r="E158" s="98" t="s">
        <v>459</v>
      </c>
      <c r="F158" s="98" t="s">
        <v>460</v>
      </c>
      <c r="G158" s="98" t="s">
        <v>25</v>
      </c>
      <c r="H158" s="98" t="s">
        <v>25</v>
      </c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8">
        <v>7.0</v>
      </c>
      <c r="B159" s="97" t="s">
        <v>461</v>
      </c>
      <c r="C159" s="97" t="s">
        <v>142</v>
      </c>
      <c r="D159" s="113">
        <v>43718.0</v>
      </c>
      <c r="E159" s="98" t="s">
        <v>459</v>
      </c>
      <c r="F159" s="98" t="s">
        <v>460</v>
      </c>
      <c r="G159" s="98" t="s">
        <v>25</v>
      </c>
      <c r="H159" s="98" t="s">
        <v>25</v>
      </c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8">
        <v>8.0</v>
      </c>
      <c r="B160" s="97" t="s">
        <v>462</v>
      </c>
      <c r="C160" s="97" t="s">
        <v>142</v>
      </c>
      <c r="D160" s="113">
        <v>43723.0</v>
      </c>
      <c r="E160" s="98" t="s">
        <v>463</v>
      </c>
      <c r="F160" s="98" t="s">
        <v>464</v>
      </c>
      <c r="G160" s="109"/>
      <c r="H160" s="98" t="s">
        <v>25</v>
      </c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8">
        <v>9.0</v>
      </c>
      <c r="B161" s="97" t="s">
        <v>465</v>
      </c>
      <c r="C161" s="97" t="s">
        <v>141</v>
      </c>
      <c r="D161" s="113">
        <v>43728.0</v>
      </c>
      <c r="E161" s="98" t="s">
        <v>466</v>
      </c>
      <c r="F161" s="98" t="s">
        <v>345</v>
      </c>
      <c r="G161" s="109"/>
      <c r="H161" s="98" t="s">
        <v>25</v>
      </c>
      <c r="I161" s="109"/>
      <c r="J161" s="109"/>
      <c r="K161" s="110"/>
      <c r="L161" s="110"/>
      <c r="M161" s="110"/>
      <c r="N161" s="110"/>
      <c r="O161" s="110"/>
      <c r="P161" s="110"/>
      <c r="Q161" s="110"/>
      <c r="R161" s="110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8">
        <v>10.0</v>
      </c>
      <c r="B162" s="97" t="s">
        <v>467</v>
      </c>
      <c r="C162" s="97" t="s">
        <v>142</v>
      </c>
      <c r="D162" s="113">
        <v>43744.0</v>
      </c>
      <c r="E162" s="98" t="s">
        <v>468</v>
      </c>
      <c r="F162" s="98" t="s">
        <v>469</v>
      </c>
      <c r="G162" s="98" t="s">
        <v>25</v>
      </c>
      <c r="H162" s="98" t="s">
        <v>25</v>
      </c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8">
        <v>11.0</v>
      </c>
      <c r="B163" s="97" t="s">
        <v>470</v>
      </c>
      <c r="C163" s="97" t="s">
        <v>141</v>
      </c>
      <c r="D163" s="114">
        <v>43747.0</v>
      </c>
      <c r="E163" s="98" t="s">
        <v>471</v>
      </c>
      <c r="F163" s="98" t="s">
        <v>327</v>
      </c>
      <c r="G163" s="109"/>
      <c r="H163" s="98" t="s">
        <v>25</v>
      </c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8">
        <v>12.0</v>
      </c>
      <c r="B164" s="97" t="s">
        <v>472</v>
      </c>
      <c r="C164" s="97" t="s">
        <v>141</v>
      </c>
      <c r="D164" s="114">
        <v>43774.0</v>
      </c>
      <c r="E164" s="98" t="s">
        <v>473</v>
      </c>
      <c r="F164" s="98" t="s">
        <v>474</v>
      </c>
      <c r="G164" s="109"/>
      <c r="H164" s="98" t="s">
        <v>25</v>
      </c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8">
        <v>13.0</v>
      </c>
      <c r="B165" s="97" t="s">
        <v>378</v>
      </c>
      <c r="C165" s="97" t="s">
        <v>141</v>
      </c>
      <c r="D165" s="114">
        <v>43780.0</v>
      </c>
      <c r="E165" s="98" t="s">
        <v>475</v>
      </c>
      <c r="F165" s="98" t="s">
        <v>476</v>
      </c>
      <c r="G165" s="98" t="s">
        <v>25</v>
      </c>
      <c r="H165" s="98" t="s">
        <v>25</v>
      </c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8">
        <v>14.0</v>
      </c>
      <c r="B166" s="97" t="s">
        <v>477</v>
      </c>
      <c r="C166" s="97" t="s">
        <v>142</v>
      </c>
      <c r="D166" s="114">
        <v>43784.0</v>
      </c>
      <c r="E166" s="98" t="s">
        <v>478</v>
      </c>
      <c r="F166" s="98" t="s">
        <v>479</v>
      </c>
      <c r="G166" s="109"/>
      <c r="H166" s="98" t="s">
        <v>25</v>
      </c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8">
        <v>15.0</v>
      </c>
      <c r="B167" s="97" t="s">
        <v>480</v>
      </c>
      <c r="C167" s="97" t="s">
        <v>142</v>
      </c>
      <c r="D167" s="114">
        <v>43789.0</v>
      </c>
      <c r="E167" s="98" t="s">
        <v>481</v>
      </c>
      <c r="F167" s="98" t="s">
        <v>345</v>
      </c>
      <c r="G167" s="109"/>
      <c r="H167" s="98" t="s">
        <v>25</v>
      </c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8">
        <v>16.0</v>
      </c>
      <c r="B168" s="97" t="s">
        <v>482</v>
      </c>
      <c r="C168" s="97" t="s">
        <v>141</v>
      </c>
      <c r="D168" s="114">
        <v>43805.0</v>
      </c>
      <c r="E168" s="98" t="s">
        <v>483</v>
      </c>
      <c r="F168" s="98" t="s">
        <v>484</v>
      </c>
      <c r="G168" s="109"/>
      <c r="H168" s="98" t="s">
        <v>25</v>
      </c>
      <c r="I168" s="109"/>
      <c r="J168" s="109"/>
      <c r="K168" s="110"/>
      <c r="L168" s="110"/>
      <c r="M168" s="110"/>
      <c r="N168" s="110"/>
      <c r="O168" s="110"/>
      <c r="P168" s="110"/>
      <c r="Q168" s="110"/>
      <c r="R168" s="110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8">
        <v>17.0</v>
      </c>
      <c r="B169" s="97" t="s">
        <v>472</v>
      </c>
      <c r="C169" s="97" t="s">
        <v>141</v>
      </c>
      <c r="D169" s="114">
        <v>43814.0</v>
      </c>
      <c r="E169" s="98" t="s">
        <v>485</v>
      </c>
      <c r="F169" s="98" t="s">
        <v>300</v>
      </c>
      <c r="G169" s="98" t="s">
        <v>25</v>
      </c>
      <c r="H169" s="98" t="s">
        <v>25</v>
      </c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8">
        <v>18.0</v>
      </c>
      <c r="B170" s="97" t="s">
        <v>486</v>
      </c>
      <c r="C170" s="97" t="s">
        <v>142</v>
      </c>
      <c r="D170" s="114">
        <v>43803.0</v>
      </c>
      <c r="E170" s="98" t="s">
        <v>487</v>
      </c>
      <c r="F170" s="98" t="s">
        <v>247</v>
      </c>
      <c r="G170" s="109"/>
      <c r="H170" s="98" t="s">
        <v>25</v>
      </c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8">
        <v>19.0</v>
      </c>
      <c r="B171" s="97" t="s">
        <v>488</v>
      </c>
      <c r="C171" s="97" t="s">
        <v>141</v>
      </c>
      <c r="D171" s="114">
        <v>43804.0</v>
      </c>
      <c r="E171" s="98" t="s">
        <v>489</v>
      </c>
      <c r="F171" s="98" t="s">
        <v>490</v>
      </c>
      <c r="G171" s="109"/>
      <c r="H171" s="98" t="s">
        <v>25</v>
      </c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8">
        <v>20.0</v>
      </c>
      <c r="B172" s="97" t="s">
        <v>491</v>
      </c>
      <c r="C172" s="97" t="s">
        <v>142</v>
      </c>
      <c r="D172" s="114">
        <v>43848.0</v>
      </c>
      <c r="E172" s="98" t="s">
        <v>492</v>
      </c>
      <c r="F172" s="98" t="s">
        <v>493</v>
      </c>
      <c r="G172" s="109"/>
      <c r="H172" s="98" t="s">
        <v>25</v>
      </c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8">
        <v>21.0</v>
      </c>
      <c r="B173" s="97" t="s">
        <v>494</v>
      </c>
      <c r="C173" s="97" t="s">
        <v>141</v>
      </c>
      <c r="D173" s="113" t="s">
        <v>495</v>
      </c>
      <c r="E173" s="98" t="s">
        <v>496</v>
      </c>
      <c r="F173" s="98" t="s">
        <v>497</v>
      </c>
      <c r="G173" s="109"/>
      <c r="H173" s="98" t="s">
        <v>25</v>
      </c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8">
        <v>22.0</v>
      </c>
      <c r="B174" s="97" t="s">
        <v>498</v>
      </c>
      <c r="C174" s="97" t="s">
        <v>142</v>
      </c>
      <c r="D174" s="113">
        <v>43837.0</v>
      </c>
      <c r="E174" s="98" t="s">
        <v>499</v>
      </c>
      <c r="F174" s="98" t="s">
        <v>500</v>
      </c>
      <c r="G174" s="98" t="s">
        <v>25</v>
      </c>
      <c r="H174" s="98" t="s">
        <v>25</v>
      </c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8">
        <v>23.0</v>
      </c>
      <c r="B175" s="97" t="s">
        <v>501</v>
      </c>
      <c r="C175" s="97" t="s">
        <v>141</v>
      </c>
      <c r="D175" s="114">
        <v>43862.0</v>
      </c>
      <c r="E175" s="98" t="s">
        <v>502</v>
      </c>
      <c r="F175" s="98" t="s">
        <v>247</v>
      </c>
      <c r="G175" s="109"/>
      <c r="H175" s="98" t="s">
        <v>25</v>
      </c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8">
        <v>24.0</v>
      </c>
      <c r="B176" s="97" t="s">
        <v>503</v>
      </c>
      <c r="C176" s="97" t="s">
        <v>141</v>
      </c>
      <c r="D176" s="114">
        <v>43868.0</v>
      </c>
      <c r="E176" s="98" t="s">
        <v>504</v>
      </c>
      <c r="F176" s="98" t="s">
        <v>505</v>
      </c>
      <c r="G176" s="109"/>
      <c r="H176" s="98" t="s">
        <v>25</v>
      </c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8">
        <v>25.0</v>
      </c>
      <c r="B177" s="97" t="s">
        <v>506</v>
      </c>
      <c r="C177" s="97" t="s">
        <v>141</v>
      </c>
      <c r="D177" s="114">
        <v>43881.0</v>
      </c>
      <c r="E177" s="98" t="s">
        <v>507</v>
      </c>
      <c r="F177" s="98" t="s">
        <v>508</v>
      </c>
      <c r="G177" s="98" t="s">
        <v>25</v>
      </c>
      <c r="H177" s="98" t="s">
        <v>25</v>
      </c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8">
        <v>26.0</v>
      </c>
      <c r="B178" s="97" t="s">
        <v>509</v>
      </c>
      <c r="C178" s="97" t="s">
        <v>141</v>
      </c>
      <c r="D178" s="113">
        <v>43913.0</v>
      </c>
      <c r="E178" s="98" t="s">
        <v>510</v>
      </c>
      <c r="F178" s="98" t="s">
        <v>511</v>
      </c>
      <c r="G178" s="98" t="s">
        <v>25</v>
      </c>
      <c r="H178" s="98" t="s">
        <v>25</v>
      </c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8">
        <v>27.0</v>
      </c>
      <c r="B179" s="97" t="s">
        <v>512</v>
      </c>
      <c r="C179" s="97" t="s">
        <v>141</v>
      </c>
      <c r="D179" s="113">
        <v>43914.0</v>
      </c>
      <c r="E179" s="98" t="s">
        <v>513</v>
      </c>
      <c r="F179" s="98" t="s">
        <v>514</v>
      </c>
      <c r="G179" s="98" t="s">
        <v>25</v>
      </c>
      <c r="H179" s="98" t="s">
        <v>25</v>
      </c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8">
        <v>28.0</v>
      </c>
      <c r="B180" s="97" t="s">
        <v>515</v>
      </c>
      <c r="C180" s="97" t="s">
        <v>141</v>
      </c>
      <c r="D180" s="113">
        <v>43928.0</v>
      </c>
      <c r="E180" s="98" t="s">
        <v>516</v>
      </c>
      <c r="F180" s="98" t="s">
        <v>517</v>
      </c>
      <c r="G180" s="98" t="s">
        <v>25</v>
      </c>
      <c r="H180" s="98" t="s">
        <v>25</v>
      </c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8">
        <v>29.0</v>
      </c>
      <c r="B181" s="97" t="s">
        <v>518</v>
      </c>
      <c r="C181" s="97" t="s">
        <v>142</v>
      </c>
      <c r="D181" s="113" t="s">
        <v>519</v>
      </c>
      <c r="E181" s="98" t="s">
        <v>327</v>
      </c>
      <c r="F181" s="98" t="s">
        <v>511</v>
      </c>
      <c r="G181" s="98" t="s">
        <v>25</v>
      </c>
      <c r="H181" s="98" t="s">
        <v>25</v>
      </c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8">
        <v>30.0</v>
      </c>
      <c r="B182" s="97" t="s">
        <v>520</v>
      </c>
      <c r="C182" s="97" t="s">
        <v>141</v>
      </c>
      <c r="D182" s="114">
        <v>43956.0</v>
      </c>
      <c r="E182" s="98" t="s">
        <v>521</v>
      </c>
      <c r="F182" s="98" t="s">
        <v>522</v>
      </c>
      <c r="G182" s="109"/>
      <c r="H182" s="98" t="s">
        <v>25</v>
      </c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8">
        <v>31.0</v>
      </c>
      <c r="B183" s="97" t="s">
        <v>523</v>
      </c>
      <c r="C183" s="97" t="s">
        <v>141</v>
      </c>
      <c r="D183" s="113">
        <v>43962.0</v>
      </c>
      <c r="E183" s="98" t="s">
        <v>524</v>
      </c>
      <c r="F183" s="98" t="s">
        <v>525</v>
      </c>
      <c r="G183" s="98" t="s">
        <v>25</v>
      </c>
      <c r="H183" s="98" t="s">
        <v>25</v>
      </c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8">
        <v>32.0</v>
      </c>
      <c r="B184" s="97" t="s">
        <v>526</v>
      </c>
      <c r="C184" s="97" t="s">
        <v>141</v>
      </c>
      <c r="D184" s="113">
        <v>43966.0</v>
      </c>
      <c r="E184" s="98" t="s">
        <v>294</v>
      </c>
      <c r="F184" s="98" t="s">
        <v>527</v>
      </c>
      <c r="G184" s="109"/>
      <c r="H184" s="98" t="s">
        <v>25</v>
      </c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8">
        <v>33.0</v>
      </c>
      <c r="B185" s="97" t="s">
        <v>528</v>
      </c>
      <c r="C185" s="97" t="s">
        <v>141</v>
      </c>
      <c r="D185" s="113">
        <v>43970.0</v>
      </c>
      <c r="E185" s="98" t="s">
        <v>529</v>
      </c>
      <c r="F185" s="98" t="s">
        <v>530</v>
      </c>
      <c r="G185" s="98" t="s">
        <v>25</v>
      </c>
      <c r="H185" s="98" t="s">
        <v>25</v>
      </c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8">
        <v>34.0</v>
      </c>
      <c r="B186" s="97" t="s">
        <v>531</v>
      </c>
      <c r="C186" s="97" t="s">
        <v>142</v>
      </c>
      <c r="D186" s="114">
        <v>43973.0</v>
      </c>
      <c r="E186" s="98" t="s">
        <v>532</v>
      </c>
      <c r="F186" s="98" t="s">
        <v>533</v>
      </c>
      <c r="G186" s="109"/>
      <c r="H186" s="98" t="s">
        <v>25</v>
      </c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8">
        <v>35.0</v>
      </c>
      <c r="B187" s="97" t="s">
        <v>534</v>
      </c>
      <c r="C187" s="97" t="s">
        <v>141</v>
      </c>
      <c r="D187" s="113">
        <v>43983.0</v>
      </c>
      <c r="E187" s="98" t="s">
        <v>462</v>
      </c>
      <c r="F187" s="98" t="s">
        <v>336</v>
      </c>
      <c r="G187" s="98" t="s">
        <v>25</v>
      </c>
      <c r="H187" s="98" t="s">
        <v>25</v>
      </c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8">
        <v>36.0</v>
      </c>
      <c r="B188" s="97" t="s">
        <v>535</v>
      </c>
      <c r="C188" s="97" t="s">
        <v>142</v>
      </c>
      <c r="D188" s="113">
        <v>43983.0</v>
      </c>
      <c r="E188" s="98" t="s">
        <v>536</v>
      </c>
      <c r="F188" s="98" t="s">
        <v>327</v>
      </c>
      <c r="G188" s="98" t="s">
        <v>25</v>
      </c>
      <c r="H188" s="98" t="s">
        <v>25</v>
      </c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8">
        <v>37.0</v>
      </c>
      <c r="B189" s="97" t="s">
        <v>537</v>
      </c>
      <c r="C189" s="97" t="s">
        <v>141</v>
      </c>
      <c r="D189" s="114">
        <v>43984.0</v>
      </c>
      <c r="E189" s="98" t="s">
        <v>538</v>
      </c>
      <c r="F189" s="98" t="s">
        <v>539</v>
      </c>
      <c r="G189" s="98" t="s">
        <v>25</v>
      </c>
      <c r="H189" s="98" t="s">
        <v>25</v>
      </c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8">
        <v>38.0</v>
      </c>
      <c r="B190" s="97" t="s">
        <v>540</v>
      </c>
      <c r="C190" s="97" t="s">
        <v>142</v>
      </c>
      <c r="D190" s="113">
        <v>43995.0</v>
      </c>
      <c r="E190" s="98" t="s">
        <v>541</v>
      </c>
      <c r="F190" s="98" t="s">
        <v>510</v>
      </c>
      <c r="G190" s="98" t="s">
        <v>25</v>
      </c>
      <c r="H190" s="98" t="s">
        <v>25</v>
      </c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8">
        <v>39.0</v>
      </c>
      <c r="B191" s="97" t="s">
        <v>542</v>
      </c>
      <c r="C191" s="97" t="s">
        <v>141</v>
      </c>
      <c r="D191" s="113">
        <v>43997.0</v>
      </c>
      <c r="E191" s="98" t="s">
        <v>543</v>
      </c>
      <c r="F191" s="98" t="s">
        <v>544</v>
      </c>
      <c r="G191" s="98" t="s">
        <v>25</v>
      </c>
      <c r="H191" s="98" t="s">
        <v>25</v>
      </c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8">
        <v>40.0</v>
      </c>
      <c r="B192" s="97" t="s">
        <v>545</v>
      </c>
      <c r="C192" s="97" t="s">
        <v>141</v>
      </c>
      <c r="D192" s="113">
        <v>44001.0</v>
      </c>
      <c r="E192" s="98" t="s">
        <v>473</v>
      </c>
      <c r="F192" s="98" t="s">
        <v>546</v>
      </c>
      <c r="G192" s="98" t="s">
        <v>25</v>
      </c>
      <c r="H192" s="98" t="s">
        <v>25</v>
      </c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8">
        <v>41.0</v>
      </c>
      <c r="B193" s="97" t="s">
        <v>547</v>
      </c>
      <c r="C193" s="97" t="s">
        <v>141</v>
      </c>
      <c r="D193" s="113">
        <v>44003.0</v>
      </c>
      <c r="E193" s="98" t="s">
        <v>548</v>
      </c>
      <c r="F193" s="98" t="s">
        <v>549</v>
      </c>
      <c r="G193" s="98" t="s">
        <v>25</v>
      </c>
      <c r="H193" s="98" t="s">
        <v>25</v>
      </c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8">
        <v>42.0</v>
      </c>
      <c r="B194" s="97" t="s">
        <v>550</v>
      </c>
      <c r="C194" s="97" t="s">
        <v>141</v>
      </c>
      <c r="D194" s="113">
        <v>44007.0</v>
      </c>
      <c r="E194" s="98" t="s">
        <v>551</v>
      </c>
      <c r="F194" s="98" t="s">
        <v>552</v>
      </c>
      <c r="G194" s="98" t="s">
        <v>25</v>
      </c>
      <c r="H194" s="98" t="s">
        <v>25</v>
      </c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8">
        <v>43.0</v>
      </c>
      <c r="B195" s="97" t="s">
        <v>553</v>
      </c>
      <c r="C195" s="97" t="s">
        <v>141</v>
      </c>
      <c r="D195" s="114">
        <v>44009.0</v>
      </c>
      <c r="E195" s="98" t="s">
        <v>554</v>
      </c>
      <c r="F195" s="98" t="s">
        <v>555</v>
      </c>
      <c r="G195" s="98" t="s">
        <v>25</v>
      </c>
      <c r="H195" s="98" t="s">
        <v>25</v>
      </c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8.0" customHeight="1">
      <c r="A196" s="98">
        <v>44.0</v>
      </c>
      <c r="B196" s="108" t="s">
        <v>556</v>
      </c>
      <c r="C196" s="97" t="s">
        <v>141</v>
      </c>
      <c r="D196" s="115">
        <v>44348.0</v>
      </c>
      <c r="E196" s="116"/>
      <c r="F196" s="117" t="s">
        <v>557</v>
      </c>
      <c r="G196" s="98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8.0" customHeight="1">
      <c r="A197" s="98">
        <v>45.0</v>
      </c>
      <c r="B197" s="108" t="s">
        <v>558</v>
      </c>
      <c r="C197" s="97" t="s">
        <v>141</v>
      </c>
      <c r="D197" s="115">
        <v>44350.0</v>
      </c>
      <c r="E197" s="116"/>
      <c r="F197" s="117" t="s">
        <v>559</v>
      </c>
      <c r="G197" s="98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8.0" customHeight="1">
      <c r="A198" s="98">
        <v>46.0</v>
      </c>
      <c r="B198" s="108" t="s">
        <v>560</v>
      </c>
      <c r="C198" s="97" t="s">
        <v>142</v>
      </c>
      <c r="D198" s="115">
        <v>44362.0</v>
      </c>
      <c r="E198" s="116"/>
      <c r="F198" s="117" t="s">
        <v>326</v>
      </c>
      <c r="G198" s="98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8.0" customHeight="1">
      <c r="A199" s="98">
        <v>47.0</v>
      </c>
      <c r="B199" s="108" t="s">
        <v>561</v>
      </c>
      <c r="C199" s="97" t="s">
        <v>142</v>
      </c>
      <c r="D199" s="115">
        <v>44378.0</v>
      </c>
      <c r="E199" s="116"/>
      <c r="F199" s="117" t="s">
        <v>562</v>
      </c>
      <c r="G199" s="98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8.0" customHeight="1">
      <c r="A200" s="98">
        <v>48.0</v>
      </c>
      <c r="B200" s="108" t="s">
        <v>563</v>
      </c>
      <c r="C200" s="97" t="s">
        <v>141</v>
      </c>
      <c r="D200" s="115">
        <v>44384.0</v>
      </c>
      <c r="E200" s="116"/>
      <c r="F200" s="117" t="s">
        <v>564</v>
      </c>
      <c r="G200" s="98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8.0" customHeight="1">
      <c r="A201" s="98">
        <v>49.0</v>
      </c>
      <c r="B201" s="108" t="s">
        <v>565</v>
      </c>
      <c r="C201" s="97" t="s">
        <v>141</v>
      </c>
      <c r="D201" s="115">
        <v>44418.0</v>
      </c>
      <c r="E201" s="116"/>
      <c r="F201" s="117" t="s">
        <v>566</v>
      </c>
      <c r="G201" s="98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8.0" customHeight="1">
      <c r="A202" s="98">
        <v>50.0</v>
      </c>
      <c r="B202" s="108" t="s">
        <v>567</v>
      </c>
      <c r="C202" s="97" t="s">
        <v>141</v>
      </c>
      <c r="D202" s="115">
        <v>44425.0</v>
      </c>
      <c r="E202" s="117" t="s">
        <v>568</v>
      </c>
      <c r="F202" s="109"/>
      <c r="G202" s="98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8.0" customHeight="1">
      <c r="A203" s="98">
        <v>51.0</v>
      </c>
      <c r="B203" s="108" t="s">
        <v>569</v>
      </c>
      <c r="C203" s="97" t="s">
        <v>141</v>
      </c>
      <c r="D203" s="115">
        <v>44430.0</v>
      </c>
      <c r="E203" s="116"/>
      <c r="F203" s="117" t="s">
        <v>570</v>
      </c>
      <c r="G203" s="98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8.0" customHeight="1">
      <c r="A204" s="98">
        <v>52.0</v>
      </c>
      <c r="B204" s="108" t="s">
        <v>571</v>
      </c>
      <c r="C204" s="97" t="s">
        <v>141</v>
      </c>
      <c r="D204" s="115">
        <v>44451.0</v>
      </c>
      <c r="E204" s="117" t="s">
        <v>572</v>
      </c>
      <c r="F204" s="98" t="s">
        <v>573</v>
      </c>
      <c r="G204" s="98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8.0" customHeight="1">
      <c r="A205" s="98">
        <v>53.0</v>
      </c>
      <c r="B205" s="108" t="s">
        <v>574</v>
      </c>
      <c r="C205" s="97" t="s">
        <v>141</v>
      </c>
      <c r="D205" s="115">
        <v>44455.0</v>
      </c>
      <c r="E205" s="116"/>
      <c r="F205" s="117" t="s">
        <v>575</v>
      </c>
      <c r="G205" s="98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8.0" customHeight="1">
      <c r="A206" s="98">
        <v>54.0</v>
      </c>
      <c r="B206" s="108" t="s">
        <v>576</v>
      </c>
      <c r="C206" s="97" t="s">
        <v>141</v>
      </c>
      <c r="D206" s="115">
        <v>44456.0</v>
      </c>
      <c r="E206" s="116"/>
      <c r="F206" s="117" t="s">
        <v>577</v>
      </c>
      <c r="G206" s="98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8.0" customHeight="1">
      <c r="A207" s="98">
        <v>55.0</v>
      </c>
      <c r="B207" s="108" t="s">
        <v>578</v>
      </c>
      <c r="C207" s="97" t="s">
        <v>142</v>
      </c>
      <c r="D207" s="115">
        <v>44462.0</v>
      </c>
      <c r="E207" s="116"/>
      <c r="F207" s="117" t="s">
        <v>579</v>
      </c>
      <c r="G207" s="98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8.0" customHeight="1">
      <c r="A208" s="98">
        <v>56.0</v>
      </c>
      <c r="B208" s="108" t="s">
        <v>580</v>
      </c>
      <c r="C208" s="97" t="s">
        <v>142</v>
      </c>
      <c r="D208" s="115">
        <v>44482.0</v>
      </c>
      <c r="E208" s="116"/>
      <c r="F208" s="117" t="s">
        <v>490</v>
      </c>
      <c r="G208" s="98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8.0" customHeight="1">
      <c r="A209" s="98">
        <v>57.0</v>
      </c>
      <c r="B209" s="108" t="s">
        <v>581</v>
      </c>
      <c r="C209" s="97" t="s">
        <v>142</v>
      </c>
      <c r="D209" s="115">
        <v>44482.0</v>
      </c>
      <c r="E209" s="116"/>
      <c r="F209" s="117" t="s">
        <v>582</v>
      </c>
      <c r="G209" s="98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8.0" customHeight="1">
      <c r="A210" s="98">
        <v>58.0</v>
      </c>
      <c r="B210" s="108" t="s">
        <v>583</v>
      </c>
      <c r="C210" s="97" t="s">
        <v>141</v>
      </c>
      <c r="D210" s="115">
        <v>44483.0</v>
      </c>
      <c r="E210" s="116"/>
      <c r="F210" s="117" t="s">
        <v>584</v>
      </c>
      <c r="G210" s="98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8.0" customHeight="1">
      <c r="A211" s="98">
        <v>59.0</v>
      </c>
      <c r="B211" s="108" t="s">
        <v>585</v>
      </c>
      <c r="C211" s="110"/>
      <c r="D211" s="115">
        <v>44484.0</v>
      </c>
      <c r="E211" s="116"/>
      <c r="F211" s="117" t="s">
        <v>586</v>
      </c>
      <c r="G211" s="98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8.0" customHeight="1">
      <c r="A212" s="98">
        <v>60.0</v>
      </c>
      <c r="B212" s="108" t="s">
        <v>587</v>
      </c>
      <c r="C212" s="97" t="s">
        <v>142</v>
      </c>
      <c r="D212" s="115">
        <v>44496.0</v>
      </c>
      <c r="E212" s="116"/>
      <c r="F212" s="117" t="s">
        <v>588</v>
      </c>
      <c r="G212" s="98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8.0" customHeight="1">
      <c r="A213" s="98">
        <v>61.0</v>
      </c>
      <c r="B213" s="108" t="s">
        <v>589</v>
      </c>
      <c r="C213" s="97" t="s">
        <v>141</v>
      </c>
      <c r="D213" s="115">
        <v>44503.0</v>
      </c>
      <c r="E213" s="116"/>
      <c r="F213" s="117" t="s">
        <v>348</v>
      </c>
      <c r="G213" s="98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8.0" customHeight="1">
      <c r="A214" s="98">
        <v>62.0</v>
      </c>
      <c r="B214" s="108" t="s">
        <v>590</v>
      </c>
      <c r="C214" s="97" t="s">
        <v>141</v>
      </c>
      <c r="D214" s="115">
        <v>44564.0</v>
      </c>
      <c r="E214" s="116"/>
      <c r="F214" s="117" t="s">
        <v>591</v>
      </c>
      <c r="G214" s="98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8.0" customHeight="1">
      <c r="A215" s="98">
        <v>63.0</v>
      </c>
      <c r="B215" s="108" t="s">
        <v>592</v>
      </c>
      <c r="C215" s="97" t="s">
        <v>142</v>
      </c>
      <c r="D215" s="115">
        <v>44567.0</v>
      </c>
      <c r="E215" s="116"/>
      <c r="F215" s="117" t="s">
        <v>593</v>
      </c>
      <c r="G215" s="98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8.0" customHeight="1">
      <c r="A216" s="98">
        <v>64.0</v>
      </c>
      <c r="B216" s="108" t="s">
        <v>594</v>
      </c>
      <c r="C216" s="97" t="s">
        <v>141</v>
      </c>
      <c r="D216" s="115">
        <v>44569.0</v>
      </c>
      <c r="E216" s="116"/>
      <c r="F216" s="117" t="s">
        <v>595</v>
      </c>
      <c r="G216" s="98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8.0" customHeight="1">
      <c r="A217" s="98">
        <v>65.0</v>
      </c>
      <c r="B217" s="108" t="s">
        <v>596</v>
      </c>
      <c r="C217" s="97" t="s">
        <v>142</v>
      </c>
      <c r="D217" s="115">
        <v>44600.0</v>
      </c>
      <c r="E217" s="116"/>
      <c r="F217" s="117" t="s">
        <v>597</v>
      </c>
      <c r="G217" s="98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8.0" customHeight="1">
      <c r="A218" s="98">
        <v>66.0</v>
      </c>
      <c r="B218" s="108" t="s">
        <v>598</v>
      </c>
      <c r="C218" s="97" t="s">
        <v>141</v>
      </c>
      <c r="D218" s="115">
        <v>44608.0</v>
      </c>
      <c r="E218" s="117" t="s">
        <v>599</v>
      </c>
      <c r="F218" s="109"/>
      <c r="G218" s="98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8.0" customHeight="1">
      <c r="A219" s="98">
        <v>67.0</v>
      </c>
      <c r="B219" s="108" t="s">
        <v>600</v>
      </c>
      <c r="C219" s="97" t="s">
        <v>142</v>
      </c>
      <c r="D219" s="115">
        <v>44612.0</v>
      </c>
      <c r="E219" s="116"/>
      <c r="F219" s="117" t="s">
        <v>601</v>
      </c>
      <c r="G219" s="98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8.0" customHeight="1">
      <c r="A220" s="98">
        <v>68.0</v>
      </c>
      <c r="B220" s="108" t="s">
        <v>602</v>
      </c>
      <c r="C220" s="97" t="s">
        <v>141</v>
      </c>
      <c r="D220" s="115">
        <v>44635.0</v>
      </c>
      <c r="E220" s="116"/>
      <c r="F220" s="117" t="s">
        <v>202</v>
      </c>
      <c r="G220" s="98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8.0" customHeight="1">
      <c r="A221" s="98">
        <v>69.0</v>
      </c>
      <c r="B221" s="108" t="s">
        <v>603</v>
      </c>
      <c r="C221" s="97" t="s">
        <v>141</v>
      </c>
      <c r="D221" s="115">
        <v>44662.0</v>
      </c>
      <c r="E221" s="116"/>
      <c r="F221" s="117" t="s">
        <v>604</v>
      </c>
      <c r="G221" s="98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8.0" customHeight="1">
      <c r="A222" s="98">
        <v>70.0</v>
      </c>
      <c r="B222" s="108" t="s">
        <v>605</v>
      </c>
      <c r="C222" s="97" t="s">
        <v>141</v>
      </c>
      <c r="D222" s="115">
        <v>44687.0</v>
      </c>
      <c r="E222" s="116"/>
      <c r="F222" s="117" t="s">
        <v>606</v>
      </c>
      <c r="G222" s="98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8.0" customHeight="1">
      <c r="A223" s="98">
        <v>71.0</v>
      </c>
      <c r="B223" s="108" t="s">
        <v>607</v>
      </c>
      <c r="C223" s="97" t="s">
        <v>141</v>
      </c>
      <c r="D223" s="115">
        <v>44690.0</v>
      </c>
      <c r="E223" s="116"/>
      <c r="F223" s="117" t="s">
        <v>247</v>
      </c>
      <c r="G223" s="98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8.0" customHeight="1">
      <c r="A224" s="98">
        <v>72.0</v>
      </c>
      <c r="B224" s="108" t="s">
        <v>608</v>
      </c>
      <c r="C224" s="97" t="s">
        <v>141</v>
      </c>
      <c r="D224" s="115">
        <v>44692.0</v>
      </c>
      <c r="E224" s="116"/>
      <c r="F224" s="117" t="s">
        <v>609</v>
      </c>
      <c r="G224" s="98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8.0" customHeight="1">
      <c r="A225" s="98">
        <v>73.0</v>
      </c>
      <c r="B225" s="108" t="s">
        <v>610</v>
      </c>
      <c r="C225" s="97" t="s">
        <v>142</v>
      </c>
      <c r="D225" s="115">
        <v>44692.0</v>
      </c>
      <c r="E225" s="116"/>
      <c r="F225" s="117" t="s">
        <v>611</v>
      </c>
      <c r="G225" s="98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8.0" customHeight="1">
      <c r="A226" s="98">
        <v>74.0</v>
      </c>
      <c r="B226" s="108" t="s">
        <v>612</v>
      </c>
      <c r="C226" s="97" t="s">
        <v>141</v>
      </c>
      <c r="D226" s="115">
        <v>44697.0</v>
      </c>
      <c r="E226" s="116"/>
      <c r="F226" s="117" t="s">
        <v>613</v>
      </c>
      <c r="G226" s="98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8.0" customHeight="1">
      <c r="A227" s="98">
        <v>75.0</v>
      </c>
      <c r="B227" s="108" t="s">
        <v>614</v>
      </c>
      <c r="C227" s="97" t="s">
        <v>142</v>
      </c>
      <c r="D227" s="115">
        <v>44704.0</v>
      </c>
      <c r="E227" s="116"/>
      <c r="F227" s="117" t="s">
        <v>474</v>
      </c>
      <c r="G227" s="98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8.0" customHeight="1">
      <c r="A228" s="98">
        <v>76.0</v>
      </c>
      <c r="B228" s="108" t="s">
        <v>615</v>
      </c>
      <c r="C228" s="97" t="s">
        <v>141</v>
      </c>
      <c r="D228" s="115">
        <v>44718.0</v>
      </c>
      <c r="E228" s="116"/>
      <c r="F228" s="117" t="s">
        <v>616</v>
      </c>
      <c r="G228" s="98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8.0" customHeight="1">
      <c r="A229" s="98">
        <v>77.0</v>
      </c>
      <c r="B229" s="108" t="s">
        <v>617</v>
      </c>
      <c r="C229" s="97" t="s">
        <v>142</v>
      </c>
      <c r="D229" s="115">
        <v>44718.0</v>
      </c>
      <c r="E229" s="116"/>
      <c r="F229" s="117" t="s">
        <v>616</v>
      </c>
      <c r="G229" s="98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8.0" customHeight="1">
      <c r="A230" s="98">
        <v>78.0</v>
      </c>
      <c r="B230" s="108" t="s">
        <v>618</v>
      </c>
      <c r="C230" s="97" t="s">
        <v>142</v>
      </c>
      <c r="D230" s="115">
        <v>44722.0</v>
      </c>
      <c r="E230" s="116"/>
      <c r="F230" s="117" t="s">
        <v>619</v>
      </c>
      <c r="G230" s="98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8.0" customHeight="1">
      <c r="A231" s="98">
        <v>79.0</v>
      </c>
      <c r="B231" s="108" t="s">
        <v>620</v>
      </c>
      <c r="C231" s="97" t="s">
        <v>141</v>
      </c>
      <c r="D231" s="115">
        <v>44723.0</v>
      </c>
      <c r="E231" s="116"/>
      <c r="F231" s="117" t="s">
        <v>555</v>
      </c>
      <c r="G231" s="98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8.0" customHeight="1">
      <c r="A232" s="98">
        <v>80.0</v>
      </c>
      <c r="B232" s="108" t="s">
        <v>621</v>
      </c>
      <c r="C232" s="97" t="s">
        <v>142</v>
      </c>
      <c r="D232" s="115">
        <v>44725.0</v>
      </c>
      <c r="E232" s="116"/>
      <c r="F232" s="117" t="s">
        <v>622</v>
      </c>
      <c r="G232" s="98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8.0" customHeight="1">
      <c r="A233" s="98">
        <v>81.0</v>
      </c>
      <c r="B233" s="108" t="s">
        <v>623</v>
      </c>
      <c r="C233" s="97" t="s">
        <v>141</v>
      </c>
      <c r="D233" s="115">
        <v>44743.0</v>
      </c>
      <c r="E233" s="116"/>
      <c r="F233" s="117" t="s">
        <v>474</v>
      </c>
      <c r="G233" s="98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8.0" customHeight="1">
      <c r="A234" s="98">
        <v>82.0</v>
      </c>
      <c r="B234" s="108" t="s">
        <v>624</v>
      </c>
      <c r="C234" s="97" t="s">
        <v>141</v>
      </c>
      <c r="D234" s="115">
        <v>44748.0</v>
      </c>
      <c r="E234" s="116"/>
      <c r="F234" s="117" t="s">
        <v>474</v>
      </c>
      <c r="G234" s="98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8.0" customHeight="1">
      <c r="A235" s="98">
        <v>83.0</v>
      </c>
      <c r="B235" s="108" t="s">
        <v>625</v>
      </c>
      <c r="C235" s="97" t="s">
        <v>142</v>
      </c>
      <c r="D235" s="115">
        <v>44748.0</v>
      </c>
      <c r="E235" s="116"/>
      <c r="F235" s="117" t="s">
        <v>626</v>
      </c>
      <c r="G235" s="98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8.0" customHeight="1">
      <c r="A236" s="98">
        <v>84.0</v>
      </c>
      <c r="B236" s="108" t="s">
        <v>627</v>
      </c>
      <c r="C236" s="97" t="s">
        <v>141</v>
      </c>
      <c r="D236" s="115">
        <v>44749.0</v>
      </c>
      <c r="E236" s="117" t="s">
        <v>628</v>
      </c>
      <c r="F236" s="98" t="s">
        <v>629</v>
      </c>
      <c r="G236" s="98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8.0" customHeight="1">
      <c r="A237" s="98">
        <v>85.0</v>
      </c>
      <c r="B237" s="108" t="s">
        <v>630</v>
      </c>
      <c r="C237" s="97" t="s">
        <v>141</v>
      </c>
      <c r="D237" s="115">
        <v>44771.0</v>
      </c>
      <c r="E237" s="116"/>
      <c r="F237" s="117" t="s">
        <v>631</v>
      </c>
      <c r="G237" s="98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8.0" customHeight="1">
      <c r="A238" s="98">
        <v>86.0</v>
      </c>
      <c r="B238" s="108" t="s">
        <v>632</v>
      </c>
      <c r="C238" s="97" t="s">
        <v>141</v>
      </c>
      <c r="D238" s="115">
        <v>44772.0</v>
      </c>
      <c r="E238" s="116"/>
      <c r="F238" s="117" t="s">
        <v>633</v>
      </c>
      <c r="G238" s="98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8.0" customHeight="1">
      <c r="A239" s="98">
        <v>87.0</v>
      </c>
      <c r="B239" s="108" t="s">
        <v>634</v>
      </c>
      <c r="C239" s="97" t="s">
        <v>141</v>
      </c>
      <c r="D239" s="115">
        <v>44790.0</v>
      </c>
      <c r="E239" s="116"/>
      <c r="F239" s="117" t="s">
        <v>564</v>
      </c>
      <c r="G239" s="98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8.0" customHeight="1">
      <c r="A240" s="98">
        <v>88.0</v>
      </c>
      <c r="B240" s="108" t="s">
        <v>635</v>
      </c>
      <c r="C240" s="97" t="s">
        <v>141</v>
      </c>
      <c r="D240" s="115">
        <v>44804.0</v>
      </c>
      <c r="E240" s="116"/>
      <c r="F240" s="117" t="s">
        <v>636</v>
      </c>
      <c r="G240" s="98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8.0" customHeight="1">
      <c r="A241" s="98">
        <v>89.0</v>
      </c>
      <c r="B241" s="108" t="s">
        <v>637</v>
      </c>
      <c r="C241" s="97" t="s">
        <v>142</v>
      </c>
      <c r="D241" s="115">
        <v>44806.0</v>
      </c>
      <c r="E241" s="116"/>
      <c r="F241" s="117" t="s">
        <v>638</v>
      </c>
      <c r="G241" s="98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8.0" customHeight="1">
      <c r="A242" s="98">
        <v>90.0</v>
      </c>
      <c r="B242" s="108" t="s">
        <v>639</v>
      </c>
      <c r="C242" s="97" t="s">
        <v>141</v>
      </c>
      <c r="D242" s="115">
        <v>44825.0</v>
      </c>
      <c r="E242" s="116"/>
      <c r="F242" s="117" t="s">
        <v>640</v>
      </c>
      <c r="G242" s="98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8.0" customHeight="1">
      <c r="A243" s="98">
        <v>91.0</v>
      </c>
      <c r="B243" s="108" t="s">
        <v>641</v>
      </c>
      <c r="C243" s="97" t="s">
        <v>141</v>
      </c>
      <c r="D243" s="115">
        <v>44827.0</v>
      </c>
      <c r="E243" s="117" t="s">
        <v>642</v>
      </c>
      <c r="F243" s="109"/>
      <c r="G243" s="98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8.0" customHeight="1">
      <c r="A244" s="98">
        <v>92.0</v>
      </c>
      <c r="B244" s="108" t="s">
        <v>643</v>
      </c>
      <c r="C244" s="97" t="s">
        <v>141</v>
      </c>
      <c r="D244" s="115">
        <v>44831.0</v>
      </c>
      <c r="E244" s="117" t="s">
        <v>644</v>
      </c>
      <c r="F244" s="109"/>
      <c r="G244" s="98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8.0" customHeight="1">
      <c r="A245" s="98">
        <v>93.0</v>
      </c>
      <c r="B245" s="108" t="s">
        <v>645</v>
      </c>
      <c r="C245" s="97" t="s">
        <v>141</v>
      </c>
      <c r="D245" s="115">
        <v>44836.0</v>
      </c>
      <c r="E245" s="117" t="s">
        <v>646</v>
      </c>
      <c r="F245" s="109"/>
      <c r="G245" s="98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8.0" customHeight="1">
      <c r="A246" s="98">
        <v>94.0</v>
      </c>
      <c r="B246" s="108" t="s">
        <v>647</v>
      </c>
      <c r="C246" s="97" t="s">
        <v>141</v>
      </c>
      <c r="D246" s="115">
        <v>44896.0</v>
      </c>
      <c r="E246" s="117" t="s">
        <v>383</v>
      </c>
      <c r="F246" s="109"/>
      <c r="G246" s="98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8.0" customHeight="1">
      <c r="A247" s="98">
        <v>95.0</v>
      </c>
      <c r="B247" s="108" t="s">
        <v>648</v>
      </c>
      <c r="C247" s="97" t="s">
        <v>142</v>
      </c>
      <c r="D247" s="115">
        <v>44897.0</v>
      </c>
      <c r="E247" s="118" t="s">
        <v>649</v>
      </c>
      <c r="F247" s="117" t="s">
        <v>650</v>
      </c>
      <c r="G247" s="98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8.0" customHeight="1">
      <c r="A248" s="98">
        <v>96.0</v>
      </c>
      <c r="B248" s="108" t="s">
        <v>651</v>
      </c>
      <c r="C248" s="97" t="s">
        <v>142</v>
      </c>
      <c r="D248" s="115">
        <v>44897.0</v>
      </c>
      <c r="E248" s="117" t="s">
        <v>652</v>
      </c>
      <c r="F248" s="98" t="s">
        <v>344</v>
      </c>
      <c r="G248" s="98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8.0" customHeight="1">
      <c r="A249" s="98">
        <v>97.0</v>
      </c>
      <c r="B249" s="108" t="s">
        <v>653</v>
      </c>
      <c r="C249" s="97" t="s">
        <v>141</v>
      </c>
      <c r="D249" s="115">
        <v>44912.0</v>
      </c>
      <c r="E249" s="116"/>
      <c r="F249" s="117" t="s">
        <v>654</v>
      </c>
      <c r="G249" s="98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8.0" customHeight="1">
      <c r="A250" s="98">
        <v>98.0</v>
      </c>
      <c r="B250" s="108" t="s">
        <v>655</v>
      </c>
      <c r="C250" s="97" t="s">
        <v>142</v>
      </c>
      <c r="D250" s="115">
        <v>44930.0</v>
      </c>
      <c r="E250" s="116"/>
      <c r="F250" s="117" t="s">
        <v>656</v>
      </c>
      <c r="G250" s="98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8.0" customHeight="1">
      <c r="A251" s="98">
        <v>99.0</v>
      </c>
      <c r="B251" s="108" t="s">
        <v>657</v>
      </c>
      <c r="C251" s="97" t="s">
        <v>142</v>
      </c>
      <c r="D251" s="115">
        <v>44941.0</v>
      </c>
      <c r="E251" s="116"/>
      <c r="F251" s="117" t="s">
        <v>658</v>
      </c>
      <c r="G251" s="98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8.0" customHeight="1">
      <c r="A252" s="98">
        <v>100.0</v>
      </c>
      <c r="B252" s="108" t="s">
        <v>659</v>
      </c>
      <c r="C252" s="97" t="s">
        <v>142</v>
      </c>
      <c r="D252" s="115">
        <v>44945.0</v>
      </c>
      <c r="E252" s="116"/>
      <c r="F252" s="117" t="s">
        <v>300</v>
      </c>
      <c r="G252" s="98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8.0" customHeight="1">
      <c r="A253" s="98">
        <v>101.0</v>
      </c>
      <c r="B253" s="108" t="s">
        <v>660</v>
      </c>
      <c r="C253" s="97" t="s">
        <v>141</v>
      </c>
      <c r="D253" s="115">
        <v>44958.0</v>
      </c>
      <c r="E253" s="116"/>
      <c r="F253" s="117" t="s">
        <v>661</v>
      </c>
      <c r="G253" s="98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8.0" customHeight="1">
      <c r="A254" s="98">
        <v>102.0</v>
      </c>
      <c r="B254" s="108" t="s">
        <v>662</v>
      </c>
      <c r="C254" s="97" t="s">
        <v>142</v>
      </c>
      <c r="D254" s="115">
        <v>44971.0</v>
      </c>
      <c r="E254" s="116"/>
      <c r="F254" s="117" t="s">
        <v>663</v>
      </c>
      <c r="G254" s="98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8.0" customHeight="1">
      <c r="A255" s="98">
        <v>103.0</v>
      </c>
      <c r="B255" s="108" t="s">
        <v>664</v>
      </c>
      <c r="C255" s="97" t="s">
        <v>141</v>
      </c>
      <c r="D255" s="115">
        <v>44975.0</v>
      </c>
      <c r="E255" s="116"/>
      <c r="F255" s="117" t="s">
        <v>665</v>
      </c>
      <c r="G255" s="98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8.0" customHeight="1">
      <c r="A256" s="98">
        <v>104.0</v>
      </c>
      <c r="B256" s="108" t="s">
        <v>666</v>
      </c>
      <c r="C256" s="97" t="s">
        <v>142</v>
      </c>
      <c r="D256" s="115">
        <v>44975.0</v>
      </c>
      <c r="E256" s="116"/>
      <c r="F256" s="117" t="s">
        <v>667</v>
      </c>
      <c r="G256" s="98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8.0" customHeight="1">
      <c r="A257" s="98">
        <v>105.0</v>
      </c>
      <c r="B257" s="108" t="s">
        <v>668</v>
      </c>
      <c r="C257" s="97" t="s">
        <v>141</v>
      </c>
      <c r="D257" s="115">
        <v>44994.0</v>
      </c>
      <c r="E257" s="117" t="s">
        <v>669</v>
      </c>
      <c r="F257" s="98" t="s">
        <v>670</v>
      </c>
      <c r="G257" s="98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8.0" customHeight="1">
      <c r="A258" s="98">
        <v>106.0</v>
      </c>
      <c r="B258" s="108" t="s">
        <v>671</v>
      </c>
      <c r="C258" s="97" t="s">
        <v>141</v>
      </c>
      <c r="D258" s="115">
        <v>44996.0</v>
      </c>
      <c r="E258" s="117" t="s">
        <v>672</v>
      </c>
      <c r="F258" s="98" t="s">
        <v>511</v>
      </c>
      <c r="G258" s="98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8.0" customHeight="1">
      <c r="A259" s="98">
        <v>107.0</v>
      </c>
      <c r="B259" s="108" t="s">
        <v>673</v>
      </c>
      <c r="C259" s="97" t="s">
        <v>142</v>
      </c>
      <c r="D259" s="115">
        <v>45000.0</v>
      </c>
      <c r="E259" s="117" t="s">
        <v>674</v>
      </c>
      <c r="F259" s="98" t="s">
        <v>541</v>
      </c>
      <c r="G259" s="98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8.0" customHeight="1">
      <c r="A260" s="98">
        <v>108.0</v>
      </c>
      <c r="B260" s="108" t="s">
        <v>675</v>
      </c>
      <c r="C260" s="97" t="s">
        <v>141</v>
      </c>
      <c r="D260" s="115">
        <v>45006.0</v>
      </c>
      <c r="E260" s="117" t="s">
        <v>676</v>
      </c>
      <c r="F260" s="98" t="s">
        <v>677</v>
      </c>
      <c r="G260" s="98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8.0" customHeight="1">
      <c r="A261" s="98">
        <v>109.0</v>
      </c>
      <c r="B261" s="108" t="s">
        <v>678</v>
      </c>
      <c r="C261" s="97" t="s">
        <v>142</v>
      </c>
      <c r="D261" s="115">
        <v>45029.0</v>
      </c>
      <c r="E261" s="117" t="s">
        <v>679</v>
      </c>
      <c r="F261" s="98" t="s">
        <v>680</v>
      </c>
      <c r="G261" s="98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8.0" customHeight="1">
      <c r="A262" s="98">
        <v>110.0</v>
      </c>
      <c r="B262" s="108" t="s">
        <v>681</v>
      </c>
      <c r="C262" s="97" t="s">
        <v>141</v>
      </c>
      <c r="D262" s="115">
        <v>45052.0</v>
      </c>
      <c r="E262" s="117" t="s">
        <v>682</v>
      </c>
      <c r="F262" s="98" t="s">
        <v>683</v>
      </c>
      <c r="G262" s="98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8.0" customHeight="1">
      <c r="A263" s="98">
        <v>111.0</v>
      </c>
      <c r="B263" s="108" t="s">
        <v>684</v>
      </c>
      <c r="C263" s="97" t="s">
        <v>141</v>
      </c>
      <c r="D263" s="115">
        <v>45057.0</v>
      </c>
      <c r="E263" s="117" t="s">
        <v>685</v>
      </c>
      <c r="F263" s="98" t="s">
        <v>686</v>
      </c>
      <c r="G263" s="98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8.0" customHeight="1">
      <c r="A264" s="98">
        <v>112.0</v>
      </c>
      <c r="B264" s="108" t="s">
        <v>687</v>
      </c>
      <c r="C264" s="97" t="s">
        <v>141</v>
      </c>
      <c r="D264" s="115">
        <v>45059.0</v>
      </c>
      <c r="E264" s="117" t="s">
        <v>688</v>
      </c>
      <c r="F264" s="98" t="s">
        <v>474</v>
      </c>
      <c r="G264" s="98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8.0" customHeight="1">
      <c r="A265" s="98">
        <v>113.0</v>
      </c>
      <c r="B265" s="108" t="s">
        <v>689</v>
      </c>
      <c r="C265" s="97" t="s">
        <v>141</v>
      </c>
      <c r="D265" s="115">
        <v>45073.0</v>
      </c>
      <c r="E265" s="117" t="s">
        <v>690</v>
      </c>
      <c r="F265" s="98" t="s">
        <v>691</v>
      </c>
      <c r="G265" s="98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8.0" customHeight="1">
      <c r="A266" s="98">
        <v>114.0</v>
      </c>
      <c r="B266" s="108" t="s">
        <v>692</v>
      </c>
      <c r="C266" s="97" t="s">
        <v>141</v>
      </c>
      <c r="D266" s="115">
        <v>45086.0</v>
      </c>
      <c r="E266" s="117" t="s">
        <v>693</v>
      </c>
      <c r="F266" s="98" t="s">
        <v>694</v>
      </c>
      <c r="G266" s="98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8.0" customHeight="1">
      <c r="A267" s="98">
        <v>115.0</v>
      </c>
      <c r="B267" s="108" t="s">
        <v>695</v>
      </c>
      <c r="C267" s="97" t="s">
        <v>141</v>
      </c>
      <c r="D267" s="115">
        <v>45090.0</v>
      </c>
      <c r="E267" s="117" t="s">
        <v>696</v>
      </c>
      <c r="F267" s="98" t="s">
        <v>697</v>
      </c>
      <c r="G267" s="98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8.0" customHeight="1">
      <c r="A268" s="98">
        <v>116.0</v>
      </c>
      <c r="B268" s="108" t="s">
        <v>698</v>
      </c>
      <c r="C268" s="97" t="s">
        <v>142</v>
      </c>
      <c r="D268" s="115">
        <v>45106.0</v>
      </c>
      <c r="E268" s="117" t="s">
        <v>699</v>
      </c>
      <c r="F268" s="98" t="s">
        <v>700</v>
      </c>
      <c r="G268" s="98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8.0" customHeight="1">
      <c r="A269" s="98">
        <v>117.0</v>
      </c>
      <c r="B269" s="108" t="s">
        <v>701</v>
      </c>
      <c r="C269" s="97" t="s">
        <v>141</v>
      </c>
      <c r="D269" s="115">
        <v>45108.0</v>
      </c>
      <c r="E269" s="117" t="s">
        <v>702</v>
      </c>
      <c r="F269" s="98" t="s">
        <v>703</v>
      </c>
      <c r="G269" s="98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8.0" customHeight="1">
      <c r="A270" s="98">
        <v>118.0</v>
      </c>
      <c r="B270" s="108" t="s">
        <v>704</v>
      </c>
      <c r="C270" s="97" t="s">
        <v>142</v>
      </c>
      <c r="D270" s="115">
        <v>45135.0</v>
      </c>
      <c r="E270" s="117" t="s">
        <v>705</v>
      </c>
      <c r="F270" s="98" t="s">
        <v>345</v>
      </c>
      <c r="G270" s="98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8.0" customHeight="1">
      <c r="A271" s="98">
        <v>119.0</v>
      </c>
      <c r="B271" s="108" t="s">
        <v>706</v>
      </c>
      <c r="C271" s="97" t="s">
        <v>141</v>
      </c>
      <c r="D271" s="115">
        <v>45135.0</v>
      </c>
      <c r="E271" s="116"/>
      <c r="F271" s="117" t="s">
        <v>707</v>
      </c>
      <c r="G271" s="98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8.0" customHeight="1">
      <c r="A272" s="98">
        <v>120.0</v>
      </c>
      <c r="B272" s="108" t="s">
        <v>708</v>
      </c>
      <c r="C272" s="97" t="s">
        <v>141</v>
      </c>
      <c r="D272" s="115">
        <v>45161.0</v>
      </c>
      <c r="E272" s="117" t="s">
        <v>709</v>
      </c>
      <c r="F272" s="109"/>
      <c r="G272" s="98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8.0" customHeight="1">
      <c r="A273" s="98">
        <v>121.0</v>
      </c>
      <c r="B273" s="108" t="s">
        <v>710</v>
      </c>
      <c r="C273" s="97" t="s">
        <v>141</v>
      </c>
      <c r="D273" s="115">
        <v>45164.0</v>
      </c>
      <c r="E273" s="117" t="s">
        <v>711</v>
      </c>
      <c r="F273" s="98" t="s">
        <v>562</v>
      </c>
      <c r="G273" s="98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8.0" customHeight="1">
      <c r="A274" s="98">
        <v>122.0</v>
      </c>
      <c r="B274" s="108" t="s">
        <v>712</v>
      </c>
      <c r="C274" s="97" t="s">
        <v>142</v>
      </c>
      <c r="D274" s="115">
        <v>45175.0</v>
      </c>
      <c r="E274" s="117" t="s">
        <v>713</v>
      </c>
      <c r="F274" s="98" t="s">
        <v>714</v>
      </c>
      <c r="G274" s="98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8.0" customHeight="1">
      <c r="A275" s="98">
        <v>123.0</v>
      </c>
      <c r="B275" s="108" t="s">
        <v>715</v>
      </c>
      <c r="C275" s="97" t="s">
        <v>142</v>
      </c>
      <c r="D275" s="115">
        <v>45189.0</v>
      </c>
      <c r="E275" s="117" t="s">
        <v>716</v>
      </c>
      <c r="F275" s="98" t="s">
        <v>717</v>
      </c>
      <c r="G275" s="98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8.0" customHeight="1">
      <c r="A276" s="98">
        <v>124.0</v>
      </c>
      <c r="B276" s="108" t="s">
        <v>718</v>
      </c>
      <c r="C276" s="97" t="s">
        <v>142</v>
      </c>
      <c r="D276" s="115">
        <v>45193.0</v>
      </c>
      <c r="E276" s="117" t="s">
        <v>719</v>
      </c>
      <c r="F276" s="98" t="s">
        <v>490</v>
      </c>
      <c r="G276" s="98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8.0" customHeight="1">
      <c r="A277" s="98">
        <v>125.0</v>
      </c>
      <c r="B277" s="108" t="s">
        <v>720</v>
      </c>
      <c r="C277" s="97" t="s">
        <v>142</v>
      </c>
      <c r="D277" s="115">
        <v>45229.0</v>
      </c>
      <c r="E277" s="117" t="s">
        <v>721</v>
      </c>
      <c r="F277" s="98" t="s">
        <v>722</v>
      </c>
      <c r="G277" s="98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8.0" customHeight="1">
      <c r="A278" s="98">
        <v>126.0</v>
      </c>
      <c r="B278" s="108" t="s">
        <v>723</v>
      </c>
      <c r="C278" s="97" t="s">
        <v>141</v>
      </c>
      <c r="D278" s="115">
        <v>45252.0</v>
      </c>
      <c r="E278" s="117" t="s">
        <v>724</v>
      </c>
      <c r="F278" s="98" t="s">
        <v>725</v>
      </c>
      <c r="G278" s="98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8.0" customHeight="1">
      <c r="A279" s="98">
        <v>127.0</v>
      </c>
      <c r="B279" s="108" t="s">
        <v>726</v>
      </c>
      <c r="C279" s="97" t="s">
        <v>142</v>
      </c>
      <c r="D279" s="115">
        <v>45265.0</v>
      </c>
      <c r="E279" s="117" t="s">
        <v>727</v>
      </c>
      <c r="F279" s="98" t="s">
        <v>562</v>
      </c>
      <c r="G279" s="98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8.0" customHeight="1">
      <c r="A280" s="98">
        <v>128.0</v>
      </c>
      <c r="B280" s="108" t="s">
        <v>728</v>
      </c>
      <c r="C280" s="97" t="s">
        <v>141</v>
      </c>
      <c r="D280" s="115">
        <v>45285.0</v>
      </c>
      <c r="E280" s="117" t="s">
        <v>729</v>
      </c>
      <c r="F280" s="98" t="s">
        <v>730</v>
      </c>
      <c r="G280" s="98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8.0" customHeight="1">
      <c r="A281" s="98">
        <v>129.0</v>
      </c>
      <c r="B281" s="108" t="s">
        <v>731</v>
      </c>
      <c r="C281" s="97" t="s">
        <v>142</v>
      </c>
      <c r="D281" s="115">
        <v>45288.0</v>
      </c>
      <c r="E281" s="117" t="s">
        <v>732</v>
      </c>
      <c r="F281" s="98" t="s">
        <v>714</v>
      </c>
      <c r="G281" s="98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8.0" customHeight="1">
      <c r="A282" s="98">
        <v>130.0</v>
      </c>
      <c r="B282" s="108" t="s">
        <v>325</v>
      </c>
      <c r="C282" s="97" t="s">
        <v>142</v>
      </c>
      <c r="D282" s="115">
        <v>45293.0</v>
      </c>
      <c r="E282" s="117" t="s">
        <v>733</v>
      </c>
      <c r="F282" s="98" t="s">
        <v>734</v>
      </c>
      <c r="G282" s="98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8.0" customHeight="1">
      <c r="A283" s="98">
        <v>131.0</v>
      </c>
      <c r="B283" s="108" t="s">
        <v>328</v>
      </c>
      <c r="C283" s="97" t="s">
        <v>141</v>
      </c>
      <c r="D283" s="115">
        <v>45297.0</v>
      </c>
      <c r="E283" s="117" t="s">
        <v>326</v>
      </c>
      <c r="F283" s="98" t="s">
        <v>327</v>
      </c>
      <c r="G283" s="98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8.0" customHeight="1">
      <c r="A284" s="98">
        <v>132.0</v>
      </c>
      <c r="B284" s="108" t="s">
        <v>331</v>
      </c>
      <c r="C284" s="97" t="s">
        <v>141</v>
      </c>
      <c r="D284" s="115">
        <v>45298.0</v>
      </c>
      <c r="E284" s="117" t="s">
        <v>329</v>
      </c>
      <c r="F284" s="98" t="s">
        <v>330</v>
      </c>
      <c r="G284" s="98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8.0" customHeight="1">
      <c r="A285" s="98">
        <v>133.0</v>
      </c>
      <c r="B285" s="108" t="s">
        <v>334</v>
      </c>
      <c r="C285" s="97" t="s">
        <v>142</v>
      </c>
      <c r="D285" s="115">
        <v>45303.0</v>
      </c>
      <c r="E285" s="117" t="s">
        <v>735</v>
      </c>
      <c r="F285" s="98" t="s">
        <v>333</v>
      </c>
      <c r="G285" s="98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8.0" customHeight="1">
      <c r="A286" s="98">
        <v>134.0</v>
      </c>
      <c r="B286" s="108" t="s">
        <v>337</v>
      </c>
      <c r="C286" s="97" t="s">
        <v>142</v>
      </c>
      <c r="D286" s="115">
        <v>45315.0</v>
      </c>
      <c r="E286" s="117" t="s">
        <v>736</v>
      </c>
      <c r="F286" s="98" t="s">
        <v>336</v>
      </c>
      <c r="G286" s="98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8.0" customHeight="1">
      <c r="A287" s="98">
        <v>135.0</v>
      </c>
      <c r="B287" s="108" t="s">
        <v>340</v>
      </c>
      <c r="C287" s="97" t="s">
        <v>141</v>
      </c>
      <c r="D287" s="115">
        <v>45331.0</v>
      </c>
      <c r="E287" s="117" t="s">
        <v>737</v>
      </c>
      <c r="F287" s="98" t="s">
        <v>339</v>
      </c>
      <c r="G287" s="98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8.0" customHeight="1">
      <c r="A288" s="98">
        <v>136.0</v>
      </c>
      <c r="B288" s="108" t="s">
        <v>343</v>
      </c>
      <c r="C288" s="97" t="s">
        <v>141</v>
      </c>
      <c r="D288" s="115">
        <v>45335.0</v>
      </c>
      <c r="E288" s="117" t="s">
        <v>738</v>
      </c>
      <c r="F288" s="98" t="s">
        <v>739</v>
      </c>
      <c r="G288" s="98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8.0" customHeight="1">
      <c r="A289" s="98">
        <v>137.0</v>
      </c>
      <c r="B289" s="108" t="s">
        <v>346</v>
      </c>
      <c r="C289" s="97" t="s">
        <v>141</v>
      </c>
      <c r="D289" s="115">
        <v>45337.0</v>
      </c>
      <c r="E289" s="117" t="s">
        <v>740</v>
      </c>
      <c r="F289" s="98" t="s">
        <v>345</v>
      </c>
      <c r="G289" s="98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8.0" customHeight="1">
      <c r="A290" s="98">
        <v>138.0</v>
      </c>
      <c r="B290" s="108" t="s">
        <v>349</v>
      </c>
      <c r="C290" s="97" t="s">
        <v>142</v>
      </c>
      <c r="D290" s="115">
        <v>45364.0</v>
      </c>
      <c r="E290" s="117" t="s">
        <v>348</v>
      </c>
      <c r="F290" s="109"/>
      <c r="G290" s="98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8.0" customHeight="1">
      <c r="A291" s="98">
        <v>139.0</v>
      </c>
      <c r="B291" s="108" t="s">
        <v>352</v>
      </c>
      <c r="C291" s="97" t="s">
        <v>141</v>
      </c>
      <c r="D291" s="115">
        <v>45373.0</v>
      </c>
      <c r="E291" s="117" t="s">
        <v>741</v>
      </c>
      <c r="F291" s="98" t="s">
        <v>351</v>
      </c>
      <c r="G291" s="98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8.0" customHeight="1">
      <c r="A292" s="98">
        <v>140.0</v>
      </c>
      <c r="B292" s="108" t="s">
        <v>355</v>
      </c>
      <c r="C292" s="97" t="s">
        <v>141</v>
      </c>
      <c r="D292" s="115">
        <v>45374.0</v>
      </c>
      <c r="E292" s="117" t="s">
        <v>742</v>
      </c>
      <c r="F292" s="98" t="s">
        <v>354</v>
      </c>
      <c r="G292" s="98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8.0" customHeight="1">
      <c r="A293" s="98">
        <v>141.0</v>
      </c>
      <c r="B293" s="108" t="s">
        <v>358</v>
      </c>
      <c r="C293" s="97" t="s">
        <v>142</v>
      </c>
      <c r="D293" s="115">
        <v>45376.0</v>
      </c>
      <c r="E293" s="117" t="s">
        <v>743</v>
      </c>
      <c r="F293" s="98" t="s">
        <v>357</v>
      </c>
      <c r="G293" s="98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8.0" customHeight="1">
      <c r="A294" s="98">
        <v>142.0</v>
      </c>
      <c r="B294" s="108" t="s">
        <v>361</v>
      </c>
      <c r="C294" s="97" t="s">
        <v>141</v>
      </c>
      <c r="D294" s="115">
        <v>45377.0</v>
      </c>
      <c r="E294" s="117" t="s">
        <v>359</v>
      </c>
      <c r="F294" s="109"/>
      <c r="G294" s="98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8.0" customHeight="1">
      <c r="A295" s="98">
        <v>143.0</v>
      </c>
      <c r="B295" s="108" t="s">
        <v>364</v>
      </c>
      <c r="C295" s="97" t="s">
        <v>141</v>
      </c>
      <c r="D295" s="115">
        <v>45379.0</v>
      </c>
      <c r="E295" s="117" t="s">
        <v>362</v>
      </c>
      <c r="F295" s="109"/>
      <c r="G295" s="98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8.0" customHeight="1">
      <c r="A296" s="98">
        <v>144.0</v>
      </c>
      <c r="B296" s="108" t="s">
        <v>744</v>
      </c>
      <c r="C296" s="97" t="s">
        <v>141</v>
      </c>
      <c r="D296" s="115">
        <v>45399.0</v>
      </c>
      <c r="E296" s="117" t="s">
        <v>745</v>
      </c>
      <c r="F296" s="109"/>
      <c r="G296" s="98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8.0" customHeight="1">
      <c r="A297" s="98">
        <v>145.0</v>
      </c>
      <c r="B297" s="108" t="s">
        <v>366</v>
      </c>
      <c r="C297" s="97" t="s">
        <v>141</v>
      </c>
      <c r="D297" s="115">
        <v>45402.0</v>
      </c>
      <c r="E297" s="117" t="s">
        <v>365</v>
      </c>
      <c r="F297" s="109"/>
      <c r="G297" s="98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8.0" customHeight="1">
      <c r="A298" s="98">
        <v>146.0</v>
      </c>
      <c r="B298" s="108" t="s">
        <v>368</v>
      </c>
      <c r="C298" s="97" t="s">
        <v>141</v>
      </c>
      <c r="D298" s="115">
        <v>45408.0</v>
      </c>
      <c r="E298" s="117" t="s">
        <v>367</v>
      </c>
      <c r="F298" s="109"/>
      <c r="G298" s="98"/>
      <c r="H298" s="109"/>
      <c r="I298" s="109"/>
      <c r="J298" s="109"/>
      <c r="K298" s="110"/>
      <c r="L298" s="110"/>
      <c r="M298" s="110"/>
      <c r="N298" s="110"/>
      <c r="O298" s="110"/>
      <c r="P298" s="110"/>
      <c r="Q298" s="110"/>
      <c r="R298" s="110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8.0" customHeight="1">
      <c r="A299" s="98">
        <v>147.0</v>
      </c>
      <c r="B299" s="108" t="s">
        <v>370</v>
      </c>
      <c r="C299" s="97" t="s">
        <v>141</v>
      </c>
      <c r="D299" s="115">
        <v>45408.0</v>
      </c>
      <c r="E299" s="117" t="s">
        <v>369</v>
      </c>
      <c r="F299" s="109"/>
      <c r="G299" s="98"/>
      <c r="H299" s="109"/>
      <c r="I299" s="109"/>
      <c r="J299" s="109"/>
      <c r="K299" s="110"/>
      <c r="L299" s="110"/>
      <c r="M299" s="110"/>
      <c r="N299" s="110"/>
      <c r="O299" s="110"/>
      <c r="P299" s="110"/>
      <c r="Q299" s="110"/>
      <c r="R299" s="110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8.0" customHeight="1">
      <c r="A300" s="98">
        <v>148.0</v>
      </c>
      <c r="B300" s="108" t="s">
        <v>372</v>
      </c>
      <c r="C300" s="97" t="s">
        <v>141</v>
      </c>
      <c r="D300" s="115">
        <v>45410.0</v>
      </c>
      <c r="E300" s="117" t="s">
        <v>371</v>
      </c>
      <c r="F300" s="109"/>
      <c r="G300" s="98"/>
      <c r="H300" s="109"/>
      <c r="I300" s="109"/>
      <c r="J300" s="109"/>
      <c r="K300" s="110"/>
      <c r="L300" s="110"/>
      <c r="M300" s="110"/>
      <c r="N300" s="110"/>
      <c r="O300" s="110"/>
      <c r="P300" s="110"/>
      <c r="Q300" s="110"/>
      <c r="R300" s="110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8.0" customHeight="1">
      <c r="A301" s="98">
        <v>149.0</v>
      </c>
      <c r="B301" s="108" t="s">
        <v>374</v>
      </c>
      <c r="C301" s="97" t="s">
        <v>141</v>
      </c>
      <c r="D301" s="115">
        <v>45414.0</v>
      </c>
      <c r="E301" s="117" t="s">
        <v>373</v>
      </c>
      <c r="F301" s="109"/>
      <c r="G301" s="98"/>
      <c r="H301" s="109"/>
      <c r="I301" s="109"/>
      <c r="J301" s="109"/>
      <c r="K301" s="110"/>
      <c r="L301" s="110"/>
      <c r="M301" s="110"/>
      <c r="N301" s="110"/>
      <c r="O301" s="110"/>
      <c r="P301" s="110"/>
      <c r="Q301" s="110"/>
      <c r="R301" s="110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8.0" customHeight="1">
      <c r="A302" s="98">
        <v>150.0</v>
      </c>
      <c r="B302" s="108" t="s">
        <v>376</v>
      </c>
      <c r="C302" s="97" t="s">
        <v>141</v>
      </c>
      <c r="D302" s="115">
        <v>45428.0</v>
      </c>
      <c r="E302" s="117" t="s">
        <v>375</v>
      </c>
      <c r="F302" s="109"/>
      <c r="G302" s="98"/>
      <c r="H302" s="109"/>
      <c r="I302" s="109"/>
      <c r="J302" s="109"/>
      <c r="K302" s="110"/>
      <c r="L302" s="110"/>
      <c r="M302" s="110"/>
      <c r="N302" s="110"/>
      <c r="O302" s="110"/>
      <c r="P302" s="110"/>
      <c r="Q302" s="110"/>
      <c r="R302" s="110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8.0" customHeight="1">
      <c r="A303" s="98">
        <v>151.0</v>
      </c>
      <c r="B303" s="108" t="s">
        <v>379</v>
      </c>
      <c r="C303" s="97" t="s">
        <v>141</v>
      </c>
      <c r="D303" s="115">
        <v>45444.0</v>
      </c>
      <c r="E303" s="117" t="s">
        <v>746</v>
      </c>
      <c r="F303" s="98" t="s">
        <v>378</v>
      </c>
      <c r="G303" s="98"/>
      <c r="H303" s="109"/>
      <c r="I303" s="109"/>
      <c r="J303" s="109"/>
      <c r="K303" s="110"/>
      <c r="L303" s="110"/>
      <c r="M303" s="110"/>
      <c r="N303" s="110"/>
      <c r="O303" s="110"/>
      <c r="P303" s="110"/>
      <c r="Q303" s="110"/>
      <c r="R303" s="110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8.0" customHeight="1">
      <c r="A304" s="98">
        <v>152.0</v>
      </c>
      <c r="B304" s="108" t="s">
        <v>382</v>
      </c>
      <c r="C304" s="97" t="s">
        <v>141</v>
      </c>
      <c r="D304" s="115">
        <v>45468.0</v>
      </c>
      <c r="E304" s="117" t="s">
        <v>747</v>
      </c>
      <c r="F304" s="109"/>
      <c r="G304" s="98"/>
      <c r="H304" s="109"/>
      <c r="I304" s="109"/>
      <c r="J304" s="109"/>
      <c r="K304" s="110"/>
      <c r="L304" s="110"/>
      <c r="M304" s="110"/>
      <c r="N304" s="110"/>
      <c r="O304" s="110"/>
      <c r="P304" s="110"/>
      <c r="Q304" s="110"/>
      <c r="R304" s="110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8.0" customHeight="1">
      <c r="A305" s="98">
        <v>153.0</v>
      </c>
      <c r="B305" s="108" t="s">
        <v>385</v>
      </c>
      <c r="C305" s="97" t="s">
        <v>141</v>
      </c>
      <c r="D305" s="115">
        <v>45474.0</v>
      </c>
      <c r="E305" s="117" t="s">
        <v>748</v>
      </c>
      <c r="F305" s="109"/>
      <c r="G305" s="98"/>
      <c r="H305" s="109"/>
      <c r="I305" s="109"/>
      <c r="J305" s="109"/>
      <c r="K305" s="110"/>
      <c r="L305" s="110"/>
      <c r="M305" s="110"/>
      <c r="N305" s="110"/>
      <c r="O305" s="110"/>
      <c r="P305" s="110"/>
      <c r="Q305" s="110"/>
      <c r="R305" s="110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8.0" customHeight="1">
      <c r="A306" s="98">
        <v>154.0</v>
      </c>
      <c r="B306" s="108" t="s">
        <v>388</v>
      </c>
      <c r="C306" s="97" t="s">
        <v>142</v>
      </c>
      <c r="D306" s="115">
        <v>45474.0</v>
      </c>
      <c r="E306" s="117" t="s">
        <v>749</v>
      </c>
      <c r="F306" s="109"/>
      <c r="G306" s="98"/>
      <c r="H306" s="109"/>
      <c r="I306" s="109"/>
      <c r="J306" s="109"/>
      <c r="K306" s="110"/>
      <c r="L306" s="110"/>
      <c r="M306" s="110"/>
      <c r="N306" s="110"/>
      <c r="O306" s="110"/>
      <c r="P306" s="110"/>
      <c r="Q306" s="110"/>
      <c r="R306" s="110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8.0" customHeight="1">
      <c r="A307" s="98">
        <v>155.0</v>
      </c>
      <c r="B307" s="108" t="s">
        <v>390</v>
      </c>
      <c r="C307" s="97" t="s">
        <v>142</v>
      </c>
      <c r="D307" s="115">
        <v>45483.0</v>
      </c>
      <c r="E307" s="117" t="s">
        <v>389</v>
      </c>
      <c r="F307" s="109"/>
      <c r="G307" s="98"/>
      <c r="H307" s="109"/>
      <c r="I307" s="109"/>
      <c r="J307" s="109"/>
      <c r="K307" s="110"/>
      <c r="L307" s="110"/>
      <c r="M307" s="110"/>
      <c r="N307" s="110"/>
      <c r="O307" s="110"/>
      <c r="P307" s="110"/>
      <c r="Q307" s="110"/>
      <c r="R307" s="110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8.0" customHeight="1">
      <c r="A308" s="98">
        <v>156.0</v>
      </c>
      <c r="B308" s="108" t="s">
        <v>393</v>
      </c>
      <c r="C308" s="97" t="s">
        <v>142</v>
      </c>
      <c r="D308" s="115">
        <v>45497.0</v>
      </c>
      <c r="E308" s="117" t="s">
        <v>750</v>
      </c>
      <c r="F308" s="109"/>
      <c r="G308" s="98"/>
      <c r="H308" s="109"/>
      <c r="I308" s="109"/>
      <c r="J308" s="109"/>
      <c r="K308" s="110"/>
      <c r="L308" s="110"/>
      <c r="M308" s="110"/>
      <c r="N308" s="110"/>
      <c r="O308" s="110"/>
      <c r="P308" s="110"/>
      <c r="Q308" s="110"/>
      <c r="R308" s="110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8.0" customHeight="1">
      <c r="A309" s="98">
        <v>157.0</v>
      </c>
      <c r="B309" s="108" t="s">
        <v>395</v>
      </c>
      <c r="C309" s="97" t="s">
        <v>141</v>
      </c>
      <c r="D309" s="115">
        <v>45505.0</v>
      </c>
      <c r="E309" s="117" t="s">
        <v>394</v>
      </c>
      <c r="F309" s="109"/>
      <c r="G309" s="98"/>
      <c r="H309" s="109"/>
      <c r="I309" s="109"/>
      <c r="J309" s="109"/>
      <c r="K309" s="110"/>
      <c r="L309" s="110"/>
      <c r="M309" s="110"/>
      <c r="N309" s="110"/>
      <c r="O309" s="110"/>
      <c r="P309" s="110"/>
      <c r="Q309" s="110"/>
      <c r="R309" s="110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8.0" customHeight="1">
      <c r="A310" s="98">
        <v>158.0</v>
      </c>
      <c r="B310" s="108" t="s">
        <v>398</v>
      </c>
      <c r="C310" s="97" t="s">
        <v>141</v>
      </c>
      <c r="D310" s="115">
        <v>45512.0</v>
      </c>
      <c r="E310" s="117" t="s">
        <v>751</v>
      </c>
      <c r="F310" s="109"/>
      <c r="G310" s="98"/>
      <c r="H310" s="109"/>
      <c r="I310" s="109"/>
      <c r="J310" s="109"/>
      <c r="K310" s="110"/>
      <c r="L310" s="110"/>
      <c r="M310" s="110"/>
      <c r="N310" s="110"/>
      <c r="O310" s="110"/>
      <c r="P310" s="110"/>
      <c r="Q310" s="110"/>
      <c r="R310" s="110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8.0" customHeight="1">
      <c r="A311" s="98">
        <v>159.0</v>
      </c>
      <c r="B311" s="108" t="s">
        <v>401</v>
      </c>
      <c r="C311" s="97" t="s">
        <v>141</v>
      </c>
      <c r="D311" s="115">
        <v>45513.0</v>
      </c>
      <c r="E311" s="117" t="s">
        <v>752</v>
      </c>
      <c r="F311" s="109"/>
      <c r="G311" s="98"/>
      <c r="H311" s="109"/>
      <c r="I311" s="109"/>
      <c r="J311" s="109"/>
      <c r="K311" s="110"/>
      <c r="L311" s="110"/>
      <c r="M311" s="110"/>
      <c r="N311" s="110"/>
      <c r="O311" s="110"/>
      <c r="P311" s="110"/>
      <c r="Q311" s="110"/>
      <c r="R311" s="110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8.0" customHeight="1">
      <c r="A312" s="98">
        <v>160.0</v>
      </c>
      <c r="B312" s="108" t="s">
        <v>404</v>
      </c>
      <c r="C312" s="97" t="s">
        <v>141</v>
      </c>
      <c r="D312" s="115">
        <v>45536.0</v>
      </c>
      <c r="E312" s="117" t="s">
        <v>753</v>
      </c>
      <c r="F312" s="109"/>
      <c r="G312" s="98"/>
      <c r="H312" s="109"/>
      <c r="I312" s="109"/>
      <c r="J312" s="109"/>
      <c r="K312" s="110"/>
      <c r="L312" s="110"/>
      <c r="M312" s="110"/>
      <c r="N312" s="110"/>
      <c r="O312" s="110"/>
      <c r="P312" s="110"/>
      <c r="Q312" s="110"/>
      <c r="R312" s="110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8.0" customHeight="1">
      <c r="A313" s="98">
        <v>161.0</v>
      </c>
      <c r="B313" s="108" t="s">
        <v>407</v>
      </c>
      <c r="C313" s="97" t="s">
        <v>141</v>
      </c>
      <c r="D313" s="115">
        <v>45559.0</v>
      </c>
      <c r="E313" s="117" t="s">
        <v>754</v>
      </c>
      <c r="F313" s="109"/>
      <c r="G313" s="98"/>
      <c r="H313" s="109"/>
      <c r="I313" s="109"/>
      <c r="J313" s="109"/>
      <c r="K313" s="110"/>
      <c r="L313" s="110"/>
      <c r="M313" s="110"/>
      <c r="N313" s="110"/>
      <c r="O313" s="110"/>
      <c r="P313" s="110"/>
      <c r="Q313" s="110"/>
      <c r="R313" s="110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8.0" customHeight="1">
      <c r="A314" s="98">
        <v>162.0</v>
      </c>
      <c r="B314" s="108" t="s">
        <v>410</v>
      </c>
      <c r="C314" s="97" t="s">
        <v>142</v>
      </c>
      <c r="D314" s="115">
        <v>45566.0</v>
      </c>
      <c r="E314" s="117" t="s">
        <v>755</v>
      </c>
      <c r="F314" s="109"/>
      <c r="G314" s="98"/>
      <c r="H314" s="109"/>
      <c r="I314" s="109"/>
      <c r="J314" s="109"/>
      <c r="K314" s="110"/>
      <c r="L314" s="110"/>
      <c r="M314" s="110"/>
      <c r="N314" s="110"/>
      <c r="O314" s="110"/>
      <c r="P314" s="110"/>
      <c r="Q314" s="110"/>
      <c r="R314" s="110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8.0" customHeight="1">
      <c r="A315" s="98">
        <v>163.0</v>
      </c>
      <c r="B315" s="108" t="s">
        <v>413</v>
      </c>
      <c r="C315" s="97" t="s">
        <v>142</v>
      </c>
      <c r="D315" s="115">
        <v>45567.0</v>
      </c>
      <c r="E315" s="117" t="s">
        <v>756</v>
      </c>
      <c r="F315" s="109"/>
      <c r="G315" s="98"/>
      <c r="H315" s="109"/>
      <c r="I315" s="109"/>
      <c r="J315" s="109"/>
      <c r="K315" s="110"/>
      <c r="L315" s="110"/>
      <c r="M315" s="110"/>
      <c r="N315" s="110"/>
      <c r="O315" s="110"/>
      <c r="P315" s="110"/>
      <c r="Q315" s="110"/>
      <c r="R315" s="110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8.0" customHeight="1">
      <c r="A316" s="98">
        <v>164.0</v>
      </c>
      <c r="B316" s="108" t="s">
        <v>416</v>
      </c>
      <c r="C316" s="97" t="s">
        <v>141</v>
      </c>
      <c r="D316" s="115">
        <v>45587.0</v>
      </c>
      <c r="E316" s="117" t="s">
        <v>757</v>
      </c>
      <c r="F316" s="109"/>
      <c r="G316" s="98"/>
      <c r="H316" s="109"/>
      <c r="I316" s="109"/>
      <c r="J316" s="109"/>
      <c r="K316" s="110"/>
      <c r="L316" s="110"/>
      <c r="M316" s="110"/>
      <c r="N316" s="110"/>
      <c r="O316" s="110"/>
      <c r="P316" s="110"/>
      <c r="Q316" s="110"/>
      <c r="R316" s="110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8.0" customHeight="1">
      <c r="A317" s="98">
        <v>165.0</v>
      </c>
      <c r="B317" s="108" t="s">
        <v>419</v>
      </c>
      <c r="C317" s="97" t="s">
        <v>141</v>
      </c>
      <c r="D317" s="115">
        <v>45597.0</v>
      </c>
      <c r="E317" s="117" t="s">
        <v>758</v>
      </c>
      <c r="F317" s="109"/>
      <c r="G317" s="98"/>
      <c r="H317" s="109"/>
      <c r="I317" s="109"/>
      <c r="J317" s="109"/>
      <c r="K317" s="110"/>
      <c r="L317" s="110"/>
      <c r="M317" s="110"/>
      <c r="N317" s="110"/>
      <c r="O317" s="110"/>
      <c r="P317" s="110"/>
      <c r="Q317" s="110"/>
      <c r="R317" s="110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8.0" customHeight="1">
      <c r="A318" s="98">
        <v>166.0</v>
      </c>
      <c r="B318" s="108" t="s">
        <v>421</v>
      </c>
      <c r="C318" s="97" t="s">
        <v>142</v>
      </c>
      <c r="D318" s="115">
        <v>45617.0</v>
      </c>
      <c r="E318" s="117" t="s">
        <v>759</v>
      </c>
      <c r="F318" s="109"/>
      <c r="G318" s="98"/>
      <c r="H318" s="109"/>
      <c r="I318" s="109"/>
      <c r="J318" s="109"/>
      <c r="K318" s="110"/>
      <c r="L318" s="110"/>
      <c r="M318" s="110"/>
      <c r="N318" s="110"/>
      <c r="O318" s="110"/>
      <c r="P318" s="110"/>
      <c r="Q318" s="110"/>
      <c r="R318" s="110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8.0" customHeight="1">
      <c r="A319" s="98">
        <v>167.0</v>
      </c>
      <c r="B319" s="108" t="s">
        <v>424</v>
      </c>
      <c r="C319" s="97" t="s">
        <v>142</v>
      </c>
      <c r="D319" s="115">
        <v>45623.0</v>
      </c>
      <c r="E319" s="117" t="s">
        <v>760</v>
      </c>
      <c r="F319" s="109"/>
      <c r="G319" s="98"/>
      <c r="H319" s="109"/>
      <c r="I319" s="109"/>
      <c r="J319" s="109"/>
      <c r="K319" s="110"/>
      <c r="L319" s="110"/>
      <c r="M319" s="110"/>
      <c r="N319" s="110"/>
      <c r="O319" s="110"/>
      <c r="P319" s="110"/>
      <c r="Q319" s="110"/>
      <c r="R319" s="110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8.0" customHeight="1">
      <c r="A320" s="98">
        <v>168.0</v>
      </c>
      <c r="B320" s="108" t="s">
        <v>426</v>
      </c>
      <c r="C320" s="97" t="s">
        <v>142</v>
      </c>
      <c r="D320" s="115">
        <v>45636.0</v>
      </c>
      <c r="E320" s="117" t="s">
        <v>761</v>
      </c>
      <c r="F320" s="109"/>
      <c r="G320" s="98"/>
      <c r="H320" s="109"/>
      <c r="I320" s="109"/>
      <c r="J320" s="109"/>
      <c r="K320" s="110"/>
      <c r="L320" s="110"/>
      <c r="M320" s="110"/>
      <c r="N320" s="110"/>
      <c r="O320" s="110"/>
      <c r="P320" s="110"/>
      <c r="Q320" s="110"/>
      <c r="R320" s="110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8.0" customHeight="1">
      <c r="A321" s="98">
        <v>169.0</v>
      </c>
      <c r="B321" s="108" t="s">
        <v>429</v>
      </c>
      <c r="C321" s="97" t="s">
        <v>142</v>
      </c>
      <c r="D321" s="115">
        <v>45649.0</v>
      </c>
      <c r="E321" s="117" t="s">
        <v>762</v>
      </c>
      <c r="F321" s="109"/>
      <c r="G321" s="98"/>
      <c r="H321" s="109"/>
      <c r="I321" s="109"/>
      <c r="J321" s="109"/>
      <c r="K321" s="110"/>
      <c r="L321" s="110"/>
      <c r="M321" s="110"/>
      <c r="N321" s="110"/>
      <c r="O321" s="110"/>
      <c r="P321" s="110"/>
      <c r="Q321" s="110"/>
      <c r="R321" s="110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8.0" customHeight="1">
      <c r="A322" s="98">
        <v>170.0</v>
      </c>
      <c r="B322" s="108" t="s">
        <v>432</v>
      </c>
      <c r="C322" s="97" t="s">
        <v>142</v>
      </c>
      <c r="D322" s="115">
        <v>45651.0</v>
      </c>
      <c r="E322" s="117" t="s">
        <v>763</v>
      </c>
      <c r="F322" s="109"/>
      <c r="G322" s="98"/>
      <c r="H322" s="109"/>
      <c r="I322" s="109"/>
      <c r="J322" s="109"/>
      <c r="K322" s="110"/>
      <c r="L322" s="110"/>
      <c r="M322" s="110"/>
      <c r="N322" s="110"/>
      <c r="O322" s="110"/>
      <c r="P322" s="110"/>
      <c r="Q322" s="110"/>
      <c r="R322" s="110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8.0" customHeight="1">
      <c r="A323" s="98">
        <v>171.0</v>
      </c>
      <c r="B323" s="108" t="s">
        <v>435</v>
      </c>
      <c r="C323" s="97" t="s">
        <v>142</v>
      </c>
      <c r="D323" s="115">
        <v>45654.0</v>
      </c>
      <c r="E323" s="117" t="s">
        <v>764</v>
      </c>
      <c r="F323" s="109"/>
      <c r="G323" s="98"/>
      <c r="H323" s="109"/>
      <c r="I323" s="109"/>
      <c r="J323" s="109"/>
      <c r="K323" s="110"/>
      <c r="L323" s="110"/>
      <c r="M323" s="110"/>
      <c r="N323" s="110"/>
      <c r="O323" s="110"/>
      <c r="P323" s="110"/>
      <c r="Q323" s="110"/>
      <c r="R323" s="110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8.0" customHeight="1">
      <c r="A324" s="98">
        <v>172.0</v>
      </c>
      <c r="B324" s="108" t="s">
        <v>765</v>
      </c>
      <c r="C324" s="97" t="s">
        <v>142</v>
      </c>
      <c r="D324" s="115">
        <v>45658.0</v>
      </c>
      <c r="E324" s="117" t="s">
        <v>766</v>
      </c>
      <c r="F324" s="109"/>
      <c r="G324" s="98"/>
      <c r="H324" s="109"/>
      <c r="I324" s="109"/>
      <c r="J324" s="109"/>
      <c r="K324" s="110"/>
      <c r="L324" s="110"/>
      <c r="M324" s="110"/>
      <c r="N324" s="110"/>
      <c r="O324" s="110"/>
      <c r="P324" s="110"/>
      <c r="Q324" s="110"/>
      <c r="R324" s="110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8.0" customHeight="1">
      <c r="A325" s="98">
        <v>173.0</v>
      </c>
      <c r="B325" s="108" t="s">
        <v>221</v>
      </c>
      <c r="C325" s="97" t="s">
        <v>142</v>
      </c>
      <c r="D325" s="115">
        <v>45685.0</v>
      </c>
      <c r="E325" s="117" t="s">
        <v>767</v>
      </c>
      <c r="F325" s="109"/>
      <c r="G325" s="98"/>
      <c r="H325" s="109"/>
      <c r="I325" s="109"/>
      <c r="J325" s="109"/>
      <c r="K325" s="110"/>
      <c r="L325" s="110"/>
      <c r="M325" s="110"/>
      <c r="N325" s="110"/>
      <c r="O325" s="110"/>
      <c r="P325" s="110"/>
      <c r="Q325" s="110"/>
      <c r="R325" s="110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8.0" customHeight="1">
      <c r="A326" s="98">
        <v>174.0</v>
      </c>
      <c r="B326" s="108" t="s">
        <v>224</v>
      </c>
      <c r="C326" s="97" t="s">
        <v>141</v>
      </c>
      <c r="D326" s="115">
        <v>45693.0</v>
      </c>
      <c r="E326" s="117" t="s">
        <v>222</v>
      </c>
      <c r="F326" s="109"/>
      <c r="G326" s="98"/>
      <c r="H326" s="109"/>
      <c r="I326" s="109"/>
      <c r="J326" s="109"/>
      <c r="K326" s="110"/>
      <c r="L326" s="110"/>
      <c r="M326" s="110"/>
      <c r="N326" s="110"/>
      <c r="O326" s="110"/>
      <c r="P326" s="110"/>
      <c r="Q326" s="110"/>
      <c r="R326" s="110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8.0" customHeight="1">
      <c r="A327" s="98">
        <v>175.0</v>
      </c>
      <c r="B327" s="108" t="s">
        <v>227</v>
      </c>
      <c r="C327" s="97" t="s">
        <v>142</v>
      </c>
      <c r="D327" s="115">
        <v>45703.0</v>
      </c>
      <c r="E327" s="117" t="s">
        <v>768</v>
      </c>
      <c r="F327" s="109"/>
      <c r="G327" s="98"/>
      <c r="H327" s="109"/>
      <c r="I327" s="109"/>
      <c r="J327" s="109"/>
      <c r="K327" s="110"/>
      <c r="L327" s="110"/>
      <c r="M327" s="110"/>
      <c r="N327" s="110"/>
      <c r="O327" s="110"/>
      <c r="P327" s="110"/>
      <c r="Q327" s="110"/>
      <c r="R327" s="110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8.0" customHeight="1">
      <c r="A328" s="98">
        <v>176.0</v>
      </c>
      <c r="B328" s="108" t="s">
        <v>230</v>
      </c>
      <c r="C328" s="97" t="s">
        <v>142</v>
      </c>
      <c r="D328" s="115">
        <v>45722.0</v>
      </c>
      <c r="E328" s="117" t="s">
        <v>769</v>
      </c>
      <c r="F328" s="109"/>
      <c r="G328" s="98"/>
      <c r="H328" s="109"/>
      <c r="I328" s="109"/>
      <c r="J328" s="109"/>
      <c r="K328" s="110"/>
      <c r="L328" s="110"/>
      <c r="M328" s="110"/>
      <c r="N328" s="110"/>
      <c r="O328" s="110"/>
      <c r="P328" s="110"/>
      <c r="Q328" s="110"/>
      <c r="R328" s="110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8.0" customHeight="1">
      <c r="A329" s="98">
        <v>177.0</v>
      </c>
      <c r="B329" s="108" t="s">
        <v>233</v>
      </c>
      <c r="C329" s="97" t="s">
        <v>141</v>
      </c>
      <c r="D329" s="115">
        <v>45734.0</v>
      </c>
      <c r="E329" s="117" t="s">
        <v>231</v>
      </c>
      <c r="F329" s="109"/>
      <c r="G329" s="98"/>
      <c r="H329" s="109"/>
      <c r="I329" s="109"/>
      <c r="J329" s="109"/>
      <c r="K329" s="110"/>
      <c r="L329" s="110"/>
      <c r="M329" s="110"/>
      <c r="N329" s="110"/>
      <c r="O329" s="110"/>
      <c r="P329" s="110"/>
      <c r="Q329" s="110"/>
      <c r="R329" s="110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8.0" customHeight="1">
      <c r="A330" s="98">
        <v>178.0</v>
      </c>
      <c r="B330" s="108" t="s">
        <v>236</v>
      </c>
      <c r="C330" s="97" t="s">
        <v>142</v>
      </c>
      <c r="D330" s="115">
        <v>45740.0</v>
      </c>
      <c r="E330" s="117" t="s">
        <v>234</v>
      </c>
      <c r="F330" s="109"/>
      <c r="G330" s="98"/>
      <c r="H330" s="109"/>
      <c r="I330" s="109"/>
      <c r="J330" s="109"/>
      <c r="K330" s="110"/>
      <c r="L330" s="110"/>
      <c r="M330" s="110"/>
      <c r="N330" s="110"/>
      <c r="O330" s="110"/>
      <c r="P330" s="110"/>
      <c r="Q330" s="110"/>
      <c r="R330" s="110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8.0" customHeight="1">
      <c r="A331" s="98">
        <v>179.0</v>
      </c>
      <c r="B331" s="108" t="s">
        <v>239</v>
      </c>
      <c r="C331" s="97" t="s">
        <v>141</v>
      </c>
      <c r="D331" s="115">
        <v>45745.0</v>
      </c>
      <c r="E331" s="117" t="s">
        <v>237</v>
      </c>
      <c r="F331" s="109"/>
      <c r="G331" s="98"/>
      <c r="H331" s="109"/>
      <c r="I331" s="109"/>
      <c r="J331" s="109"/>
      <c r="K331" s="110"/>
      <c r="L331" s="110"/>
      <c r="M331" s="110"/>
      <c r="N331" s="110"/>
      <c r="O331" s="110"/>
      <c r="P331" s="110"/>
      <c r="Q331" s="110"/>
      <c r="R331" s="110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8.0" customHeight="1">
      <c r="A332" s="98">
        <v>180.0</v>
      </c>
      <c r="B332" s="108" t="s">
        <v>242</v>
      </c>
      <c r="C332" s="97" t="s">
        <v>141</v>
      </c>
      <c r="D332" s="115">
        <v>45752.0</v>
      </c>
      <c r="E332" s="117" t="s">
        <v>770</v>
      </c>
      <c r="F332" s="109"/>
      <c r="G332" s="98"/>
      <c r="H332" s="109"/>
      <c r="I332" s="109"/>
      <c r="J332" s="109"/>
      <c r="K332" s="110"/>
      <c r="L332" s="110"/>
      <c r="M332" s="110"/>
      <c r="N332" s="110"/>
      <c r="O332" s="110"/>
      <c r="P332" s="110"/>
      <c r="Q332" s="110"/>
      <c r="R332" s="110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8.0" customHeight="1">
      <c r="A333" s="98">
        <v>181.0</v>
      </c>
      <c r="B333" s="108" t="s">
        <v>245</v>
      </c>
      <c r="C333" s="97" t="s">
        <v>142</v>
      </c>
      <c r="D333" s="115">
        <v>45767.0</v>
      </c>
      <c r="E333" s="117" t="s">
        <v>243</v>
      </c>
      <c r="F333" s="109"/>
      <c r="G333" s="98"/>
      <c r="H333" s="109"/>
      <c r="I333" s="109"/>
      <c r="J333" s="109"/>
      <c r="K333" s="110"/>
      <c r="L333" s="110"/>
      <c r="M333" s="110"/>
      <c r="N333" s="110"/>
      <c r="O333" s="110"/>
      <c r="P333" s="110"/>
      <c r="Q333" s="110"/>
      <c r="R333" s="110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8.0" customHeight="1">
      <c r="A334" s="98">
        <v>182.0</v>
      </c>
      <c r="B334" s="108" t="s">
        <v>248</v>
      </c>
      <c r="C334" s="97" t="s">
        <v>142</v>
      </c>
      <c r="D334" s="115">
        <v>45770.0</v>
      </c>
      <c r="E334" s="117" t="s">
        <v>246</v>
      </c>
      <c r="F334" s="109"/>
      <c r="G334" s="98"/>
      <c r="H334" s="109"/>
      <c r="I334" s="109"/>
      <c r="J334" s="109"/>
      <c r="K334" s="110"/>
      <c r="L334" s="110"/>
      <c r="M334" s="110"/>
      <c r="N334" s="110"/>
      <c r="O334" s="110"/>
      <c r="P334" s="110"/>
      <c r="Q334" s="110"/>
      <c r="R334" s="110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8.0" customHeight="1">
      <c r="A335" s="98">
        <v>183.0</v>
      </c>
      <c r="B335" s="108" t="s">
        <v>251</v>
      </c>
      <c r="C335" s="97" t="s">
        <v>141</v>
      </c>
      <c r="D335" s="115">
        <v>45775.0</v>
      </c>
      <c r="E335" s="117" t="s">
        <v>249</v>
      </c>
      <c r="F335" s="109"/>
      <c r="G335" s="98"/>
      <c r="H335" s="109"/>
      <c r="I335" s="109"/>
      <c r="J335" s="109"/>
      <c r="K335" s="110"/>
      <c r="L335" s="110"/>
      <c r="M335" s="110"/>
      <c r="N335" s="110"/>
      <c r="O335" s="110"/>
      <c r="P335" s="110"/>
      <c r="Q335" s="110"/>
      <c r="R335" s="110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8.0" customHeight="1">
      <c r="A336" s="98">
        <v>184.0</v>
      </c>
      <c r="B336" s="108" t="s">
        <v>254</v>
      </c>
      <c r="C336" s="97" t="s">
        <v>141</v>
      </c>
      <c r="D336" s="115">
        <v>45779.0</v>
      </c>
      <c r="E336" s="117" t="s">
        <v>771</v>
      </c>
      <c r="F336" s="109"/>
      <c r="G336" s="98"/>
      <c r="H336" s="109"/>
      <c r="I336" s="109"/>
      <c r="J336" s="109"/>
      <c r="K336" s="110"/>
      <c r="L336" s="110"/>
      <c r="M336" s="110"/>
      <c r="N336" s="110"/>
      <c r="O336" s="110"/>
      <c r="P336" s="110"/>
      <c r="Q336" s="110"/>
      <c r="R336" s="110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8.0" customHeight="1">
      <c r="A337" s="98">
        <v>185.0</v>
      </c>
      <c r="B337" s="108" t="s">
        <v>257</v>
      </c>
      <c r="C337" s="97" t="s">
        <v>142</v>
      </c>
      <c r="D337" s="115">
        <v>45791.0</v>
      </c>
      <c r="E337" s="117" t="s">
        <v>772</v>
      </c>
      <c r="F337" s="109"/>
      <c r="G337" s="98"/>
      <c r="H337" s="109"/>
      <c r="I337" s="109"/>
      <c r="J337" s="109"/>
      <c r="K337" s="110"/>
      <c r="L337" s="110"/>
      <c r="M337" s="110"/>
      <c r="N337" s="110"/>
      <c r="O337" s="110"/>
      <c r="P337" s="110"/>
      <c r="Q337" s="110"/>
      <c r="R337" s="110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8.0" customHeight="1">
      <c r="A338" s="98">
        <v>186.0</v>
      </c>
      <c r="B338" s="108" t="s">
        <v>260</v>
      </c>
      <c r="C338" s="97" t="s">
        <v>142</v>
      </c>
      <c r="D338" s="115">
        <v>45794.0</v>
      </c>
      <c r="E338" s="117" t="s">
        <v>773</v>
      </c>
      <c r="F338" s="109"/>
      <c r="G338" s="98"/>
      <c r="H338" s="109"/>
      <c r="I338" s="109"/>
      <c r="J338" s="109"/>
      <c r="K338" s="110"/>
      <c r="L338" s="110"/>
      <c r="M338" s="110"/>
      <c r="N338" s="110"/>
      <c r="O338" s="110"/>
      <c r="P338" s="110"/>
      <c r="Q338" s="110"/>
      <c r="R338" s="110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8.0" customHeight="1">
      <c r="A339" s="98">
        <v>187.0</v>
      </c>
      <c r="B339" s="108" t="s">
        <v>263</v>
      </c>
      <c r="C339" s="97" t="s">
        <v>142</v>
      </c>
      <c r="D339" s="115">
        <v>45807.0</v>
      </c>
      <c r="E339" s="117" t="s">
        <v>774</v>
      </c>
      <c r="F339" s="109"/>
      <c r="G339" s="98"/>
      <c r="H339" s="109"/>
      <c r="I339" s="109"/>
      <c r="J339" s="109"/>
      <c r="K339" s="110"/>
      <c r="L339" s="110"/>
      <c r="M339" s="110"/>
      <c r="N339" s="110"/>
      <c r="O339" s="110"/>
      <c r="P339" s="110"/>
      <c r="Q339" s="110"/>
      <c r="R339" s="110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8.0" customHeight="1">
      <c r="A340" s="98">
        <v>188.0</v>
      </c>
      <c r="B340" s="108" t="s">
        <v>265</v>
      </c>
      <c r="C340" s="110"/>
      <c r="D340" s="115">
        <v>45808.0</v>
      </c>
      <c r="E340" s="117" t="s">
        <v>775</v>
      </c>
      <c r="F340" s="109"/>
      <c r="G340" s="98"/>
      <c r="H340" s="109"/>
      <c r="I340" s="109"/>
      <c r="J340" s="109"/>
      <c r="K340" s="110"/>
      <c r="L340" s="110"/>
      <c r="M340" s="110"/>
      <c r="N340" s="110"/>
      <c r="O340" s="110"/>
      <c r="P340" s="110"/>
      <c r="Q340" s="110"/>
      <c r="R340" s="110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8.0" customHeight="1">
      <c r="A341" s="98">
        <v>189.0</v>
      </c>
      <c r="B341" s="108" t="s">
        <v>268</v>
      </c>
      <c r="C341" s="97" t="s">
        <v>142</v>
      </c>
      <c r="D341" s="115">
        <v>45810.0</v>
      </c>
      <c r="E341" s="117" t="s">
        <v>776</v>
      </c>
      <c r="F341" s="109"/>
      <c r="G341" s="98"/>
      <c r="H341" s="109"/>
      <c r="I341" s="109"/>
      <c r="J341" s="109"/>
      <c r="K341" s="110"/>
      <c r="L341" s="110"/>
      <c r="M341" s="110"/>
      <c r="N341" s="110"/>
      <c r="O341" s="110"/>
      <c r="P341" s="110"/>
      <c r="Q341" s="110"/>
      <c r="R341" s="110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8.0" customHeight="1">
      <c r="A342" s="98">
        <v>190.0</v>
      </c>
      <c r="B342" s="108" t="s">
        <v>271</v>
      </c>
      <c r="C342" s="97" t="s">
        <v>141</v>
      </c>
      <c r="D342" s="115">
        <v>45822.0</v>
      </c>
      <c r="E342" s="117" t="s">
        <v>777</v>
      </c>
      <c r="F342" s="109"/>
      <c r="G342" s="98"/>
      <c r="H342" s="109"/>
      <c r="I342" s="109"/>
      <c r="J342" s="109"/>
      <c r="K342" s="110"/>
      <c r="L342" s="110"/>
      <c r="M342" s="110"/>
      <c r="N342" s="110"/>
      <c r="O342" s="110"/>
      <c r="P342" s="110"/>
      <c r="Q342" s="110"/>
      <c r="R342" s="110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8.0" customHeight="1">
      <c r="A343" s="98">
        <v>191.0</v>
      </c>
      <c r="B343" s="108" t="s">
        <v>274</v>
      </c>
      <c r="C343" s="97" t="s">
        <v>141</v>
      </c>
      <c r="D343" s="115">
        <v>45824.0</v>
      </c>
      <c r="E343" s="117" t="s">
        <v>778</v>
      </c>
      <c r="F343" s="109"/>
      <c r="G343" s="98"/>
      <c r="H343" s="109"/>
      <c r="I343" s="109"/>
      <c r="J343" s="109"/>
      <c r="K343" s="110"/>
      <c r="L343" s="110"/>
      <c r="M343" s="110"/>
      <c r="N343" s="110"/>
      <c r="O343" s="110"/>
      <c r="P343" s="110"/>
      <c r="Q343" s="110"/>
      <c r="R343" s="110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8.0" customHeight="1">
      <c r="A344" s="98">
        <v>192.0</v>
      </c>
      <c r="B344" s="108" t="s">
        <v>277</v>
      </c>
      <c r="C344" s="97" t="s">
        <v>141</v>
      </c>
      <c r="D344" s="115">
        <v>45826.0</v>
      </c>
      <c r="E344" s="117" t="s">
        <v>779</v>
      </c>
      <c r="F344" s="109"/>
      <c r="G344" s="98"/>
      <c r="H344" s="109"/>
      <c r="I344" s="109"/>
      <c r="J344" s="109"/>
      <c r="K344" s="110"/>
      <c r="L344" s="110"/>
      <c r="M344" s="110"/>
      <c r="N344" s="110"/>
      <c r="O344" s="110"/>
      <c r="P344" s="110"/>
      <c r="Q344" s="110"/>
      <c r="R344" s="110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8.0" customHeight="1">
      <c r="A345" s="98">
        <v>193.0</v>
      </c>
      <c r="B345" s="108" t="s">
        <v>280</v>
      </c>
      <c r="C345" s="97" t="s">
        <v>141</v>
      </c>
      <c r="D345" s="115">
        <v>45842.0</v>
      </c>
      <c r="E345" s="117" t="s">
        <v>278</v>
      </c>
      <c r="F345" s="109"/>
      <c r="G345" s="98"/>
      <c r="H345" s="109"/>
      <c r="I345" s="109"/>
      <c r="J345" s="109"/>
      <c r="K345" s="110"/>
      <c r="L345" s="110"/>
      <c r="M345" s="110"/>
      <c r="N345" s="110"/>
      <c r="O345" s="110"/>
      <c r="P345" s="110"/>
      <c r="Q345" s="110"/>
      <c r="R345" s="110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8.0" customHeight="1">
      <c r="A346" s="98">
        <v>194.0</v>
      </c>
      <c r="B346" s="108" t="s">
        <v>283</v>
      </c>
      <c r="C346" s="97" t="s">
        <v>142</v>
      </c>
      <c r="D346" s="115">
        <v>45846.0</v>
      </c>
      <c r="E346" s="117" t="s">
        <v>281</v>
      </c>
      <c r="F346" s="109"/>
      <c r="G346" s="98"/>
      <c r="H346" s="109"/>
      <c r="I346" s="109"/>
      <c r="J346" s="109"/>
      <c r="K346" s="110"/>
      <c r="L346" s="110"/>
      <c r="M346" s="110"/>
      <c r="N346" s="110"/>
      <c r="O346" s="110"/>
      <c r="P346" s="110"/>
      <c r="Q346" s="110"/>
      <c r="R346" s="110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8.0" customHeight="1">
      <c r="A347" s="98">
        <v>195.0</v>
      </c>
      <c r="B347" s="108" t="s">
        <v>286</v>
      </c>
      <c r="C347" s="97" t="s">
        <v>141</v>
      </c>
      <c r="D347" s="115">
        <v>45855.0</v>
      </c>
      <c r="E347" s="117" t="s">
        <v>284</v>
      </c>
      <c r="F347" s="109"/>
      <c r="G347" s="98"/>
      <c r="H347" s="109"/>
      <c r="I347" s="109"/>
      <c r="J347" s="109"/>
      <c r="K347" s="110"/>
      <c r="L347" s="110"/>
      <c r="M347" s="110"/>
      <c r="N347" s="110"/>
      <c r="O347" s="110"/>
      <c r="P347" s="110"/>
      <c r="Q347" s="110"/>
      <c r="R347" s="110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8.0" customHeight="1">
      <c r="A348" s="98">
        <v>196.0</v>
      </c>
      <c r="B348" s="108" t="s">
        <v>289</v>
      </c>
      <c r="C348" s="97" t="s">
        <v>141</v>
      </c>
      <c r="D348" s="115">
        <v>45858.0</v>
      </c>
      <c r="E348" s="117" t="s">
        <v>287</v>
      </c>
      <c r="F348" s="109"/>
      <c r="G348" s="98"/>
      <c r="H348" s="109"/>
      <c r="I348" s="109"/>
      <c r="J348" s="109"/>
      <c r="K348" s="110"/>
      <c r="L348" s="110"/>
      <c r="M348" s="110"/>
      <c r="N348" s="110"/>
      <c r="O348" s="110"/>
      <c r="P348" s="110"/>
      <c r="Q348" s="110"/>
      <c r="R348" s="110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8.0" customHeight="1">
      <c r="A349" s="98">
        <v>197.0</v>
      </c>
      <c r="B349" s="108" t="s">
        <v>292</v>
      </c>
      <c r="C349" s="97" t="s">
        <v>141</v>
      </c>
      <c r="D349" s="115">
        <v>45870.0</v>
      </c>
      <c r="E349" s="117" t="s">
        <v>290</v>
      </c>
      <c r="F349" s="109"/>
      <c r="G349" s="98"/>
      <c r="H349" s="109"/>
      <c r="I349" s="109"/>
      <c r="J349" s="109"/>
      <c r="K349" s="110"/>
      <c r="L349" s="110"/>
      <c r="M349" s="110"/>
      <c r="N349" s="110"/>
      <c r="O349" s="110"/>
      <c r="P349" s="110"/>
      <c r="Q349" s="110"/>
      <c r="R349" s="110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8.0" customHeight="1">
      <c r="A350" s="98">
        <v>198.0</v>
      </c>
      <c r="B350" s="108" t="s">
        <v>295</v>
      </c>
      <c r="C350" s="97" t="s">
        <v>141</v>
      </c>
      <c r="D350" s="115">
        <v>45899.0</v>
      </c>
      <c r="E350" s="117" t="s">
        <v>293</v>
      </c>
      <c r="F350" s="109"/>
      <c r="G350" s="98"/>
      <c r="H350" s="109"/>
      <c r="I350" s="109"/>
      <c r="J350" s="109"/>
      <c r="K350" s="110"/>
      <c r="L350" s="110"/>
      <c r="M350" s="110"/>
      <c r="N350" s="110"/>
      <c r="O350" s="110"/>
      <c r="P350" s="110"/>
      <c r="Q350" s="110"/>
      <c r="R350" s="110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8.0" customHeight="1">
      <c r="A351" s="98">
        <v>199.0</v>
      </c>
      <c r="B351" s="108" t="s">
        <v>298</v>
      </c>
      <c r="C351" s="97" t="s">
        <v>141</v>
      </c>
      <c r="D351" s="115">
        <v>45913.0</v>
      </c>
      <c r="E351" s="117" t="s">
        <v>296</v>
      </c>
      <c r="F351" s="109"/>
      <c r="G351" s="98"/>
      <c r="H351" s="109"/>
      <c r="I351" s="109"/>
      <c r="J351" s="109"/>
      <c r="K351" s="110"/>
      <c r="L351" s="110"/>
      <c r="M351" s="110"/>
      <c r="N351" s="110"/>
      <c r="O351" s="110"/>
      <c r="P351" s="110"/>
      <c r="Q351" s="110"/>
      <c r="R351" s="110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8.0" customHeight="1">
      <c r="A352" s="98">
        <v>200.0</v>
      </c>
      <c r="B352" s="108" t="s">
        <v>301</v>
      </c>
      <c r="C352" s="97" t="s">
        <v>141</v>
      </c>
      <c r="D352" s="115">
        <v>45928.0</v>
      </c>
      <c r="E352" s="117" t="s">
        <v>299</v>
      </c>
      <c r="F352" s="109"/>
      <c r="G352" s="98"/>
      <c r="H352" s="109"/>
      <c r="I352" s="109"/>
      <c r="J352" s="109"/>
      <c r="K352" s="110"/>
      <c r="L352" s="110"/>
      <c r="M352" s="110"/>
      <c r="N352" s="110"/>
      <c r="O352" s="110"/>
      <c r="P352" s="110"/>
      <c r="Q352" s="110"/>
      <c r="R352" s="110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8.0" customHeight="1">
      <c r="A353" s="98">
        <v>201.0</v>
      </c>
      <c r="B353" s="108" t="s">
        <v>304</v>
      </c>
      <c r="C353" s="97" t="s">
        <v>141</v>
      </c>
      <c r="D353" s="115">
        <v>45931.0</v>
      </c>
      <c r="E353" s="117" t="s">
        <v>302</v>
      </c>
      <c r="F353" s="109"/>
      <c r="G353" s="98"/>
      <c r="H353" s="109"/>
      <c r="I353" s="109"/>
      <c r="J353" s="109"/>
      <c r="K353" s="110"/>
      <c r="L353" s="110"/>
      <c r="M353" s="110"/>
      <c r="N353" s="110"/>
      <c r="O353" s="110"/>
      <c r="P353" s="110"/>
      <c r="Q353" s="110"/>
      <c r="R353" s="110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8.0" customHeight="1">
      <c r="A354" s="98">
        <v>202.0</v>
      </c>
      <c r="B354" s="108" t="s">
        <v>307</v>
      </c>
      <c r="C354" s="97" t="s">
        <v>141</v>
      </c>
      <c r="D354" s="115">
        <v>45938.0</v>
      </c>
      <c r="E354" s="117" t="s">
        <v>305</v>
      </c>
      <c r="F354" s="109"/>
      <c r="G354" s="98"/>
      <c r="H354" s="109"/>
      <c r="I354" s="109"/>
      <c r="J354" s="109"/>
      <c r="K354" s="110"/>
      <c r="L354" s="110"/>
      <c r="M354" s="110"/>
      <c r="N354" s="110"/>
      <c r="O354" s="110"/>
      <c r="P354" s="110"/>
      <c r="Q354" s="110"/>
      <c r="R354" s="110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8.0" customHeight="1">
      <c r="A355" s="98">
        <v>203.0</v>
      </c>
      <c r="B355" s="108" t="s">
        <v>310</v>
      </c>
      <c r="C355" s="97" t="s">
        <v>142</v>
      </c>
      <c r="D355" s="115">
        <v>45950.0</v>
      </c>
      <c r="E355" s="117" t="s">
        <v>308</v>
      </c>
      <c r="F355" s="109"/>
      <c r="G355" s="98"/>
      <c r="H355" s="109"/>
      <c r="I355" s="109"/>
      <c r="J355" s="109"/>
      <c r="K355" s="110"/>
      <c r="L355" s="110"/>
      <c r="M355" s="110"/>
      <c r="N355" s="110"/>
      <c r="O355" s="110"/>
      <c r="P355" s="110"/>
      <c r="Q355" s="110"/>
      <c r="R355" s="110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8.0" customHeight="1">
      <c r="A356" s="98">
        <v>204.0</v>
      </c>
      <c r="B356" s="108" t="s">
        <v>313</v>
      </c>
      <c r="C356" s="97" t="s">
        <v>142</v>
      </c>
      <c r="D356" s="115">
        <v>45958.0</v>
      </c>
      <c r="E356" s="117" t="s">
        <v>311</v>
      </c>
      <c r="F356" s="109"/>
      <c r="G356" s="98"/>
      <c r="H356" s="109"/>
      <c r="I356" s="109"/>
      <c r="J356" s="109"/>
      <c r="K356" s="110"/>
      <c r="L356" s="110"/>
      <c r="M356" s="110"/>
      <c r="N356" s="110"/>
      <c r="O356" s="110"/>
      <c r="P356" s="110"/>
      <c r="Q356" s="110"/>
      <c r="R356" s="110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8.0" customHeight="1">
      <c r="A357" s="98">
        <v>205.0</v>
      </c>
      <c r="B357" s="108" t="s">
        <v>316</v>
      </c>
      <c r="C357" s="97" t="s">
        <v>141</v>
      </c>
      <c r="D357" s="115">
        <v>45962.0</v>
      </c>
      <c r="E357" s="117" t="s">
        <v>314</v>
      </c>
      <c r="F357" s="109"/>
      <c r="G357" s="98"/>
      <c r="H357" s="109"/>
      <c r="I357" s="109"/>
      <c r="J357" s="109"/>
      <c r="K357" s="110"/>
      <c r="L357" s="110"/>
      <c r="M357" s="110"/>
      <c r="N357" s="110"/>
      <c r="O357" s="110"/>
      <c r="P357" s="110"/>
      <c r="Q357" s="110"/>
      <c r="R357" s="110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8.0" customHeight="1">
      <c r="A358" s="98">
        <v>206.0</v>
      </c>
      <c r="B358" s="108" t="s">
        <v>319</v>
      </c>
      <c r="C358" s="97" t="s">
        <v>142</v>
      </c>
      <c r="D358" s="115">
        <v>45974.0</v>
      </c>
      <c r="E358" s="117" t="s">
        <v>317</v>
      </c>
      <c r="F358" s="109"/>
      <c r="G358" s="98"/>
      <c r="H358" s="109"/>
      <c r="I358" s="109"/>
      <c r="J358" s="109"/>
      <c r="K358" s="110"/>
      <c r="L358" s="110"/>
      <c r="M358" s="110"/>
      <c r="N358" s="110"/>
      <c r="O358" s="110"/>
      <c r="P358" s="110"/>
      <c r="Q358" s="110"/>
      <c r="R358" s="110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8.0" customHeight="1">
      <c r="A359" s="98">
        <v>207.0</v>
      </c>
      <c r="B359" s="108" t="s">
        <v>322</v>
      </c>
      <c r="C359" s="97" t="s">
        <v>142</v>
      </c>
      <c r="D359" s="115">
        <v>46011.0</v>
      </c>
      <c r="E359" s="117" t="s">
        <v>320</v>
      </c>
      <c r="F359" s="109"/>
      <c r="G359" s="98"/>
      <c r="H359" s="109"/>
      <c r="I359" s="109"/>
      <c r="J359" s="109"/>
      <c r="K359" s="110"/>
      <c r="L359" s="110"/>
      <c r="M359" s="110"/>
      <c r="N359" s="110"/>
      <c r="O359" s="110"/>
      <c r="P359" s="110"/>
      <c r="Q359" s="110"/>
      <c r="R359" s="110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8.0" customHeight="1">
      <c r="A360" s="98">
        <v>208.0</v>
      </c>
      <c r="B360" s="108" t="s">
        <v>780</v>
      </c>
      <c r="C360" s="97" t="s">
        <v>141</v>
      </c>
      <c r="D360" s="115">
        <v>46051.0</v>
      </c>
      <c r="E360" s="117" t="s">
        <v>781</v>
      </c>
      <c r="F360" s="109"/>
      <c r="G360" s="98"/>
      <c r="H360" s="109"/>
      <c r="I360" s="109"/>
      <c r="J360" s="109"/>
      <c r="K360" s="110"/>
      <c r="L360" s="110"/>
      <c r="M360" s="110"/>
      <c r="N360" s="110"/>
      <c r="O360" s="110"/>
      <c r="P360" s="110"/>
      <c r="Q360" s="110"/>
      <c r="R360" s="110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8.0" customHeight="1">
      <c r="A361" s="98">
        <v>209.0</v>
      </c>
      <c r="B361" s="108" t="s">
        <v>782</v>
      </c>
      <c r="C361" s="97" t="s">
        <v>141</v>
      </c>
      <c r="D361" s="115">
        <v>46070.0</v>
      </c>
      <c r="E361" s="117" t="s">
        <v>179</v>
      </c>
      <c r="F361" s="109"/>
      <c r="G361" s="98"/>
      <c r="H361" s="109"/>
      <c r="I361" s="109"/>
      <c r="J361" s="109"/>
      <c r="K361" s="110"/>
      <c r="L361" s="110"/>
      <c r="M361" s="110"/>
      <c r="N361" s="110"/>
      <c r="O361" s="110"/>
      <c r="P361" s="110"/>
      <c r="Q361" s="110"/>
      <c r="R361" s="110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8.0" customHeight="1">
      <c r="A362" s="98">
        <v>210.0</v>
      </c>
      <c r="B362" s="108" t="s">
        <v>783</v>
      </c>
      <c r="C362" s="97" t="s">
        <v>142</v>
      </c>
      <c r="D362" s="115">
        <v>46079.0</v>
      </c>
      <c r="E362" s="117" t="s">
        <v>784</v>
      </c>
      <c r="F362" s="109"/>
      <c r="G362" s="98"/>
      <c r="H362" s="109"/>
      <c r="I362" s="109"/>
      <c r="J362" s="109"/>
      <c r="K362" s="110"/>
      <c r="L362" s="110"/>
      <c r="M362" s="110"/>
      <c r="N362" s="110"/>
      <c r="O362" s="110"/>
      <c r="P362" s="110"/>
      <c r="Q362" s="110"/>
      <c r="R362" s="110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8.0" customHeight="1">
      <c r="A363" s="98">
        <v>211.0</v>
      </c>
      <c r="B363" s="108" t="s">
        <v>785</v>
      </c>
      <c r="C363" s="97" t="s">
        <v>141</v>
      </c>
      <c r="D363" s="115">
        <v>46081.0</v>
      </c>
      <c r="E363" s="117" t="s">
        <v>786</v>
      </c>
      <c r="F363" s="109"/>
      <c r="G363" s="98"/>
      <c r="H363" s="109"/>
      <c r="I363" s="109"/>
      <c r="J363" s="109"/>
      <c r="K363" s="110"/>
      <c r="L363" s="110"/>
      <c r="M363" s="110"/>
      <c r="N363" s="110"/>
      <c r="O363" s="110"/>
      <c r="P363" s="110"/>
      <c r="Q363" s="110"/>
      <c r="R363" s="110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8.0" customHeight="1">
      <c r="A364" s="98">
        <v>212.0</v>
      </c>
      <c r="B364" s="108" t="s">
        <v>787</v>
      </c>
      <c r="C364" s="97" t="s">
        <v>142</v>
      </c>
      <c r="D364" s="115">
        <v>46105.0</v>
      </c>
      <c r="E364" s="117" t="s">
        <v>788</v>
      </c>
      <c r="F364" s="109"/>
      <c r="G364" s="98"/>
      <c r="H364" s="109"/>
      <c r="I364" s="109"/>
      <c r="J364" s="109"/>
      <c r="K364" s="110"/>
      <c r="L364" s="110"/>
      <c r="M364" s="110"/>
      <c r="N364" s="110"/>
      <c r="O364" s="110"/>
      <c r="P364" s="110"/>
      <c r="Q364" s="110"/>
      <c r="R364" s="110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8.0" customHeight="1">
      <c r="A365" s="98">
        <v>213.0</v>
      </c>
      <c r="B365" s="108" t="s">
        <v>789</v>
      </c>
      <c r="C365" s="97" t="s">
        <v>142</v>
      </c>
      <c r="D365" s="115">
        <v>46112.0</v>
      </c>
      <c r="E365" s="117" t="s">
        <v>790</v>
      </c>
      <c r="F365" s="109"/>
      <c r="G365" s="98"/>
      <c r="H365" s="109"/>
      <c r="I365" s="109"/>
      <c r="J365" s="109"/>
      <c r="K365" s="110"/>
      <c r="L365" s="110"/>
      <c r="M365" s="110"/>
      <c r="N365" s="110"/>
      <c r="O365" s="110"/>
      <c r="P365" s="110"/>
      <c r="Q365" s="110"/>
      <c r="R365" s="110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8.0" customHeight="1">
      <c r="A366" s="98">
        <v>214.0</v>
      </c>
      <c r="B366" s="108" t="s">
        <v>791</v>
      </c>
      <c r="C366" s="97" t="s">
        <v>142</v>
      </c>
      <c r="D366" s="115">
        <v>46128.0</v>
      </c>
      <c r="E366" s="117" t="s">
        <v>792</v>
      </c>
      <c r="F366" s="109"/>
      <c r="G366" s="98"/>
      <c r="H366" s="109"/>
      <c r="I366" s="109"/>
      <c r="J366" s="109"/>
      <c r="K366" s="110"/>
      <c r="L366" s="110"/>
      <c r="M366" s="110"/>
      <c r="N366" s="110"/>
      <c r="O366" s="110"/>
      <c r="P366" s="110"/>
      <c r="Q366" s="110"/>
      <c r="R366" s="110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8.0" customHeight="1">
      <c r="A367" s="98"/>
      <c r="B367" s="110"/>
      <c r="C367" s="110"/>
      <c r="D367" s="110"/>
      <c r="E367" s="109"/>
      <c r="F367" s="109"/>
      <c r="G367" s="98"/>
      <c r="H367" s="109"/>
      <c r="I367" s="109"/>
      <c r="J367" s="109"/>
      <c r="K367" s="110"/>
      <c r="L367" s="110"/>
      <c r="M367" s="110"/>
      <c r="N367" s="110"/>
      <c r="O367" s="110"/>
      <c r="P367" s="110"/>
      <c r="Q367" s="110"/>
      <c r="R367" s="110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33"/>
      <c r="B368" s="2"/>
      <c r="C368" s="2"/>
      <c r="D368" s="2"/>
      <c r="E368" s="33"/>
      <c r="F368" s="33"/>
      <c r="G368" s="33"/>
      <c r="H368" s="33"/>
      <c r="I368" s="33"/>
      <c r="J368" s="3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33"/>
      <c r="B369" s="2"/>
      <c r="C369" s="2"/>
      <c r="D369" s="2"/>
      <c r="E369" s="33"/>
      <c r="F369" s="33"/>
      <c r="G369" s="33"/>
      <c r="H369" s="33"/>
      <c r="I369" s="33"/>
      <c r="J369" s="3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52" t="s">
        <v>793</v>
      </c>
      <c r="D370" s="102"/>
      <c r="E370" s="101"/>
      <c r="F370" s="101"/>
      <c r="G370" s="101"/>
      <c r="H370" s="101"/>
      <c r="I370" s="101"/>
      <c r="J370" s="101"/>
      <c r="K370" s="102"/>
      <c r="L370" s="102"/>
      <c r="M370" s="102"/>
      <c r="N370" s="102"/>
      <c r="O370" s="102"/>
      <c r="P370" s="102"/>
      <c r="Q370" s="10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103" t="s">
        <v>3</v>
      </c>
      <c r="B371" s="103" t="s">
        <v>794</v>
      </c>
      <c r="C371" s="103" t="s">
        <v>438</v>
      </c>
      <c r="D371" s="103" t="s">
        <v>439</v>
      </c>
      <c r="E371" s="69" t="s">
        <v>440</v>
      </c>
      <c r="F371" s="9"/>
      <c r="G371" s="69" t="s">
        <v>795</v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9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11"/>
      <c r="B372" s="11"/>
      <c r="C372" s="11"/>
      <c r="D372" s="11"/>
      <c r="E372" s="93" t="s">
        <v>128</v>
      </c>
      <c r="F372" s="93" t="s">
        <v>442</v>
      </c>
      <c r="G372" s="93" t="s">
        <v>164</v>
      </c>
      <c r="H372" s="93" t="s">
        <v>165</v>
      </c>
      <c r="I372" s="93" t="s">
        <v>166</v>
      </c>
      <c r="J372" s="93" t="s">
        <v>167</v>
      </c>
      <c r="K372" s="93" t="s">
        <v>147</v>
      </c>
      <c r="L372" s="93" t="s">
        <v>168</v>
      </c>
      <c r="M372" s="93" t="s">
        <v>169</v>
      </c>
      <c r="N372" s="93" t="s">
        <v>170</v>
      </c>
      <c r="O372" s="93" t="s">
        <v>171</v>
      </c>
      <c r="P372" s="93" t="s">
        <v>172</v>
      </c>
      <c r="Q372" s="93" t="s">
        <v>173</v>
      </c>
      <c r="R372" s="97" t="s">
        <v>174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106">
        <v>1.0</v>
      </c>
      <c r="B373" s="106">
        <v>2.0</v>
      </c>
      <c r="C373" s="106">
        <v>3.0</v>
      </c>
      <c r="D373" s="106">
        <v>4.0</v>
      </c>
      <c r="E373" s="106">
        <v>5.0</v>
      </c>
      <c r="F373" s="106">
        <v>6.0</v>
      </c>
      <c r="G373" s="106">
        <v>7.0</v>
      </c>
      <c r="H373" s="106">
        <v>8.0</v>
      </c>
      <c r="I373" s="106">
        <v>9.0</v>
      </c>
      <c r="J373" s="106">
        <v>10.0</v>
      </c>
      <c r="K373" s="106">
        <v>11.0</v>
      </c>
      <c r="L373" s="106">
        <v>12.0</v>
      </c>
      <c r="M373" s="106">
        <v>13.0</v>
      </c>
      <c r="N373" s="106">
        <v>14.0</v>
      </c>
      <c r="O373" s="106">
        <v>15.0</v>
      </c>
      <c r="P373" s="106">
        <v>16.0</v>
      </c>
      <c r="Q373" s="106">
        <v>17.0</v>
      </c>
      <c r="R373" s="106">
        <v>18.0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98"/>
      <c r="B374" s="119" t="s">
        <v>796</v>
      </c>
      <c r="C374" s="110"/>
      <c r="D374" s="120">
        <v>43492.0</v>
      </c>
      <c r="E374" s="121" t="s">
        <v>797</v>
      </c>
      <c r="F374" s="109"/>
      <c r="G374" s="109"/>
      <c r="H374" s="109"/>
      <c r="I374" s="109"/>
      <c r="J374" s="109"/>
      <c r="K374" s="110"/>
      <c r="L374" s="110"/>
      <c r="M374" s="110"/>
      <c r="N374" s="110"/>
      <c r="O374" s="110"/>
      <c r="P374" s="110"/>
      <c r="Q374" s="110"/>
      <c r="R374" s="110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98"/>
      <c r="B375" s="119" t="s">
        <v>798</v>
      </c>
      <c r="C375" s="110"/>
      <c r="D375" s="122">
        <v>43051.0</v>
      </c>
      <c r="E375" s="121" t="s">
        <v>799</v>
      </c>
      <c r="F375" s="109"/>
      <c r="G375" s="109"/>
      <c r="H375" s="109"/>
      <c r="I375" s="109"/>
      <c r="J375" s="109"/>
      <c r="K375" s="110"/>
      <c r="L375" s="110"/>
      <c r="M375" s="110"/>
      <c r="N375" s="110"/>
      <c r="O375" s="110"/>
      <c r="P375" s="110"/>
      <c r="Q375" s="110"/>
      <c r="R375" s="110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98"/>
      <c r="B376" s="119" t="s">
        <v>800</v>
      </c>
      <c r="C376" s="110"/>
      <c r="D376" s="122">
        <v>43446.0</v>
      </c>
      <c r="E376" s="121" t="s">
        <v>801</v>
      </c>
      <c r="F376" s="109"/>
      <c r="G376" s="109"/>
      <c r="H376" s="109"/>
      <c r="I376" s="109"/>
      <c r="J376" s="109"/>
      <c r="K376" s="110"/>
      <c r="L376" s="110"/>
      <c r="M376" s="110"/>
      <c r="N376" s="110"/>
      <c r="O376" s="110"/>
      <c r="P376" s="110"/>
      <c r="Q376" s="110"/>
      <c r="R376" s="110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98"/>
      <c r="B377" s="119" t="s">
        <v>802</v>
      </c>
      <c r="C377" s="110"/>
      <c r="D377" s="120">
        <v>43277.0</v>
      </c>
      <c r="E377" s="121" t="s">
        <v>803</v>
      </c>
      <c r="F377" s="109"/>
      <c r="G377" s="109"/>
      <c r="H377" s="109"/>
      <c r="I377" s="109"/>
      <c r="J377" s="109"/>
      <c r="K377" s="110"/>
      <c r="L377" s="110"/>
      <c r="M377" s="110"/>
      <c r="N377" s="110"/>
      <c r="O377" s="110"/>
      <c r="P377" s="110"/>
      <c r="Q377" s="110"/>
      <c r="R377" s="110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98"/>
      <c r="B378" s="119" t="s">
        <v>804</v>
      </c>
      <c r="C378" s="110"/>
      <c r="D378" s="122">
        <v>43395.0</v>
      </c>
      <c r="E378" s="121" t="s">
        <v>805</v>
      </c>
      <c r="F378" s="109"/>
      <c r="G378" s="109"/>
      <c r="H378" s="109"/>
      <c r="I378" s="109"/>
      <c r="J378" s="109"/>
      <c r="K378" s="110"/>
      <c r="L378" s="110"/>
      <c r="M378" s="110"/>
      <c r="N378" s="110"/>
      <c r="O378" s="110"/>
      <c r="P378" s="110"/>
      <c r="Q378" s="110"/>
      <c r="R378" s="110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98"/>
      <c r="B379" s="119" t="s">
        <v>806</v>
      </c>
      <c r="C379" s="110"/>
      <c r="D379" s="120">
        <v>43196.0</v>
      </c>
      <c r="E379" s="121" t="s">
        <v>807</v>
      </c>
      <c r="F379" s="109"/>
      <c r="G379" s="109"/>
      <c r="H379" s="109"/>
      <c r="I379" s="109"/>
      <c r="J379" s="109"/>
      <c r="K379" s="110"/>
      <c r="L379" s="110"/>
      <c r="M379" s="110"/>
      <c r="N379" s="110"/>
      <c r="O379" s="110"/>
      <c r="P379" s="110"/>
      <c r="Q379" s="110"/>
      <c r="R379" s="110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98"/>
      <c r="B380" s="119" t="s">
        <v>808</v>
      </c>
      <c r="C380" s="110"/>
      <c r="D380" s="120">
        <v>43482.0</v>
      </c>
      <c r="E380" s="121" t="s">
        <v>809</v>
      </c>
      <c r="F380" s="109"/>
      <c r="G380" s="109"/>
      <c r="H380" s="109"/>
      <c r="I380" s="109"/>
      <c r="J380" s="109"/>
      <c r="K380" s="110"/>
      <c r="L380" s="110"/>
      <c r="M380" s="110"/>
      <c r="N380" s="110"/>
      <c r="O380" s="110"/>
      <c r="P380" s="110"/>
      <c r="Q380" s="110"/>
      <c r="R380" s="110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98"/>
      <c r="B381" s="119" t="s">
        <v>810</v>
      </c>
      <c r="C381" s="110"/>
      <c r="D381" s="120">
        <v>43110.0</v>
      </c>
      <c r="E381" s="121" t="s">
        <v>811</v>
      </c>
      <c r="F381" s="109"/>
      <c r="G381" s="109"/>
      <c r="H381" s="109"/>
      <c r="I381" s="109"/>
      <c r="J381" s="109"/>
      <c r="K381" s="110"/>
      <c r="L381" s="110"/>
      <c r="M381" s="110"/>
      <c r="N381" s="110"/>
      <c r="O381" s="110"/>
      <c r="P381" s="110"/>
      <c r="Q381" s="110"/>
      <c r="R381" s="110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98"/>
      <c r="B382" s="119" t="s">
        <v>812</v>
      </c>
      <c r="C382" s="110"/>
      <c r="D382" s="120">
        <v>43179.0</v>
      </c>
      <c r="E382" s="121" t="s">
        <v>813</v>
      </c>
      <c r="F382" s="109"/>
      <c r="G382" s="109"/>
      <c r="H382" s="109"/>
      <c r="I382" s="109"/>
      <c r="J382" s="109"/>
      <c r="K382" s="110"/>
      <c r="L382" s="110"/>
      <c r="M382" s="110"/>
      <c r="N382" s="110"/>
      <c r="O382" s="110"/>
      <c r="P382" s="110"/>
      <c r="Q382" s="110"/>
      <c r="R382" s="110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98"/>
      <c r="B383" s="119" t="s">
        <v>814</v>
      </c>
      <c r="C383" s="110"/>
      <c r="D383" s="120">
        <v>42852.0</v>
      </c>
      <c r="E383" s="121" t="s">
        <v>815</v>
      </c>
      <c r="F383" s="109"/>
      <c r="G383" s="109"/>
      <c r="H383" s="109"/>
      <c r="I383" s="109"/>
      <c r="J383" s="109"/>
      <c r="K383" s="110"/>
      <c r="L383" s="110"/>
      <c r="M383" s="110"/>
      <c r="N383" s="110"/>
      <c r="O383" s="110"/>
      <c r="P383" s="110"/>
      <c r="Q383" s="110"/>
      <c r="R383" s="110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98"/>
      <c r="B384" s="119" t="s">
        <v>816</v>
      </c>
      <c r="C384" s="110"/>
      <c r="D384" s="120">
        <v>43262.0</v>
      </c>
      <c r="E384" s="121" t="s">
        <v>817</v>
      </c>
      <c r="F384" s="109"/>
      <c r="G384" s="109"/>
      <c r="H384" s="109"/>
      <c r="I384" s="109"/>
      <c r="J384" s="109"/>
      <c r="K384" s="110"/>
      <c r="L384" s="110"/>
      <c r="M384" s="110"/>
      <c r="N384" s="110"/>
      <c r="O384" s="110"/>
      <c r="P384" s="110"/>
      <c r="Q384" s="110"/>
      <c r="R384" s="110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98"/>
      <c r="B385" s="119" t="s">
        <v>818</v>
      </c>
      <c r="C385" s="110"/>
      <c r="D385" s="122">
        <v>43080.0</v>
      </c>
      <c r="E385" s="121" t="s">
        <v>819</v>
      </c>
      <c r="F385" s="109"/>
      <c r="G385" s="109"/>
      <c r="H385" s="109"/>
      <c r="I385" s="109"/>
      <c r="J385" s="109"/>
      <c r="K385" s="110"/>
      <c r="L385" s="110"/>
      <c r="M385" s="110"/>
      <c r="N385" s="110"/>
      <c r="O385" s="110"/>
      <c r="P385" s="110"/>
      <c r="Q385" s="110"/>
      <c r="R385" s="110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98"/>
      <c r="B386" s="119" t="s">
        <v>820</v>
      </c>
      <c r="C386" s="110"/>
      <c r="D386" s="120">
        <v>43176.0</v>
      </c>
      <c r="E386" s="121" t="s">
        <v>821</v>
      </c>
      <c r="F386" s="109"/>
      <c r="G386" s="109"/>
      <c r="H386" s="109"/>
      <c r="I386" s="109"/>
      <c r="J386" s="109"/>
      <c r="K386" s="110"/>
      <c r="L386" s="110"/>
      <c r="M386" s="110"/>
      <c r="N386" s="110"/>
      <c r="O386" s="110"/>
      <c r="P386" s="110"/>
      <c r="Q386" s="110"/>
      <c r="R386" s="110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98"/>
      <c r="B387" s="119" t="s">
        <v>822</v>
      </c>
      <c r="C387" s="110"/>
      <c r="D387" s="122">
        <v>43085.0</v>
      </c>
      <c r="E387" s="121" t="s">
        <v>823</v>
      </c>
      <c r="F387" s="109"/>
      <c r="G387" s="109"/>
      <c r="H387" s="109"/>
      <c r="I387" s="109"/>
      <c r="J387" s="109"/>
      <c r="K387" s="110"/>
      <c r="L387" s="110"/>
      <c r="M387" s="110"/>
      <c r="N387" s="110"/>
      <c r="O387" s="110"/>
      <c r="P387" s="110"/>
      <c r="Q387" s="110"/>
      <c r="R387" s="110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98"/>
      <c r="B388" s="119" t="s">
        <v>824</v>
      </c>
      <c r="C388" s="110"/>
      <c r="D388" s="120">
        <v>43280.0</v>
      </c>
      <c r="E388" s="121" t="s">
        <v>825</v>
      </c>
      <c r="F388" s="109"/>
      <c r="G388" s="109"/>
      <c r="H388" s="109"/>
      <c r="I388" s="109"/>
      <c r="J388" s="109"/>
      <c r="K388" s="110"/>
      <c r="L388" s="110"/>
      <c r="M388" s="110"/>
      <c r="N388" s="110"/>
      <c r="O388" s="110"/>
      <c r="P388" s="110"/>
      <c r="Q388" s="110"/>
      <c r="R388" s="110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98"/>
      <c r="B389" s="119" t="s">
        <v>826</v>
      </c>
      <c r="C389" s="110"/>
      <c r="D389" s="120">
        <v>42612.0</v>
      </c>
      <c r="E389" s="121" t="s">
        <v>827</v>
      </c>
      <c r="F389" s="109"/>
      <c r="G389" s="109"/>
      <c r="H389" s="109"/>
      <c r="I389" s="109"/>
      <c r="J389" s="109"/>
      <c r="K389" s="110"/>
      <c r="L389" s="110"/>
      <c r="M389" s="110"/>
      <c r="N389" s="110"/>
      <c r="O389" s="110"/>
      <c r="P389" s="110"/>
      <c r="Q389" s="110"/>
      <c r="R389" s="110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98"/>
      <c r="B390" s="119" t="s">
        <v>828</v>
      </c>
      <c r="C390" s="110"/>
      <c r="D390" s="120">
        <v>42829.0</v>
      </c>
      <c r="E390" s="121" t="s">
        <v>829</v>
      </c>
      <c r="F390" s="109"/>
      <c r="G390" s="109"/>
      <c r="H390" s="109"/>
      <c r="I390" s="109"/>
      <c r="J390" s="109"/>
      <c r="K390" s="110"/>
      <c r="L390" s="110"/>
      <c r="M390" s="110"/>
      <c r="N390" s="110"/>
      <c r="O390" s="110"/>
      <c r="P390" s="110"/>
      <c r="Q390" s="110"/>
      <c r="R390" s="110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98"/>
      <c r="B391" s="119" t="s">
        <v>830</v>
      </c>
      <c r="C391" s="110"/>
      <c r="D391" s="122">
        <v>42734.0</v>
      </c>
      <c r="E391" s="121" t="s">
        <v>831</v>
      </c>
      <c r="F391" s="109"/>
      <c r="G391" s="109"/>
      <c r="H391" s="109"/>
      <c r="I391" s="109"/>
      <c r="J391" s="109"/>
      <c r="K391" s="110"/>
      <c r="L391" s="110"/>
      <c r="M391" s="110"/>
      <c r="N391" s="110"/>
      <c r="O391" s="110"/>
      <c r="P391" s="110"/>
      <c r="Q391" s="110"/>
      <c r="R391" s="110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98"/>
      <c r="B392" s="119" t="s">
        <v>832</v>
      </c>
      <c r="C392" s="110"/>
      <c r="D392" s="122">
        <v>42692.0</v>
      </c>
      <c r="E392" s="121" t="s">
        <v>833</v>
      </c>
      <c r="F392" s="109"/>
      <c r="G392" s="109"/>
      <c r="H392" s="109"/>
      <c r="I392" s="109"/>
      <c r="J392" s="109"/>
      <c r="K392" s="110"/>
      <c r="L392" s="110"/>
      <c r="M392" s="110"/>
      <c r="N392" s="110"/>
      <c r="O392" s="110"/>
      <c r="P392" s="110"/>
      <c r="Q392" s="110"/>
      <c r="R392" s="110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98"/>
      <c r="B393" s="119" t="s">
        <v>834</v>
      </c>
      <c r="C393" s="110"/>
      <c r="D393" s="120">
        <v>42567.0</v>
      </c>
      <c r="E393" s="121" t="s">
        <v>835</v>
      </c>
      <c r="F393" s="109"/>
      <c r="G393" s="109"/>
      <c r="H393" s="109"/>
      <c r="I393" s="109"/>
      <c r="J393" s="109"/>
      <c r="K393" s="110"/>
      <c r="L393" s="110"/>
      <c r="M393" s="110"/>
      <c r="N393" s="110"/>
      <c r="O393" s="110"/>
      <c r="P393" s="110"/>
      <c r="Q393" s="110"/>
      <c r="R393" s="110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98"/>
      <c r="B394" s="119" t="s">
        <v>836</v>
      </c>
      <c r="C394" s="110"/>
      <c r="D394" s="120">
        <v>42787.0</v>
      </c>
      <c r="E394" s="121" t="s">
        <v>837</v>
      </c>
      <c r="F394" s="109"/>
      <c r="G394" s="109"/>
      <c r="H394" s="109"/>
      <c r="I394" s="109"/>
      <c r="J394" s="109"/>
      <c r="K394" s="110"/>
      <c r="L394" s="110"/>
      <c r="M394" s="110"/>
      <c r="N394" s="110"/>
      <c r="O394" s="110"/>
      <c r="P394" s="110"/>
      <c r="Q394" s="110"/>
      <c r="R394" s="110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98"/>
      <c r="B395" s="119" t="s">
        <v>838</v>
      </c>
      <c r="C395" s="110"/>
      <c r="D395" s="120">
        <v>42402.0</v>
      </c>
      <c r="E395" s="121" t="s">
        <v>839</v>
      </c>
      <c r="F395" s="109"/>
      <c r="G395" s="109"/>
      <c r="H395" s="109"/>
      <c r="I395" s="109"/>
      <c r="J395" s="109"/>
      <c r="K395" s="110"/>
      <c r="L395" s="110"/>
      <c r="M395" s="110"/>
      <c r="N395" s="110"/>
      <c r="O395" s="110"/>
      <c r="P395" s="110"/>
      <c r="Q395" s="110"/>
      <c r="R395" s="110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98"/>
      <c r="B396" s="119" t="s">
        <v>840</v>
      </c>
      <c r="C396" s="110"/>
      <c r="D396" s="120">
        <v>42771.0</v>
      </c>
      <c r="E396" s="121" t="s">
        <v>841</v>
      </c>
      <c r="F396" s="109"/>
      <c r="G396" s="109"/>
      <c r="H396" s="109"/>
      <c r="I396" s="109"/>
      <c r="J396" s="109"/>
      <c r="K396" s="110"/>
      <c r="L396" s="110"/>
      <c r="M396" s="110"/>
      <c r="N396" s="110"/>
      <c r="O396" s="110"/>
      <c r="P396" s="110"/>
      <c r="Q396" s="110"/>
      <c r="R396" s="110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98"/>
      <c r="B397" s="119" t="s">
        <v>842</v>
      </c>
      <c r="C397" s="110"/>
      <c r="D397" s="120">
        <v>42409.0</v>
      </c>
      <c r="E397" s="121" t="s">
        <v>843</v>
      </c>
      <c r="F397" s="109"/>
      <c r="G397" s="109"/>
      <c r="H397" s="109"/>
      <c r="I397" s="109"/>
      <c r="J397" s="109"/>
      <c r="K397" s="110"/>
      <c r="L397" s="110"/>
      <c r="M397" s="110"/>
      <c r="N397" s="110"/>
      <c r="O397" s="110"/>
      <c r="P397" s="110"/>
      <c r="Q397" s="110"/>
      <c r="R397" s="110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98"/>
      <c r="B398" s="119" t="s">
        <v>844</v>
      </c>
      <c r="C398" s="110"/>
      <c r="D398" s="122">
        <v>42670.0</v>
      </c>
      <c r="E398" s="121" t="s">
        <v>845</v>
      </c>
      <c r="F398" s="109"/>
      <c r="G398" s="109"/>
      <c r="H398" s="109"/>
      <c r="I398" s="109"/>
      <c r="J398" s="109"/>
      <c r="K398" s="110"/>
      <c r="L398" s="110"/>
      <c r="M398" s="110"/>
      <c r="N398" s="110"/>
      <c r="O398" s="110"/>
      <c r="P398" s="110"/>
      <c r="Q398" s="110"/>
      <c r="R398" s="110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98"/>
      <c r="B399" s="119" t="s">
        <v>846</v>
      </c>
      <c r="C399" s="110"/>
      <c r="D399" s="120">
        <v>42822.0</v>
      </c>
      <c r="E399" s="121" t="s">
        <v>847</v>
      </c>
      <c r="F399" s="109"/>
      <c r="G399" s="109"/>
      <c r="H399" s="109"/>
      <c r="I399" s="109"/>
      <c r="J399" s="109"/>
      <c r="K399" s="110"/>
      <c r="L399" s="110"/>
      <c r="M399" s="110"/>
      <c r="N399" s="110"/>
      <c r="O399" s="110"/>
      <c r="P399" s="110"/>
      <c r="Q399" s="110"/>
      <c r="R399" s="110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98"/>
      <c r="B400" s="119" t="s">
        <v>848</v>
      </c>
      <c r="C400" s="110"/>
      <c r="D400" s="122">
        <v>42700.0</v>
      </c>
      <c r="E400" s="121" t="s">
        <v>849</v>
      </c>
      <c r="F400" s="109"/>
      <c r="G400" s="109"/>
      <c r="H400" s="109"/>
      <c r="I400" s="109"/>
      <c r="J400" s="109"/>
      <c r="K400" s="110"/>
      <c r="L400" s="110"/>
      <c r="M400" s="110"/>
      <c r="N400" s="110"/>
      <c r="O400" s="110"/>
      <c r="P400" s="110"/>
      <c r="Q400" s="110"/>
      <c r="R400" s="110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98"/>
      <c r="B401" s="119" t="s">
        <v>850</v>
      </c>
      <c r="C401" s="110"/>
      <c r="D401" s="120">
        <v>42572.0</v>
      </c>
      <c r="E401" s="121" t="s">
        <v>851</v>
      </c>
      <c r="F401" s="109"/>
      <c r="G401" s="109"/>
      <c r="H401" s="109"/>
      <c r="I401" s="109"/>
      <c r="J401" s="109"/>
      <c r="K401" s="110"/>
      <c r="L401" s="110"/>
      <c r="M401" s="110"/>
      <c r="N401" s="110"/>
      <c r="O401" s="110"/>
      <c r="P401" s="110"/>
      <c r="Q401" s="110"/>
      <c r="R401" s="110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98"/>
      <c r="B402" s="119" t="s">
        <v>852</v>
      </c>
      <c r="C402" s="110"/>
      <c r="D402" s="120">
        <v>42469.0</v>
      </c>
      <c r="E402" s="121" t="s">
        <v>853</v>
      </c>
      <c r="F402" s="109"/>
      <c r="G402" s="109"/>
      <c r="H402" s="109"/>
      <c r="I402" s="109"/>
      <c r="J402" s="109"/>
      <c r="K402" s="110"/>
      <c r="L402" s="110"/>
      <c r="M402" s="110"/>
      <c r="N402" s="110"/>
      <c r="O402" s="110"/>
      <c r="P402" s="110"/>
      <c r="Q402" s="110"/>
      <c r="R402" s="110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98"/>
      <c r="B403" s="119" t="s">
        <v>854</v>
      </c>
      <c r="C403" s="110"/>
      <c r="D403" s="120">
        <v>42910.0</v>
      </c>
      <c r="E403" s="121" t="s">
        <v>371</v>
      </c>
      <c r="F403" s="109"/>
      <c r="G403" s="109"/>
      <c r="H403" s="109"/>
      <c r="I403" s="109"/>
      <c r="J403" s="109"/>
      <c r="K403" s="110"/>
      <c r="L403" s="110"/>
      <c r="M403" s="110"/>
      <c r="N403" s="110"/>
      <c r="O403" s="110"/>
      <c r="P403" s="110"/>
      <c r="Q403" s="110"/>
      <c r="R403" s="110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98"/>
      <c r="B404" s="119" t="s">
        <v>855</v>
      </c>
      <c r="C404" s="110"/>
      <c r="D404" s="120">
        <v>42581.0</v>
      </c>
      <c r="E404" s="121" t="s">
        <v>819</v>
      </c>
      <c r="F404" s="109"/>
      <c r="G404" s="109"/>
      <c r="H404" s="109"/>
      <c r="I404" s="109"/>
      <c r="J404" s="109"/>
      <c r="K404" s="110"/>
      <c r="L404" s="110"/>
      <c r="M404" s="110"/>
      <c r="N404" s="110"/>
      <c r="O404" s="110"/>
      <c r="P404" s="110"/>
      <c r="Q404" s="110"/>
      <c r="R404" s="110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98"/>
      <c r="B405" s="119" t="s">
        <v>856</v>
      </c>
      <c r="C405" s="110"/>
      <c r="D405" s="120">
        <v>42098.0</v>
      </c>
      <c r="E405" s="121" t="s">
        <v>857</v>
      </c>
      <c r="F405" s="109"/>
      <c r="G405" s="109"/>
      <c r="H405" s="109"/>
      <c r="I405" s="109"/>
      <c r="J405" s="109"/>
      <c r="K405" s="110"/>
      <c r="L405" s="110"/>
      <c r="M405" s="110"/>
      <c r="N405" s="110"/>
      <c r="O405" s="110"/>
      <c r="P405" s="110"/>
      <c r="Q405" s="110"/>
      <c r="R405" s="110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98"/>
      <c r="B406" s="119" t="s">
        <v>858</v>
      </c>
      <c r="C406" s="110"/>
      <c r="D406" s="120">
        <v>42242.0</v>
      </c>
      <c r="E406" s="121" t="s">
        <v>859</v>
      </c>
      <c r="F406" s="109"/>
      <c r="G406" s="109"/>
      <c r="H406" s="109"/>
      <c r="I406" s="109"/>
      <c r="J406" s="109"/>
      <c r="K406" s="110"/>
      <c r="L406" s="110"/>
      <c r="M406" s="110"/>
      <c r="N406" s="110"/>
      <c r="O406" s="110"/>
      <c r="P406" s="110"/>
      <c r="Q406" s="110"/>
      <c r="R406" s="110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98"/>
      <c r="B407" s="119" t="s">
        <v>860</v>
      </c>
      <c r="C407" s="110"/>
      <c r="D407" s="120">
        <v>42110.0</v>
      </c>
      <c r="E407" s="121" t="s">
        <v>861</v>
      </c>
      <c r="F407" s="109"/>
      <c r="G407" s="109"/>
      <c r="H407" s="109"/>
      <c r="I407" s="109"/>
      <c r="J407" s="109"/>
      <c r="K407" s="110"/>
      <c r="L407" s="110"/>
      <c r="M407" s="110"/>
      <c r="N407" s="110"/>
      <c r="O407" s="110"/>
      <c r="P407" s="110"/>
      <c r="Q407" s="110"/>
      <c r="R407" s="110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98"/>
      <c r="B408" s="119" t="s">
        <v>862</v>
      </c>
      <c r="C408" s="110"/>
      <c r="D408" s="120">
        <v>42123.0</v>
      </c>
      <c r="E408" s="121" t="s">
        <v>863</v>
      </c>
      <c r="F408" s="109"/>
      <c r="G408" s="109"/>
      <c r="H408" s="109"/>
      <c r="I408" s="109"/>
      <c r="J408" s="109"/>
      <c r="K408" s="110"/>
      <c r="L408" s="110"/>
      <c r="M408" s="110"/>
      <c r="N408" s="110"/>
      <c r="O408" s="110"/>
      <c r="P408" s="110"/>
      <c r="Q408" s="110"/>
      <c r="R408" s="110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98"/>
      <c r="B409" s="119" t="s">
        <v>864</v>
      </c>
      <c r="C409" s="110"/>
      <c r="D409" s="122">
        <v>42295.0</v>
      </c>
      <c r="E409" s="121" t="s">
        <v>865</v>
      </c>
      <c r="F409" s="109"/>
      <c r="G409" s="109"/>
      <c r="H409" s="109"/>
      <c r="I409" s="109"/>
      <c r="J409" s="109"/>
      <c r="K409" s="110"/>
      <c r="L409" s="110"/>
      <c r="M409" s="110"/>
      <c r="N409" s="110"/>
      <c r="O409" s="110"/>
      <c r="P409" s="110"/>
      <c r="Q409" s="110"/>
      <c r="R409" s="110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98"/>
      <c r="B410" s="119" t="s">
        <v>866</v>
      </c>
      <c r="C410" s="110"/>
      <c r="D410" s="122">
        <v>42332.0</v>
      </c>
      <c r="E410" s="121" t="s">
        <v>867</v>
      </c>
      <c r="F410" s="109"/>
      <c r="G410" s="109"/>
      <c r="H410" s="109"/>
      <c r="I410" s="109"/>
      <c r="J410" s="109"/>
      <c r="K410" s="110"/>
      <c r="L410" s="110"/>
      <c r="M410" s="110"/>
      <c r="N410" s="110"/>
      <c r="O410" s="110"/>
      <c r="P410" s="110"/>
      <c r="Q410" s="110"/>
      <c r="R410" s="110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98"/>
      <c r="B411" s="119" t="s">
        <v>868</v>
      </c>
      <c r="C411" s="110"/>
      <c r="D411" s="120">
        <v>42414.0</v>
      </c>
      <c r="E411" s="121" t="s">
        <v>869</v>
      </c>
      <c r="F411" s="109"/>
      <c r="G411" s="109"/>
      <c r="H411" s="109"/>
      <c r="I411" s="109"/>
      <c r="J411" s="109"/>
      <c r="K411" s="110"/>
      <c r="L411" s="110"/>
      <c r="M411" s="110"/>
      <c r="N411" s="110"/>
      <c r="O411" s="110"/>
      <c r="P411" s="110"/>
      <c r="Q411" s="110"/>
      <c r="R411" s="110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98"/>
      <c r="B412" s="119" t="s">
        <v>870</v>
      </c>
      <c r="C412" s="110"/>
      <c r="D412" s="120">
        <v>42241.0</v>
      </c>
      <c r="E412" s="121" t="s">
        <v>871</v>
      </c>
      <c r="F412" s="109"/>
      <c r="G412" s="109"/>
      <c r="H412" s="109"/>
      <c r="I412" s="109"/>
      <c r="J412" s="109"/>
      <c r="K412" s="110"/>
      <c r="L412" s="110"/>
      <c r="M412" s="110"/>
      <c r="N412" s="110"/>
      <c r="O412" s="110"/>
      <c r="P412" s="110"/>
      <c r="Q412" s="110"/>
      <c r="R412" s="110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98"/>
      <c r="B413" s="119" t="s">
        <v>872</v>
      </c>
      <c r="C413" s="110"/>
      <c r="D413" s="120">
        <v>42432.0</v>
      </c>
      <c r="E413" s="121" t="s">
        <v>873</v>
      </c>
      <c r="F413" s="109"/>
      <c r="G413" s="109"/>
      <c r="H413" s="109"/>
      <c r="I413" s="109"/>
      <c r="J413" s="109"/>
      <c r="K413" s="110"/>
      <c r="L413" s="110"/>
      <c r="M413" s="110"/>
      <c r="N413" s="110"/>
      <c r="O413" s="110"/>
      <c r="P413" s="110"/>
      <c r="Q413" s="110"/>
      <c r="R413" s="110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98"/>
      <c r="B414" s="119" t="s">
        <v>874</v>
      </c>
      <c r="C414" s="110"/>
      <c r="D414" s="120">
        <v>42073.0</v>
      </c>
      <c r="E414" s="121" t="s">
        <v>875</v>
      </c>
      <c r="F414" s="109"/>
      <c r="G414" s="109"/>
      <c r="H414" s="109"/>
      <c r="I414" s="109"/>
      <c r="J414" s="109"/>
      <c r="K414" s="110"/>
      <c r="L414" s="110"/>
      <c r="M414" s="110"/>
      <c r="N414" s="110"/>
      <c r="O414" s="110"/>
      <c r="P414" s="110"/>
      <c r="Q414" s="110"/>
      <c r="R414" s="110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98"/>
      <c r="B415" s="119" t="s">
        <v>876</v>
      </c>
      <c r="C415" s="110"/>
      <c r="D415" s="120">
        <v>42174.0</v>
      </c>
      <c r="E415" s="121" t="s">
        <v>877</v>
      </c>
      <c r="F415" s="109"/>
      <c r="G415" s="109"/>
      <c r="H415" s="109"/>
      <c r="I415" s="109"/>
      <c r="J415" s="109"/>
      <c r="K415" s="110"/>
      <c r="L415" s="110"/>
      <c r="M415" s="110"/>
      <c r="N415" s="110"/>
      <c r="O415" s="110"/>
      <c r="P415" s="110"/>
      <c r="Q415" s="110"/>
      <c r="R415" s="110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98"/>
      <c r="B416" s="119" t="s">
        <v>878</v>
      </c>
      <c r="C416" s="110"/>
      <c r="D416" s="120">
        <v>42213.0</v>
      </c>
      <c r="E416" s="121" t="s">
        <v>879</v>
      </c>
      <c r="F416" s="109"/>
      <c r="G416" s="109"/>
      <c r="H416" s="109"/>
      <c r="I416" s="109"/>
      <c r="J416" s="109"/>
      <c r="K416" s="110"/>
      <c r="L416" s="110"/>
      <c r="M416" s="110"/>
      <c r="N416" s="110"/>
      <c r="O416" s="110"/>
      <c r="P416" s="110"/>
      <c r="Q416" s="110"/>
      <c r="R416" s="110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98"/>
      <c r="B417" s="119" t="s">
        <v>880</v>
      </c>
      <c r="C417" s="110"/>
      <c r="D417" s="120">
        <v>42185.0</v>
      </c>
      <c r="E417" s="121" t="s">
        <v>881</v>
      </c>
      <c r="F417" s="109"/>
      <c r="G417" s="109"/>
      <c r="H417" s="109"/>
      <c r="I417" s="109"/>
      <c r="J417" s="109"/>
      <c r="K417" s="110"/>
      <c r="L417" s="110"/>
      <c r="M417" s="110"/>
      <c r="N417" s="110"/>
      <c r="O417" s="110"/>
      <c r="P417" s="110"/>
      <c r="Q417" s="110"/>
      <c r="R417" s="110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98"/>
      <c r="B418" s="119" t="s">
        <v>882</v>
      </c>
      <c r="C418" s="110"/>
      <c r="D418" s="122">
        <v>42321.0</v>
      </c>
      <c r="E418" s="121" t="s">
        <v>883</v>
      </c>
      <c r="F418" s="109"/>
      <c r="G418" s="109"/>
      <c r="H418" s="109"/>
      <c r="I418" s="109"/>
      <c r="J418" s="109"/>
      <c r="K418" s="110"/>
      <c r="L418" s="110"/>
      <c r="M418" s="110"/>
      <c r="N418" s="110"/>
      <c r="O418" s="110"/>
      <c r="P418" s="110"/>
      <c r="Q418" s="110"/>
      <c r="R418" s="110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98"/>
      <c r="B419" s="119" t="s">
        <v>884</v>
      </c>
      <c r="C419" s="110"/>
      <c r="D419" s="122">
        <v>41993.0</v>
      </c>
      <c r="E419" s="121" t="s">
        <v>835</v>
      </c>
      <c r="F419" s="109"/>
      <c r="G419" s="109"/>
      <c r="H419" s="109"/>
      <c r="I419" s="109"/>
      <c r="J419" s="109"/>
      <c r="K419" s="110"/>
      <c r="L419" s="110"/>
      <c r="M419" s="110"/>
      <c r="N419" s="110"/>
      <c r="O419" s="110"/>
      <c r="P419" s="110"/>
      <c r="Q419" s="110"/>
      <c r="R419" s="110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98"/>
      <c r="B420" s="119" t="s">
        <v>885</v>
      </c>
      <c r="C420" s="110"/>
      <c r="D420" s="120">
        <v>42439.0</v>
      </c>
      <c r="E420" s="121" t="s">
        <v>886</v>
      </c>
      <c r="F420" s="109"/>
      <c r="G420" s="109"/>
      <c r="H420" s="109"/>
      <c r="I420" s="109"/>
      <c r="J420" s="109"/>
      <c r="K420" s="110"/>
      <c r="L420" s="110"/>
      <c r="M420" s="110"/>
      <c r="N420" s="110"/>
      <c r="O420" s="110"/>
      <c r="P420" s="110"/>
      <c r="Q420" s="110"/>
      <c r="R420" s="110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98"/>
      <c r="B421" s="119" t="s">
        <v>887</v>
      </c>
      <c r="C421" s="110"/>
      <c r="D421" s="120">
        <v>42312.0</v>
      </c>
      <c r="E421" s="121" t="s">
        <v>888</v>
      </c>
      <c r="F421" s="109"/>
      <c r="G421" s="109"/>
      <c r="H421" s="109"/>
      <c r="I421" s="109"/>
      <c r="J421" s="109"/>
      <c r="K421" s="110"/>
      <c r="L421" s="110"/>
      <c r="M421" s="110"/>
      <c r="N421" s="110"/>
      <c r="O421" s="110"/>
      <c r="P421" s="110"/>
      <c r="Q421" s="110"/>
      <c r="R421" s="110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98"/>
      <c r="B422" s="119" t="s">
        <v>889</v>
      </c>
      <c r="C422" s="110"/>
      <c r="D422" s="120">
        <v>42183.0</v>
      </c>
      <c r="E422" s="121" t="s">
        <v>890</v>
      </c>
      <c r="F422" s="109"/>
      <c r="G422" s="109"/>
      <c r="H422" s="109"/>
      <c r="I422" s="109"/>
      <c r="J422" s="109"/>
      <c r="K422" s="110"/>
      <c r="L422" s="110"/>
      <c r="M422" s="110"/>
      <c r="N422" s="110"/>
      <c r="O422" s="110"/>
      <c r="P422" s="110"/>
      <c r="Q422" s="110"/>
      <c r="R422" s="110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98"/>
      <c r="B423" s="119" t="s">
        <v>891</v>
      </c>
      <c r="C423" s="110"/>
      <c r="D423" s="122">
        <v>42326.0</v>
      </c>
      <c r="E423" s="121" t="s">
        <v>892</v>
      </c>
      <c r="F423" s="109"/>
      <c r="G423" s="109"/>
      <c r="H423" s="109"/>
      <c r="I423" s="109"/>
      <c r="J423" s="109"/>
      <c r="K423" s="110"/>
      <c r="L423" s="110"/>
      <c r="M423" s="110"/>
      <c r="N423" s="110"/>
      <c r="O423" s="110"/>
      <c r="P423" s="110"/>
      <c r="Q423" s="110"/>
      <c r="R423" s="110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98"/>
      <c r="B424" s="119" t="s">
        <v>893</v>
      </c>
      <c r="C424" s="110"/>
      <c r="D424" s="122">
        <v>41930.0</v>
      </c>
      <c r="E424" s="121" t="s">
        <v>894</v>
      </c>
      <c r="F424" s="109"/>
      <c r="G424" s="109"/>
      <c r="H424" s="109"/>
      <c r="I424" s="109"/>
      <c r="J424" s="109"/>
      <c r="K424" s="110"/>
      <c r="L424" s="110"/>
      <c r="M424" s="110"/>
      <c r="N424" s="110"/>
      <c r="O424" s="110"/>
      <c r="P424" s="110"/>
      <c r="Q424" s="110"/>
      <c r="R424" s="110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98"/>
      <c r="B425" s="119" t="s">
        <v>895</v>
      </c>
      <c r="C425" s="110"/>
      <c r="D425" s="120">
        <v>42091.0</v>
      </c>
      <c r="E425" s="121" t="s">
        <v>896</v>
      </c>
      <c r="F425" s="109"/>
      <c r="G425" s="109"/>
      <c r="H425" s="109"/>
      <c r="I425" s="109"/>
      <c r="J425" s="109"/>
      <c r="K425" s="110"/>
      <c r="L425" s="110"/>
      <c r="M425" s="110"/>
      <c r="N425" s="110"/>
      <c r="O425" s="110"/>
      <c r="P425" s="110"/>
      <c r="Q425" s="110"/>
      <c r="R425" s="110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98"/>
      <c r="B426" s="119" t="s">
        <v>897</v>
      </c>
      <c r="C426" s="110"/>
      <c r="D426" s="122">
        <v>41923.0</v>
      </c>
      <c r="E426" s="121" t="s">
        <v>898</v>
      </c>
      <c r="F426" s="109"/>
      <c r="G426" s="109"/>
      <c r="H426" s="109"/>
      <c r="I426" s="109"/>
      <c r="J426" s="109"/>
      <c r="K426" s="110"/>
      <c r="L426" s="110"/>
      <c r="M426" s="110"/>
      <c r="N426" s="110"/>
      <c r="O426" s="110"/>
      <c r="P426" s="110"/>
      <c r="Q426" s="110"/>
      <c r="R426" s="110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98"/>
      <c r="B427" s="119" t="s">
        <v>899</v>
      </c>
      <c r="C427" s="110"/>
      <c r="D427" s="122">
        <v>41929.0</v>
      </c>
      <c r="E427" s="121" t="s">
        <v>900</v>
      </c>
      <c r="F427" s="109"/>
      <c r="G427" s="109"/>
      <c r="H427" s="109"/>
      <c r="I427" s="109"/>
      <c r="J427" s="109"/>
      <c r="K427" s="110"/>
      <c r="L427" s="110"/>
      <c r="M427" s="110"/>
      <c r="N427" s="110"/>
      <c r="O427" s="110"/>
      <c r="P427" s="110"/>
      <c r="Q427" s="110"/>
      <c r="R427" s="110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98"/>
      <c r="B428" s="119" t="s">
        <v>901</v>
      </c>
      <c r="C428" s="110"/>
      <c r="D428" s="120">
        <v>41646.0</v>
      </c>
      <c r="E428" s="121" t="s">
        <v>902</v>
      </c>
      <c r="F428" s="109"/>
      <c r="G428" s="109"/>
      <c r="H428" s="109"/>
      <c r="I428" s="109"/>
      <c r="J428" s="109"/>
      <c r="K428" s="110"/>
      <c r="L428" s="110"/>
      <c r="M428" s="110"/>
      <c r="N428" s="110"/>
      <c r="O428" s="110"/>
      <c r="P428" s="110"/>
      <c r="Q428" s="110"/>
      <c r="R428" s="110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98"/>
      <c r="B429" s="119" t="s">
        <v>903</v>
      </c>
      <c r="C429" s="110"/>
      <c r="D429" s="120">
        <v>41829.0</v>
      </c>
      <c r="E429" s="121" t="s">
        <v>296</v>
      </c>
      <c r="F429" s="109"/>
      <c r="G429" s="109"/>
      <c r="H429" s="109"/>
      <c r="I429" s="109"/>
      <c r="J429" s="109"/>
      <c r="K429" s="110"/>
      <c r="L429" s="110"/>
      <c r="M429" s="110"/>
      <c r="N429" s="110"/>
      <c r="O429" s="110"/>
      <c r="P429" s="110"/>
      <c r="Q429" s="110"/>
      <c r="R429" s="110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98"/>
      <c r="B430" s="119" t="s">
        <v>904</v>
      </c>
      <c r="C430" s="110"/>
      <c r="D430" s="120">
        <v>41711.0</v>
      </c>
      <c r="E430" s="121" t="s">
        <v>905</v>
      </c>
      <c r="F430" s="109"/>
      <c r="G430" s="109"/>
      <c r="H430" s="109"/>
      <c r="I430" s="109"/>
      <c r="J430" s="109"/>
      <c r="K430" s="110"/>
      <c r="L430" s="110"/>
      <c r="M430" s="110"/>
      <c r="N430" s="110"/>
      <c r="O430" s="110"/>
      <c r="P430" s="110"/>
      <c r="Q430" s="110"/>
      <c r="R430" s="110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98"/>
      <c r="B431" s="119" t="s">
        <v>906</v>
      </c>
      <c r="C431" s="110"/>
      <c r="D431" s="122">
        <v>41937.0</v>
      </c>
      <c r="E431" s="121" t="s">
        <v>907</v>
      </c>
      <c r="F431" s="109"/>
      <c r="G431" s="109"/>
      <c r="H431" s="109"/>
      <c r="I431" s="109"/>
      <c r="J431" s="109"/>
      <c r="K431" s="110"/>
      <c r="L431" s="110"/>
      <c r="M431" s="110"/>
      <c r="N431" s="110"/>
      <c r="O431" s="110"/>
      <c r="P431" s="110"/>
      <c r="Q431" s="110"/>
      <c r="R431" s="110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98"/>
      <c r="B432" s="119" t="s">
        <v>908</v>
      </c>
      <c r="C432" s="110"/>
      <c r="D432" s="120">
        <v>41755.0</v>
      </c>
      <c r="E432" s="121" t="s">
        <v>909</v>
      </c>
      <c r="F432" s="109"/>
      <c r="G432" s="109"/>
      <c r="H432" s="109"/>
      <c r="I432" s="109"/>
      <c r="J432" s="109"/>
      <c r="K432" s="110"/>
      <c r="L432" s="110"/>
      <c r="M432" s="110"/>
      <c r="N432" s="110"/>
      <c r="O432" s="110"/>
      <c r="P432" s="110"/>
      <c r="Q432" s="110"/>
      <c r="R432" s="110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98"/>
      <c r="B433" s="119" t="s">
        <v>910</v>
      </c>
      <c r="C433" s="110"/>
      <c r="D433" s="120">
        <v>41840.0</v>
      </c>
      <c r="E433" s="121" t="s">
        <v>911</v>
      </c>
      <c r="F433" s="109"/>
      <c r="G433" s="109"/>
      <c r="H433" s="109"/>
      <c r="I433" s="109"/>
      <c r="J433" s="109"/>
      <c r="K433" s="110"/>
      <c r="L433" s="110"/>
      <c r="M433" s="110"/>
      <c r="N433" s="110"/>
      <c r="O433" s="110"/>
      <c r="P433" s="110"/>
      <c r="Q433" s="110"/>
      <c r="R433" s="110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98"/>
      <c r="B434" s="119" t="s">
        <v>912</v>
      </c>
      <c r="C434" s="110"/>
      <c r="D434" s="120">
        <v>41887.0</v>
      </c>
      <c r="E434" s="121" t="s">
        <v>913</v>
      </c>
      <c r="F434" s="109"/>
      <c r="G434" s="109"/>
      <c r="H434" s="109"/>
      <c r="I434" s="109"/>
      <c r="J434" s="109"/>
      <c r="K434" s="110"/>
      <c r="L434" s="110"/>
      <c r="M434" s="110"/>
      <c r="N434" s="110"/>
      <c r="O434" s="110"/>
      <c r="P434" s="110"/>
      <c r="Q434" s="110"/>
      <c r="R434" s="110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98"/>
      <c r="B435" s="119" t="s">
        <v>914</v>
      </c>
      <c r="C435" s="110"/>
      <c r="D435" s="120">
        <v>41896.0</v>
      </c>
      <c r="E435" s="121" t="s">
        <v>915</v>
      </c>
      <c r="F435" s="109"/>
      <c r="G435" s="109"/>
      <c r="H435" s="109"/>
      <c r="I435" s="109"/>
      <c r="J435" s="109"/>
      <c r="K435" s="110"/>
      <c r="L435" s="110"/>
      <c r="M435" s="110"/>
      <c r="N435" s="110"/>
      <c r="O435" s="110"/>
      <c r="P435" s="110"/>
      <c r="Q435" s="110"/>
      <c r="R435" s="110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98"/>
      <c r="B436" s="119" t="s">
        <v>916</v>
      </c>
      <c r="C436" s="110"/>
      <c r="D436" s="120">
        <v>41442.0</v>
      </c>
      <c r="E436" s="121" t="s">
        <v>917</v>
      </c>
      <c r="F436" s="109"/>
      <c r="G436" s="109"/>
      <c r="H436" s="109"/>
      <c r="I436" s="109"/>
      <c r="J436" s="109"/>
      <c r="K436" s="110"/>
      <c r="L436" s="110"/>
      <c r="M436" s="110"/>
      <c r="N436" s="110"/>
      <c r="O436" s="110"/>
      <c r="P436" s="110"/>
      <c r="Q436" s="110"/>
      <c r="R436" s="110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98"/>
      <c r="B437" s="119" t="s">
        <v>918</v>
      </c>
      <c r="C437" s="110"/>
      <c r="D437" s="120">
        <v>41544.0</v>
      </c>
      <c r="E437" s="121" t="s">
        <v>919</v>
      </c>
      <c r="F437" s="109"/>
      <c r="G437" s="109"/>
      <c r="H437" s="109"/>
      <c r="I437" s="109"/>
      <c r="J437" s="109"/>
      <c r="K437" s="110"/>
      <c r="L437" s="110"/>
      <c r="M437" s="110"/>
      <c r="N437" s="110"/>
      <c r="O437" s="110"/>
      <c r="P437" s="110"/>
      <c r="Q437" s="110"/>
      <c r="R437" s="110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98"/>
      <c r="B438" s="119" t="s">
        <v>920</v>
      </c>
      <c r="C438" s="110"/>
      <c r="D438" s="120">
        <v>41760.0</v>
      </c>
      <c r="E438" s="121" t="s">
        <v>921</v>
      </c>
      <c r="F438" s="109"/>
      <c r="G438" s="109"/>
      <c r="H438" s="109"/>
      <c r="I438" s="109"/>
      <c r="J438" s="109"/>
      <c r="K438" s="110"/>
      <c r="L438" s="110"/>
      <c r="M438" s="110"/>
      <c r="N438" s="110"/>
      <c r="O438" s="110"/>
      <c r="P438" s="110"/>
      <c r="Q438" s="110"/>
      <c r="R438" s="110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98"/>
      <c r="B439" s="119" t="s">
        <v>922</v>
      </c>
      <c r="C439" s="110"/>
      <c r="D439" s="122">
        <v>41602.0</v>
      </c>
      <c r="E439" s="121" t="s">
        <v>923</v>
      </c>
      <c r="F439" s="109"/>
      <c r="G439" s="109"/>
      <c r="H439" s="109"/>
      <c r="I439" s="109"/>
      <c r="J439" s="109"/>
      <c r="K439" s="110"/>
      <c r="L439" s="110"/>
      <c r="M439" s="110"/>
      <c r="N439" s="110"/>
      <c r="O439" s="110"/>
      <c r="P439" s="110"/>
      <c r="Q439" s="110"/>
      <c r="R439" s="110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98"/>
      <c r="B440" s="119" t="s">
        <v>924</v>
      </c>
      <c r="C440" s="110"/>
      <c r="D440" s="120">
        <v>41550.0</v>
      </c>
      <c r="E440" s="121" t="s">
        <v>925</v>
      </c>
      <c r="F440" s="109"/>
      <c r="G440" s="109"/>
      <c r="H440" s="109"/>
      <c r="I440" s="109"/>
      <c r="J440" s="109"/>
      <c r="K440" s="110"/>
      <c r="L440" s="110"/>
      <c r="M440" s="110"/>
      <c r="N440" s="110"/>
      <c r="O440" s="110"/>
      <c r="P440" s="110"/>
      <c r="Q440" s="110"/>
      <c r="R440" s="110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98"/>
      <c r="B441" s="119" t="s">
        <v>926</v>
      </c>
      <c r="C441" s="110"/>
      <c r="D441" s="120">
        <v>41392.0</v>
      </c>
      <c r="E441" s="121" t="s">
        <v>927</v>
      </c>
      <c r="F441" s="109"/>
      <c r="G441" s="109"/>
      <c r="H441" s="109"/>
      <c r="I441" s="109"/>
      <c r="J441" s="109"/>
      <c r="K441" s="110"/>
      <c r="L441" s="110"/>
      <c r="M441" s="110"/>
      <c r="N441" s="110"/>
      <c r="O441" s="110"/>
      <c r="P441" s="110"/>
      <c r="Q441" s="110"/>
      <c r="R441" s="110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98"/>
      <c r="B442" s="119" t="s">
        <v>928</v>
      </c>
      <c r="C442" s="110"/>
      <c r="D442" s="120">
        <v>41490.0</v>
      </c>
      <c r="E442" s="121" t="s">
        <v>929</v>
      </c>
      <c r="F442" s="109"/>
      <c r="G442" s="109"/>
      <c r="H442" s="109"/>
      <c r="I442" s="109"/>
      <c r="J442" s="109"/>
      <c r="K442" s="110"/>
      <c r="L442" s="110"/>
      <c r="M442" s="110"/>
      <c r="N442" s="110"/>
      <c r="O442" s="110"/>
      <c r="P442" s="110"/>
      <c r="Q442" s="110"/>
      <c r="R442" s="110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98"/>
      <c r="B443" s="119" t="s">
        <v>930</v>
      </c>
      <c r="C443" s="110"/>
      <c r="D443" s="120">
        <v>41652.0</v>
      </c>
      <c r="E443" s="121" t="s">
        <v>931</v>
      </c>
      <c r="F443" s="109"/>
      <c r="G443" s="109"/>
      <c r="H443" s="109"/>
      <c r="I443" s="109"/>
      <c r="J443" s="109"/>
      <c r="K443" s="110"/>
      <c r="L443" s="110"/>
      <c r="M443" s="110"/>
      <c r="N443" s="110"/>
      <c r="O443" s="110"/>
      <c r="P443" s="110"/>
      <c r="Q443" s="110"/>
      <c r="R443" s="110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98"/>
      <c r="B444" s="119" t="s">
        <v>932</v>
      </c>
      <c r="C444" s="110"/>
      <c r="D444" s="120">
        <v>41768.0</v>
      </c>
      <c r="E444" s="121" t="s">
        <v>933</v>
      </c>
      <c r="F444" s="109"/>
      <c r="G444" s="109"/>
      <c r="H444" s="109"/>
      <c r="I444" s="109"/>
      <c r="J444" s="109"/>
      <c r="K444" s="110"/>
      <c r="L444" s="110"/>
      <c r="M444" s="110"/>
      <c r="N444" s="110"/>
      <c r="O444" s="110"/>
      <c r="P444" s="110"/>
      <c r="Q444" s="110"/>
      <c r="R444" s="110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98"/>
      <c r="B445" s="119" t="s">
        <v>934</v>
      </c>
      <c r="C445" s="110"/>
      <c r="D445" s="120">
        <v>41282.0</v>
      </c>
      <c r="E445" s="121" t="s">
        <v>890</v>
      </c>
      <c r="F445" s="109"/>
      <c r="G445" s="109"/>
      <c r="H445" s="109"/>
      <c r="I445" s="109"/>
      <c r="J445" s="109"/>
      <c r="K445" s="110"/>
      <c r="L445" s="110"/>
      <c r="M445" s="110"/>
      <c r="N445" s="110"/>
      <c r="O445" s="110"/>
      <c r="P445" s="110"/>
      <c r="Q445" s="110"/>
      <c r="R445" s="110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98"/>
      <c r="B446" s="119" t="s">
        <v>935</v>
      </c>
      <c r="C446" s="110"/>
      <c r="D446" s="120">
        <v>41671.0</v>
      </c>
      <c r="E446" s="121" t="s">
        <v>275</v>
      </c>
      <c r="F446" s="109"/>
      <c r="G446" s="109"/>
      <c r="H446" s="109"/>
      <c r="I446" s="109"/>
      <c r="J446" s="109"/>
      <c r="K446" s="110"/>
      <c r="L446" s="110"/>
      <c r="M446" s="110"/>
      <c r="N446" s="110"/>
      <c r="O446" s="110"/>
      <c r="P446" s="110"/>
      <c r="Q446" s="110"/>
      <c r="R446" s="110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98"/>
      <c r="B447" s="119" t="s">
        <v>936</v>
      </c>
      <c r="C447" s="110"/>
      <c r="D447" s="120">
        <v>41668.0</v>
      </c>
      <c r="E447" s="121" t="s">
        <v>937</v>
      </c>
      <c r="F447" s="109"/>
      <c r="G447" s="109"/>
      <c r="H447" s="109"/>
      <c r="I447" s="109"/>
      <c r="J447" s="109"/>
      <c r="K447" s="110"/>
      <c r="L447" s="110"/>
      <c r="M447" s="110"/>
      <c r="N447" s="110"/>
      <c r="O447" s="110"/>
      <c r="P447" s="110"/>
      <c r="Q447" s="110"/>
      <c r="R447" s="110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98"/>
      <c r="B448" s="119" t="s">
        <v>938</v>
      </c>
      <c r="C448" s="110"/>
      <c r="D448" s="120">
        <v>41479.0</v>
      </c>
      <c r="E448" s="121" t="s">
        <v>939</v>
      </c>
      <c r="F448" s="109"/>
      <c r="G448" s="109"/>
      <c r="H448" s="109"/>
      <c r="I448" s="109"/>
      <c r="J448" s="109"/>
      <c r="K448" s="110"/>
      <c r="L448" s="110"/>
      <c r="M448" s="110"/>
      <c r="N448" s="110"/>
      <c r="O448" s="110"/>
      <c r="P448" s="110"/>
      <c r="Q448" s="110"/>
      <c r="R448" s="110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98"/>
      <c r="B449" s="119" t="s">
        <v>940</v>
      </c>
      <c r="C449" s="110"/>
      <c r="D449" s="120">
        <v>41407.0</v>
      </c>
      <c r="E449" s="121" t="s">
        <v>411</v>
      </c>
      <c r="F449" s="109"/>
      <c r="G449" s="109"/>
      <c r="H449" s="109"/>
      <c r="I449" s="109"/>
      <c r="J449" s="109"/>
      <c r="K449" s="110"/>
      <c r="L449" s="110"/>
      <c r="M449" s="110"/>
      <c r="N449" s="110"/>
      <c r="O449" s="110"/>
      <c r="P449" s="110"/>
      <c r="Q449" s="110"/>
      <c r="R449" s="110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98"/>
      <c r="B450" s="119" t="s">
        <v>941</v>
      </c>
      <c r="C450" s="110"/>
      <c r="D450" s="120">
        <v>41609.0</v>
      </c>
      <c r="E450" s="121" t="s">
        <v>942</v>
      </c>
      <c r="F450" s="109"/>
      <c r="G450" s="109"/>
      <c r="H450" s="109"/>
      <c r="I450" s="109"/>
      <c r="J450" s="109"/>
      <c r="K450" s="110"/>
      <c r="L450" s="110"/>
      <c r="M450" s="110"/>
      <c r="N450" s="110"/>
      <c r="O450" s="110"/>
      <c r="P450" s="110"/>
      <c r="Q450" s="110"/>
      <c r="R450" s="110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98"/>
      <c r="B451" s="119" t="s">
        <v>943</v>
      </c>
      <c r="C451" s="110"/>
      <c r="D451" s="120">
        <v>41757.0</v>
      </c>
      <c r="E451" s="121" t="s">
        <v>944</v>
      </c>
      <c r="F451" s="109"/>
      <c r="G451" s="109"/>
      <c r="H451" s="109"/>
      <c r="I451" s="109"/>
      <c r="J451" s="109"/>
      <c r="K451" s="110"/>
      <c r="L451" s="110"/>
      <c r="M451" s="110"/>
      <c r="N451" s="110"/>
      <c r="O451" s="110"/>
      <c r="P451" s="110"/>
      <c r="Q451" s="110"/>
      <c r="R451" s="110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98"/>
      <c r="B452" s="119" t="s">
        <v>945</v>
      </c>
      <c r="C452" s="110"/>
      <c r="D452" s="122">
        <v>41229.0</v>
      </c>
      <c r="E452" s="121" t="s">
        <v>946</v>
      </c>
      <c r="F452" s="109"/>
      <c r="G452" s="109"/>
      <c r="H452" s="109"/>
      <c r="I452" s="109"/>
      <c r="J452" s="109"/>
      <c r="K452" s="110"/>
      <c r="L452" s="110"/>
      <c r="M452" s="110"/>
      <c r="N452" s="110"/>
      <c r="O452" s="110"/>
      <c r="P452" s="110"/>
      <c r="Q452" s="110"/>
      <c r="R452" s="110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98"/>
      <c r="B453" s="119" t="s">
        <v>947</v>
      </c>
      <c r="C453" s="110"/>
      <c r="D453" s="120">
        <v>41521.0</v>
      </c>
      <c r="E453" s="121" t="s">
        <v>948</v>
      </c>
      <c r="F453" s="109"/>
      <c r="G453" s="109"/>
      <c r="H453" s="109"/>
      <c r="I453" s="109"/>
      <c r="J453" s="109"/>
      <c r="K453" s="110"/>
      <c r="L453" s="110"/>
      <c r="M453" s="110"/>
      <c r="N453" s="110"/>
      <c r="O453" s="110"/>
      <c r="P453" s="110"/>
      <c r="Q453" s="110"/>
      <c r="R453" s="110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98"/>
      <c r="B454" s="119" t="s">
        <v>949</v>
      </c>
      <c r="C454" s="110"/>
      <c r="D454" s="120">
        <v>41784.0</v>
      </c>
      <c r="E454" s="121" t="s">
        <v>950</v>
      </c>
      <c r="F454" s="109"/>
      <c r="G454" s="109"/>
      <c r="H454" s="109"/>
      <c r="I454" s="109"/>
      <c r="J454" s="109"/>
      <c r="K454" s="110"/>
      <c r="L454" s="110"/>
      <c r="M454" s="110"/>
      <c r="N454" s="110"/>
      <c r="O454" s="110"/>
      <c r="P454" s="110"/>
      <c r="Q454" s="110"/>
      <c r="R454" s="110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98"/>
      <c r="B455" s="119" t="s">
        <v>951</v>
      </c>
      <c r="C455" s="110"/>
      <c r="D455" s="122">
        <v>41588.0</v>
      </c>
      <c r="E455" s="121" t="s">
        <v>952</v>
      </c>
      <c r="F455" s="109"/>
      <c r="G455" s="109"/>
      <c r="H455" s="109"/>
      <c r="I455" s="109"/>
      <c r="J455" s="109"/>
      <c r="K455" s="110"/>
      <c r="L455" s="110"/>
      <c r="M455" s="110"/>
      <c r="N455" s="110"/>
      <c r="O455" s="110"/>
      <c r="P455" s="110"/>
      <c r="Q455" s="110"/>
      <c r="R455" s="110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98"/>
      <c r="B456" s="119" t="s">
        <v>953</v>
      </c>
      <c r="C456" s="110"/>
      <c r="D456" s="120">
        <v>41448.0</v>
      </c>
      <c r="E456" s="121" t="s">
        <v>954</v>
      </c>
      <c r="F456" s="109"/>
      <c r="G456" s="109"/>
      <c r="H456" s="109"/>
      <c r="I456" s="109"/>
      <c r="J456" s="109"/>
      <c r="K456" s="110"/>
      <c r="L456" s="110"/>
      <c r="M456" s="110"/>
      <c r="N456" s="110"/>
      <c r="O456" s="110"/>
      <c r="P456" s="110"/>
      <c r="Q456" s="110"/>
      <c r="R456" s="110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98"/>
      <c r="B457" s="119" t="s">
        <v>955</v>
      </c>
      <c r="C457" s="110"/>
      <c r="D457" s="120">
        <v>41503.0</v>
      </c>
      <c r="E457" s="121" t="s">
        <v>956</v>
      </c>
      <c r="F457" s="109"/>
      <c r="G457" s="109"/>
      <c r="H457" s="109"/>
      <c r="I457" s="109"/>
      <c r="J457" s="109"/>
      <c r="K457" s="110"/>
      <c r="L457" s="110"/>
      <c r="M457" s="110"/>
      <c r="N457" s="110"/>
      <c r="O457" s="110"/>
      <c r="P457" s="110"/>
      <c r="Q457" s="110"/>
      <c r="R457" s="110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98"/>
      <c r="B458" s="123"/>
      <c r="C458" s="110"/>
      <c r="D458" s="123"/>
      <c r="E458" s="124"/>
      <c r="F458" s="109"/>
      <c r="G458" s="109"/>
      <c r="H458" s="109"/>
      <c r="I458" s="109"/>
      <c r="J458" s="109"/>
      <c r="K458" s="110"/>
      <c r="L458" s="110"/>
      <c r="M458" s="110"/>
      <c r="N458" s="110"/>
      <c r="O458" s="110"/>
      <c r="P458" s="110"/>
      <c r="Q458" s="110"/>
      <c r="R458" s="110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98"/>
      <c r="B459" s="123"/>
      <c r="C459" s="110"/>
      <c r="D459" s="123"/>
      <c r="E459" s="124"/>
      <c r="F459" s="109"/>
      <c r="G459" s="109"/>
      <c r="H459" s="109"/>
      <c r="I459" s="109"/>
      <c r="J459" s="109"/>
      <c r="K459" s="110"/>
      <c r="L459" s="110"/>
      <c r="M459" s="110"/>
      <c r="N459" s="110"/>
      <c r="O459" s="110"/>
      <c r="P459" s="110"/>
      <c r="Q459" s="110"/>
      <c r="R459" s="110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98"/>
      <c r="B460" s="123"/>
      <c r="C460" s="110"/>
      <c r="D460" s="123"/>
      <c r="E460" s="124"/>
      <c r="F460" s="109"/>
      <c r="G460" s="109"/>
      <c r="H460" s="109"/>
      <c r="I460" s="109"/>
      <c r="J460" s="109"/>
      <c r="K460" s="110"/>
      <c r="L460" s="110"/>
      <c r="M460" s="110"/>
      <c r="N460" s="110"/>
      <c r="O460" s="110"/>
      <c r="P460" s="110"/>
      <c r="Q460" s="110"/>
      <c r="R460" s="110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98"/>
      <c r="B461" s="110"/>
      <c r="C461" s="110"/>
      <c r="D461" s="123"/>
      <c r="E461" s="124"/>
      <c r="F461" s="109"/>
      <c r="G461" s="109"/>
      <c r="H461" s="109"/>
      <c r="I461" s="109"/>
      <c r="J461" s="109"/>
      <c r="K461" s="110"/>
      <c r="L461" s="110"/>
      <c r="M461" s="110"/>
      <c r="N461" s="110"/>
      <c r="O461" s="110"/>
      <c r="P461" s="110"/>
      <c r="Q461" s="110"/>
      <c r="R461" s="110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98"/>
      <c r="B462" s="110"/>
      <c r="C462" s="110"/>
      <c r="D462" s="123"/>
      <c r="E462" s="124"/>
      <c r="F462" s="109"/>
      <c r="G462" s="109"/>
      <c r="H462" s="109"/>
      <c r="I462" s="109"/>
      <c r="J462" s="109"/>
      <c r="K462" s="110"/>
      <c r="L462" s="110"/>
      <c r="M462" s="110"/>
      <c r="N462" s="110"/>
      <c r="O462" s="110"/>
      <c r="P462" s="110"/>
      <c r="Q462" s="110"/>
      <c r="R462" s="110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98"/>
      <c r="B463" s="110"/>
      <c r="C463" s="110"/>
      <c r="D463" s="123"/>
      <c r="E463" s="124"/>
      <c r="F463" s="109"/>
      <c r="G463" s="109"/>
      <c r="H463" s="109"/>
      <c r="I463" s="109"/>
      <c r="J463" s="109"/>
      <c r="K463" s="110"/>
      <c r="L463" s="110"/>
      <c r="M463" s="110"/>
      <c r="N463" s="110"/>
      <c r="O463" s="110"/>
      <c r="P463" s="110"/>
      <c r="Q463" s="110"/>
      <c r="R463" s="110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98"/>
      <c r="B464" s="110"/>
      <c r="C464" s="110"/>
      <c r="D464" s="123"/>
      <c r="E464" s="124"/>
      <c r="F464" s="109"/>
      <c r="G464" s="109"/>
      <c r="H464" s="109"/>
      <c r="I464" s="109"/>
      <c r="J464" s="109"/>
      <c r="K464" s="110"/>
      <c r="L464" s="110"/>
      <c r="M464" s="110"/>
      <c r="N464" s="110"/>
      <c r="O464" s="110"/>
      <c r="P464" s="110"/>
      <c r="Q464" s="110"/>
      <c r="R464" s="110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98"/>
      <c r="B465" s="110"/>
      <c r="C465" s="110"/>
      <c r="D465" s="123"/>
      <c r="E465" s="124"/>
      <c r="F465" s="109"/>
      <c r="G465" s="109"/>
      <c r="H465" s="109"/>
      <c r="I465" s="109"/>
      <c r="J465" s="109"/>
      <c r="K465" s="110"/>
      <c r="L465" s="110"/>
      <c r="M465" s="110"/>
      <c r="N465" s="110"/>
      <c r="O465" s="110"/>
      <c r="P465" s="110"/>
      <c r="Q465" s="110"/>
      <c r="R465" s="110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98"/>
      <c r="B466" s="110"/>
      <c r="C466" s="110"/>
      <c r="D466" s="123"/>
      <c r="E466" s="124"/>
      <c r="F466" s="109"/>
      <c r="G466" s="109"/>
      <c r="H466" s="109"/>
      <c r="I466" s="109"/>
      <c r="J466" s="109"/>
      <c r="K466" s="110"/>
      <c r="L466" s="110"/>
      <c r="M466" s="110"/>
      <c r="N466" s="110"/>
      <c r="O466" s="110"/>
      <c r="P466" s="110"/>
      <c r="Q466" s="110"/>
      <c r="R466" s="110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98"/>
      <c r="B467" s="110"/>
      <c r="C467" s="110"/>
      <c r="D467" s="123"/>
      <c r="E467" s="124"/>
      <c r="F467" s="109"/>
      <c r="G467" s="109"/>
      <c r="H467" s="109"/>
      <c r="I467" s="109"/>
      <c r="J467" s="109"/>
      <c r="K467" s="110"/>
      <c r="L467" s="110"/>
      <c r="M467" s="110"/>
      <c r="N467" s="110"/>
      <c r="O467" s="110"/>
      <c r="P467" s="110"/>
      <c r="Q467" s="110"/>
      <c r="R467" s="110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98"/>
      <c r="B468" s="110"/>
      <c r="C468" s="110"/>
      <c r="D468" s="123"/>
      <c r="E468" s="124"/>
      <c r="F468" s="109"/>
      <c r="G468" s="109"/>
      <c r="H468" s="109"/>
      <c r="I468" s="109"/>
      <c r="J468" s="109"/>
      <c r="K468" s="110"/>
      <c r="L468" s="110"/>
      <c r="M468" s="110"/>
      <c r="N468" s="110"/>
      <c r="O468" s="110"/>
      <c r="P468" s="110"/>
      <c r="Q468" s="110"/>
      <c r="R468" s="110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98"/>
      <c r="B469" s="110"/>
      <c r="C469" s="110"/>
      <c r="D469" s="123"/>
      <c r="E469" s="124"/>
      <c r="F469" s="109"/>
      <c r="G469" s="109"/>
      <c r="H469" s="109"/>
      <c r="I469" s="109"/>
      <c r="J469" s="109"/>
      <c r="K469" s="110"/>
      <c r="L469" s="110"/>
      <c r="M469" s="110"/>
      <c r="N469" s="110"/>
      <c r="O469" s="110"/>
      <c r="P469" s="110"/>
      <c r="Q469" s="110"/>
      <c r="R469" s="110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98"/>
      <c r="B470" s="110"/>
      <c r="C470" s="110"/>
      <c r="D470" s="123"/>
      <c r="E470" s="124"/>
      <c r="F470" s="109"/>
      <c r="G470" s="109"/>
      <c r="H470" s="109"/>
      <c r="I470" s="109"/>
      <c r="J470" s="109"/>
      <c r="K470" s="110"/>
      <c r="L470" s="110"/>
      <c r="M470" s="110"/>
      <c r="N470" s="110"/>
      <c r="O470" s="110"/>
      <c r="P470" s="110"/>
      <c r="Q470" s="110"/>
      <c r="R470" s="110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98"/>
      <c r="B471" s="110"/>
      <c r="C471" s="110"/>
      <c r="D471" s="123"/>
      <c r="E471" s="109"/>
      <c r="F471" s="109"/>
      <c r="G471" s="109"/>
      <c r="H471" s="109"/>
      <c r="I471" s="109"/>
      <c r="J471" s="109"/>
      <c r="K471" s="110"/>
      <c r="L471" s="110"/>
      <c r="M471" s="110"/>
      <c r="N471" s="110"/>
      <c r="O471" s="110"/>
      <c r="P471" s="110"/>
      <c r="Q471" s="110"/>
      <c r="R471" s="110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98"/>
      <c r="B472" s="110"/>
      <c r="C472" s="110"/>
      <c r="D472" s="110"/>
      <c r="E472" s="109"/>
      <c r="F472" s="109"/>
      <c r="G472" s="109"/>
      <c r="H472" s="109"/>
      <c r="I472" s="109"/>
      <c r="J472" s="109"/>
      <c r="K472" s="110"/>
      <c r="L472" s="110"/>
      <c r="M472" s="110"/>
      <c r="N472" s="110"/>
      <c r="O472" s="110"/>
      <c r="P472" s="110"/>
      <c r="Q472" s="110"/>
      <c r="R472" s="110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98"/>
      <c r="B473" s="110"/>
      <c r="C473" s="110"/>
      <c r="D473" s="110"/>
      <c r="E473" s="109"/>
      <c r="F473" s="109"/>
      <c r="G473" s="109"/>
      <c r="H473" s="109"/>
      <c r="I473" s="109"/>
      <c r="J473" s="109"/>
      <c r="K473" s="110"/>
      <c r="L473" s="110"/>
      <c r="M473" s="110"/>
      <c r="N473" s="110"/>
      <c r="O473" s="110"/>
      <c r="P473" s="110"/>
      <c r="Q473" s="110"/>
      <c r="R473" s="110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98"/>
      <c r="B474" s="110"/>
      <c r="C474" s="110"/>
      <c r="D474" s="110"/>
      <c r="E474" s="109"/>
      <c r="F474" s="109"/>
      <c r="G474" s="109"/>
      <c r="H474" s="109"/>
      <c r="I474" s="109"/>
      <c r="J474" s="109"/>
      <c r="K474" s="110"/>
      <c r="L474" s="110"/>
      <c r="M474" s="110"/>
      <c r="N474" s="110"/>
      <c r="O474" s="110"/>
      <c r="P474" s="110"/>
      <c r="Q474" s="110"/>
      <c r="R474" s="110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98"/>
      <c r="B475" s="110"/>
      <c r="C475" s="110"/>
      <c r="D475" s="110"/>
      <c r="E475" s="109"/>
      <c r="F475" s="109"/>
      <c r="G475" s="109"/>
      <c r="H475" s="109"/>
      <c r="I475" s="109"/>
      <c r="J475" s="109"/>
      <c r="K475" s="110"/>
      <c r="L475" s="110"/>
      <c r="M475" s="110"/>
      <c r="N475" s="110"/>
      <c r="O475" s="110"/>
      <c r="P475" s="110"/>
      <c r="Q475" s="110"/>
      <c r="R475" s="110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98"/>
      <c r="B476" s="110"/>
      <c r="C476" s="110"/>
      <c r="D476" s="110"/>
      <c r="E476" s="109"/>
      <c r="F476" s="109"/>
      <c r="G476" s="109"/>
      <c r="H476" s="109"/>
      <c r="I476" s="109"/>
      <c r="J476" s="109"/>
      <c r="K476" s="110"/>
      <c r="L476" s="110"/>
      <c r="M476" s="110"/>
      <c r="N476" s="110"/>
      <c r="O476" s="110"/>
      <c r="P476" s="110"/>
      <c r="Q476" s="110"/>
      <c r="R476" s="110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98"/>
      <c r="B477" s="110"/>
      <c r="C477" s="110"/>
      <c r="D477" s="110"/>
      <c r="E477" s="109"/>
      <c r="F477" s="109"/>
      <c r="G477" s="109"/>
      <c r="H477" s="109"/>
      <c r="I477" s="109"/>
      <c r="J477" s="109"/>
      <c r="K477" s="110"/>
      <c r="L477" s="110"/>
      <c r="M477" s="110"/>
      <c r="N477" s="110"/>
      <c r="O477" s="110"/>
      <c r="P477" s="110"/>
      <c r="Q477" s="110"/>
      <c r="R477" s="110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98"/>
      <c r="B478" s="110"/>
      <c r="C478" s="110"/>
      <c r="D478" s="110"/>
      <c r="E478" s="109"/>
      <c r="F478" s="109"/>
      <c r="G478" s="109"/>
      <c r="H478" s="109"/>
      <c r="I478" s="109"/>
      <c r="J478" s="109"/>
      <c r="K478" s="110"/>
      <c r="L478" s="110"/>
      <c r="M478" s="110"/>
      <c r="N478" s="110"/>
      <c r="O478" s="110"/>
      <c r="P478" s="110"/>
      <c r="Q478" s="110"/>
      <c r="R478" s="110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98"/>
      <c r="B479" s="110"/>
      <c r="C479" s="110"/>
      <c r="D479" s="110"/>
      <c r="E479" s="109"/>
      <c r="F479" s="109"/>
      <c r="G479" s="109"/>
      <c r="H479" s="109"/>
      <c r="I479" s="109"/>
      <c r="J479" s="109"/>
      <c r="K479" s="110"/>
      <c r="L479" s="110"/>
      <c r="M479" s="110"/>
      <c r="N479" s="110"/>
      <c r="O479" s="110"/>
      <c r="P479" s="110"/>
      <c r="Q479" s="110"/>
      <c r="R479" s="110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98"/>
      <c r="B480" s="110"/>
      <c r="C480" s="110"/>
      <c r="D480" s="110"/>
      <c r="E480" s="109"/>
      <c r="F480" s="109"/>
      <c r="G480" s="109"/>
      <c r="H480" s="109"/>
      <c r="I480" s="109"/>
      <c r="J480" s="109"/>
      <c r="K480" s="110"/>
      <c r="L480" s="110"/>
      <c r="M480" s="110"/>
      <c r="N480" s="110"/>
      <c r="O480" s="110"/>
      <c r="P480" s="110"/>
      <c r="Q480" s="110"/>
      <c r="R480" s="110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98"/>
      <c r="B481" s="110"/>
      <c r="C481" s="110"/>
      <c r="D481" s="110"/>
      <c r="E481" s="109"/>
      <c r="F481" s="109"/>
      <c r="G481" s="109"/>
      <c r="H481" s="109"/>
      <c r="I481" s="109"/>
      <c r="J481" s="109"/>
      <c r="K481" s="110"/>
      <c r="L481" s="110"/>
      <c r="M481" s="110"/>
      <c r="N481" s="110"/>
      <c r="O481" s="110"/>
      <c r="P481" s="110"/>
      <c r="Q481" s="110"/>
      <c r="R481" s="110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98"/>
      <c r="B482" s="110"/>
      <c r="C482" s="110"/>
      <c r="D482" s="110"/>
      <c r="E482" s="109"/>
      <c r="F482" s="109"/>
      <c r="G482" s="109"/>
      <c r="H482" s="109"/>
      <c r="I482" s="109"/>
      <c r="J482" s="109"/>
      <c r="K482" s="110"/>
      <c r="L482" s="110"/>
      <c r="M482" s="110"/>
      <c r="N482" s="110"/>
      <c r="O482" s="110"/>
      <c r="P482" s="110"/>
      <c r="Q482" s="110"/>
      <c r="R482" s="110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98"/>
      <c r="B483" s="110"/>
      <c r="C483" s="110"/>
      <c r="D483" s="110"/>
      <c r="E483" s="109"/>
      <c r="F483" s="109"/>
      <c r="G483" s="109"/>
      <c r="H483" s="109"/>
      <c r="I483" s="109"/>
      <c r="J483" s="109"/>
      <c r="K483" s="110"/>
      <c r="L483" s="110"/>
      <c r="M483" s="110"/>
      <c r="N483" s="110"/>
      <c r="O483" s="110"/>
      <c r="P483" s="110"/>
      <c r="Q483" s="110"/>
      <c r="R483" s="110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98"/>
      <c r="B484" s="110"/>
      <c r="C484" s="110"/>
      <c r="D484" s="110"/>
      <c r="E484" s="109"/>
      <c r="F484" s="109"/>
      <c r="G484" s="109"/>
      <c r="H484" s="109"/>
      <c r="I484" s="109"/>
      <c r="J484" s="109"/>
      <c r="K484" s="110"/>
      <c r="L484" s="110"/>
      <c r="M484" s="110"/>
      <c r="N484" s="110"/>
      <c r="O484" s="110"/>
      <c r="P484" s="110"/>
      <c r="Q484" s="110"/>
      <c r="R484" s="110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98"/>
      <c r="B485" s="110"/>
      <c r="C485" s="110"/>
      <c r="D485" s="110"/>
      <c r="E485" s="109"/>
      <c r="F485" s="109"/>
      <c r="G485" s="109"/>
      <c r="H485" s="109"/>
      <c r="I485" s="109"/>
      <c r="J485" s="109"/>
      <c r="K485" s="110"/>
      <c r="L485" s="110"/>
      <c r="M485" s="110"/>
      <c r="N485" s="110"/>
      <c r="O485" s="110"/>
      <c r="P485" s="110"/>
      <c r="Q485" s="110"/>
      <c r="R485" s="110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98"/>
      <c r="B486" s="110"/>
      <c r="C486" s="110"/>
      <c r="D486" s="110"/>
      <c r="E486" s="109"/>
      <c r="F486" s="109"/>
      <c r="G486" s="109"/>
      <c r="H486" s="109"/>
      <c r="I486" s="109"/>
      <c r="J486" s="109"/>
      <c r="K486" s="110"/>
      <c r="L486" s="110"/>
      <c r="M486" s="110"/>
      <c r="N486" s="110"/>
      <c r="O486" s="110"/>
      <c r="P486" s="110"/>
      <c r="Q486" s="110"/>
      <c r="R486" s="110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98"/>
      <c r="B487" s="110"/>
      <c r="C487" s="110"/>
      <c r="D487" s="110"/>
      <c r="E487" s="109"/>
      <c r="F487" s="109"/>
      <c r="G487" s="109"/>
      <c r="H487" s="109"/>
      <c r="I487" s="109"/>
      <c r="J487" s="109"/>
      <c r="K487" s="110"/>
      <c r="L487" s="110"/>
      <c r="M487" s="110"/>
      <c r="N487" s="110"/>
      <c r="O487" s="110"/>
      <c r="P487" s="110"/>
      <c r="Q487" s="110"/>
      <c r="R487" s="110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98"/>
      <c r="B488" s="110"/>
      <c r="C488" s="110"/>
      <c r="D488" s="110"/>
      <c r="E488" s="109"/>
      <c r="F488" s="109"/>
      <c r="G488" s="109"/>
      <c r="H488" s="109"/>
      <c r="I488" s="109"/>
      <c r="J488" s="109"/>
      <c r="K488" s="110"/>
      <c r="L488" s="110"/>
      <c r="M488" s="110"/>
      <c r="N488" s="110"/>
      <c r="O488" s="110"/>
      <c r="P488" s="110"/>
      <c r="Q488" s="110"/>
      <c r="R488" s="110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98"/>
      <c r="B489" s="110"/>
      <c r="C489" s="110"/>
      <c r="D489" s="110"/>
      <c r="E489" s="109"/>
      <c r="F489" s="109"/>
      <c r="G489" s="109"/>
      <c r="H489" s="109"/>
      <c r="I489" s="109"/>
      <c r="J489" s="109"/>
      <c r="K489" s="110"/>
      <c r="L489" s="110"/>
      <c r="M489" s="110"/>
      <c r="N489" s="110"/>
      <c r="O489" s="110"/>
      <c r="P489" s="110"/>
      <c r="Q489" s="110"/>
      <c r="R489" s="110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98"/>
      <c r="B490" s="110"/>
      <c r="C490" s="110"/>
      <c r="D490" s="110"/>
      <c r="E490" s="109"/>
      <c r="F490" s="109"/>
      <c r="G490" s="109"/>
      <c r="H490" s="109"/>
      <c r="I490" s="109"/>
      <c r="J490" s="109"/>
      <c r="K490" s="110"/>
      <c r="L490" s="110"/>
      <c r="M490" s="110"/>
      <c r="N490" s="110"/>
      <c r="O490" s="110"/>
      <c r="P490" s="110"/>
      <c r="Q490" s="110"/>
      <c r="R490" s="110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98"/>
      <c r="B491" s="110"/>
      <c r="C491" s="110"/>
      <c r="D491" s="110"/>
      <c r="E491" s="109"/>
      <c r="F491" s="109"/>
      <c r="G491" s="109"/>
      <c r="H491" s="109"/>
      <c r="I491" s="109"/>
      <c r="J491" s="109"/>
      <c r="K491" s="110"/>
      <c r="L491" s="110"/>
      <c r="M491" s="110"/>
      <c r="N491" s="110"/>
      <c r="O491" s="110"/>
      <c r="P491" s="110"/>
      <c r="Q491" s="110"/>
      <c r="R491" s="110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98"/>
      <c r="B492" s="110"/>
      <c r="C492" s="110"/>
      <c r="D492" s="110"/>
      <c r="E492" s="109"/>
      <c r="F492" s="109"/>
      <c r="G492" s="109"/>
      <c r="H492" s="109"/>
      <c r="I492" s="109"/>
      <c r="J492" s="109"/>
      <c r="K492" s="110"/>
      <c r="L492" s="110"/>
      <c r="M492" s="110"/>
      <c r="N492" s="110"/>
      <c r="O492" s="110"/>
      <c r="P492" s="110"/>
      <c r="Q492" s="110"/>
      <c r="R492" s="110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98"/>
      <c r="B493" s="110"/>
      <c r="C493" s="110"/>
      <c r="D493" s="110"/>
      <c r="E493" s="109"/>
      <c r="F493" s="109"/>
      <c r="G493" s="109"/>
      <c r="H493" s="109"/>
      <c r="I493" s="109"/>
      <c r="J493" s="109"/>
      <c r="K493" s="110"/>
      <c r="L493" s="110"/>
      <c r="M493" s="110"/>
      <c r="N493" s="110"/>
      <c r="O493" s="110"/>
      <c r="P493" s="110"/>
      <c r="Q493" s="110"/>
      <c r="R493" s="110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98"/>
      <c r="B494" s="110"/>
      <c r="C494" s="110"/>
      <c r="D494" s="110"/>
      <c r="E494" s="109"/>
      <c r="F494" s="109"/>
      <c r="G494" s="109"/>
      <c r="H494" s="109"/>
      <c r="I494" s="109"/>
      <c r="J494" s="109"/>
      <c r="K494" s="110"/>
      <c r="L494" s="110"/>
      <c r="M494" s="110"/>
      <c r="N494" s="110"/>
      <c r="O494" s="110"/>
      <c r="P494" s="110"/>
      <c r="Q494" s="110"/>
      <c r="R494" s="110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98"/>
      <c r="B495" s="110"/>
      <c r="C495" s="110"/>
      <c r="D495" s="110"/>
      <c r="E495" s="109"/>
      <c r="F495" s="109"/>
      <c r="G495" s="109"/>
      <c r="H495" s="109"/>
      <c r="I495" s="109"/>
      <c r="J495" s="109"/>
      <c r="K495" s="110"/>
      <c r="L495" s="110"/>
      <c r="M495" s="110"/>
      <c r="N495" s="110"/>
      <c r="O495" s="110"/>
      <c r="P495" s="110"/>
      <c r="Q495" s="110"/>
      <c r="R495" s="110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98"/>
      <c r="B496" s="110"/>
      <c r="C496" s="110"/>
      <c r="D496" s="110"/>
      <c r="E496" s="109"/>
      <c r="F496" s="109"/>
      <c r="G496" s="109"/>
      <c r="H496" s="109"/>
      <c r="I496" s="109"/>
      <c r="J496" s="109"/>
      <c r="K496" s="110"/>
      <c r="L496" s="110"/>
      <c r="M496" s="110"/>
      <c r="N496" s="110"/>
      <c r="O496" s="110"/>
      <c r="P496" s="110"/>
      <c r="Q496" s="110"/>
      <c r="R496" s="110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98"/>
      <c r="B497" s="110"/>
      <c r="C497" s="110"/>
      <c r="D497" s="110"/>
      <c r="E497" s="109"/>
      <c r="F497" s="109"/>
      <c r="G497" s="109"/>
      <c r="H497" s="109"/>
      <c r="I497" s="109"/>
      <c r="J497" s="109"/>
      <c r="K497" s="110"/>
      <c r="L497" s="110"/>
      <c r="M497" s="110"/>
      <c r="N497" s="110"/>
      <c r="O497" s="110"/>
      <c r="P497" s="110"/>
      <c r="Q497" s="110"/>
      <c r="R497" s="110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98">
        <v>1.0</v>
      </c>
      <c r="B498" s="110"/>
      <c r="C498" s="110"/>
      <c r="D498" s="110"/>
      <c r="E498" s="109"/>
      <c r="F498" s="109"/>
      <c r="G498" s="109"/>
      <c r="H498" s="109"/>
      <c r="I498" s="109"/>
      <c r="J498" s="109"/>
      <c r="K498" s="110"/>
      <c r="L498" s="110"/>
      <c r="M498" s="110"/>
      <c r="N498" s="110"/>
      <c r="O498" s="110"/>
      <c r="P498" s="110"/>
      <c r="Q498" s="110"/>
      <c r="R498" s="110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98">
        <v>2.0</v>
      </c>
      <c r="B499" s="110"/>
      <c r="C499" s="110"/>
      <c r="D499" s="110"/>
      <c r="E499" s="109"/>
      <c r="F499" s="109"/>
      <c r="G499" s="109"/>
      <c r="H499" s="109"/>
      <c r="I499" s="109"/>
      <c r="J499" s="109"/>
      <c r="K499" s="110"/>
      <c r="L499" s="110"/>
      <c r="M499" s="110"/>
      <c r="N499" s="110"/>
      <c r="O499" s="110"/>
      <c r="P499" s="110"/>
      <c r="Q499" s="110"/>
      <c r="R499" s="110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98">
        <v>3.0</v>
      </c>
      <c r="B500" s="110"/>
      <c r="C500" s="110"/>
      <c r="D500" s="110"/>
      <c r="E500" s="109"/>
      <c r="F500" s="109"/>
      <c r="G500" s="109"/>
      <c r="H500" s="109"/>
      <c r="I500" s="109"/>
      <c r="J500" s="109"/>
      <c r="K500" s="110"/>
      <c r="L500" s="110"/>
      <c r="M500" s="110"/>
      <c r="N500" s="110"/>
      <c r="O500" s="110"/>
      <c r="P500" s="110"/>
      <c r="Q500" s="110"/>
      <c r="R500" s="110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98">
        <v>4.0</v>
      </c>
      <c r="B501" s="110"/>
      <c r="C501" s="110"/>
      <c r="D501" s="110"/>
      <c r="E501" s="109"/>
      <c r="F501" s="109"/>
      <c r="G501" s="109"/>
      <c r="H501" s="109"/>
      <c r="I501" s="109"/>
      <c r="J501" s="109"/>
      <c r="K501" s="110"/>
      <c r="L501" s="110"/>
      <c r="M501" s="110"/>
      <c r="N501" s="110"/>
      <c r="O501" s="110"/>
      <c r="P501" s="110"/>
      <c r="Q501" s="110"/>
      <c r="R501" s="110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98">
        <v>5.0</v>
      </c>
      <c r="B502" s="110"/>
      <c r="C502" s="110"/>
      <c r="D502" s="110"/>
      <c r="E502" s="109"/>
      <c r="F502" s="109"/>
      <c r="G502" s="109"/>
      <c r="H502" s="109"/>
      <c r="I502" s="109"/>
      <c r="J502" s="109"/>
      <c r="K502" s="110"/>
      <c r="L502" s="110"/>
      <c r="M502" s="110"/>
      <c r="N502" s="110"/>
      <c r="O502" s="110"/>
      <c r="P502" s="110"/>
      <c r="Q502" s="110"/>
      <c r="R502" s="110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98">
        <v>6.0</v>
      </c>
      <c r="B503" s="110"/>
      <c r="C503" s="110"/>
      <c r="D503" s="110"/>
      <c r="E503" s="109"/>
      <c r="F503" s="109"/>
      <c r="G503" s="109"/>
      <c r="H503" s="109"/>
      <c r="I503" s="109"/>
      <c r="J503" s="109"/>
      <c r="K503" s="110"/>
      <c r="L503" s="110"/>
      <c r="M503" s="110"/>
      <c r="N503" s="110"/>
      <c r="O503" s="110"/>
      <c r="P503" s="110"/>
      <c r="Q503" s="110"/>
      <c r="R503" s="110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98">
        <v>7.0</v>
      </c>
      <c r="B504" s="110"/>
      <c r="C504" s="110"/>
      <c r="D504" s="110"/>
      <c r="E504" s="109"/>
      <c r="F504" s="109"/>
      <c r="G504" s="109"/>
      <c r="H504" s="109"/>
      <c r="I504" s="109"/>
      <c r="J504" s="109"/>
      <c r="K504" s="110"/>
      <c r="L504" s="110"/>
      <c r="M504" s="110"/>
      <c r="N504" s="110"/>
      <c r="O504" s="110"/>
      <c r="P504" s="110"/>
      <c r="Q504" s="110"/>
      <c r="R504" s="110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98">
        <v>8.0</v>
      </c>
      <c r="B505" s="110"/>
      <c r="C505" s="110"/>
      <c r="D505" s="110"/>
      <c r="E505" s="109"/>
      <c r="F505" s="109"/>
      <c r="G505" s="109"/>
      <c r="H505" s="109"/>
      <c r="I505" s="109"/>
      <c r="J505" s="109"/>
      <c r="K505" s="110"/>
      <c r="L505" s="110"/>
      <c r="M505" s="110"/>
      <c r="N505" s="110"/>
      <c r="O505" s="110"/>
      <c r="P505" s="110"/>
      <c r="Q505" s="110"/>
      <c r="R505" s="110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33"/>
      <c r="B506" s="2"/>
      <c r="C506" s="2"/>
      <c r="D506" s="2"/>
      <c r="E506" s="33"/>
      <c r="F506" s="33"/>
      <c r="G506" s="33"/>
      <c r="H506" s="33"/>
      <c r="I506" s="33"/>
      <c r="J506" s="3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33"/>
      <c r="B507" s="2"/>
      <c r="C507" s="2"/>
      <c r="D507" s="2"/>
      <c r="E507" s="33"/>
      <c r="F507" s="33"/>
      <c r="G507" s="33"/>
      <c r="H507" s="33"/>
      <c r="I507" s="33"/>
      <c r="J507" s="3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33"/>
      <c r="B508" s="2"/>
      <c r="C508" s="2"/>
      <c r="D508" s="2"/>
      <c r="E508" s="33"/>
      <c r="F508" s="33"/>
      <c r="G508" s="33"/>
      <c r="H508" s="33"/>
      <c r="I508" s="33"/>
      <c r="J508" s="3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52" t="s">
        <v>957</v>
      </c>
      <c r="D509" s="102"/>
      <c r="E509" s="101"/>
      <c r="F509" s="101"/>
      <c r="G509" s="101"/>
      <c r="H509" s="101"/>
      <c r="I509" s="101"/>
      <c r="J509" s="101"/>
      <c r="K509" s="102"/>
      <c r="L509" s="102"/>
      <c r="M509" s="102"/>
      <c r="N509" s="102"/>
      <c r="O509" s="102"/>
      <c r="P509" s="102"/>
      <c r="Q509" s="10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103" t="s">
        <v>3</v>
      </c>
      <c r="B510" s="103" t="s">
        <v>440</v>
      </c>
      <c r="C510" s="103" t="s">
        <v>438</v>
      </c>
      <c r="D510" s="103" t="s">
        <v>439</v>
      </c>
      <c r="E510" s="69" t="s">
        <v>440</v>
      </c>
      <c r="F510" s="9"/>
      <c r="G510" s="69" t="s">
        <v>958</v>
      </c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9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11"/>
      <c r="B511" s="11"/>
      <c r="C511" s="11"/>
      <c r="D511" s="11"/>
      <c r="E511" s="93" t="s">
        <v>128</v>
      </c>
      <c r="F511" s="93" t="s">
        <v>442</v>
      </c>
      <c r="G511" s="93" t="s">
        <v>164</v>
      </c>
      <c r="H511" s="93" t="s">
        <v>165</v>
      </c>
      <c r="I511" s="93" t="s">
        <v>166</v>
      </c>
      <c r="J511" s="93" t="s">
        <v>167</v>
      </c>
      <c r="K511" s="93" t="s">
        <v>147</v>
      </c>
      <c r="L511" s="93" t="s">
        <v>168</v>
      </c>
      <c r="M511" s="93" t="s">
        <v>169</v>
      </c>
      <c r="N511" s="93" t="s">
        <v>170</v>
      </c>
      <c r="O511" s="93" t="s">
        <v>171</v>
      </c>
      <c r="P511" s="93" t="s">
        <v>172</v>
      </c>
      <c r="Q511" s="93" t="s">
        <v>173</v>
      </c>
      <c r="R511" s="97" t="s">
        <v>174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106">
        <v>1.0</v>
      </c>
      <c r="B512" s="106">
        <v>2.0</v>
      </c>
      <c r="C512" s="106">
        <v>3.0</v>
      </c>
      <c r="D512" s="106">
        <v>4.0</v>
      </c>
      <c r="E512" s="106">
        <v>5.0</v>
      </c>
      <c r="F512" s="106">
        <v>6.0</v>
      </c>
      <c r="G512" s="106">
        <v>7.0</v>
      </c>
      <c r="H512" s="106">
        <v>8.0</v>
      </c>
      <c r="I512" s="106">
        <v>9.0</v>
      </c>
      <c r="J512" s="106">
        <v>10.0</v>
      </c>
      <c r="K512" s="106">
        <v>11.0</v>
      </c>
      <c r="L512" s="106">
        <v>12.0</v>
      </c>
      <c r="M512" s="106">
        <v>13.0</v>
      </c>
      <c r="N512" s="106">
        <v>14.0</v>
      </c>
      <c r="O512" s="106">
        <v>15.0</v>
      </c>
      <c r="P512" s="106">
        <v>16.0</v>
      </c>
      <c r="Q512" s="106">
        <v>17.0</v>
      </c>
      <c r="R512" s="106">
        <v>18.0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98">
        <v>1.0</v>
      </c>
      <c r="B513" s="125" t="s">
        <v>959</v>
      </c>
      <c r="C513" s="126" t="s">
        <v>141</v>
      </c>
      <c r="D513" s="127">
        <v>22199.0</v>
      </c>
      <c r="E513" s="128"/>
      <c r="F513" s="109"/>
      <c r="G513" s="109"/>
      <c r="H513" s="109"/>
      <c r="I513" s="109"/>
      <c r="J513" s="109"/>
      <c r="K513" s="110"/>
      <c r="L513" s="110"/>
      <c r="M513" s="110"/>
      <c r="N513" s="110"/>
      <c r="O513" s="110"/>
      <c r="P513" s="110"/>
      <c r="Q513" s="110"/>
      <c r="R513" s="110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98">
        <v>2.0</v>
      </c>
      <c r="B514" s="125" t="s">
        <v>960</v>
      </c>
      <c r="C514" s="126" t="s">
        <v>141</v>
      </c>
      <c r="D514" s="127">
        <v>21716.0</v>
      </c>
      <c r="E514" s="128"/>
      <c r="F514" s="109"/>
      <c r="G514" s="109"/>
      <c r="H514" s="109"/>
      <c r="I514" s="109"/>
      <c r="J514" s="109"/>
      <c r="K514" s="110"/>
      <c r="L514" s="110"/>
      <c r="M514" s="110"/>
      <c r="N514" s="110"/>
      <c r="O514" s="110"/>
      <c r="P514" s="110"/>
      <c r="Q514" s="110"/>
      <c r="R514" s="110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98">
        <v>3.0</v>
      </c>
      <c r="B515" s="125" t="s">
        <v>961</v>
      </c>
      <c r="C515" s="129" t="s">
        <v>142</v>
      </c>
      <c r="D515" s="127">
        <v>19195.0</v>
      </c>
      <c r="E515" s="128"/>
      <c r="F515" s="109"/>
      <c r="G515" s="109"/>
      <c r="H515" s="109"/>
      <c r="I515" s="109"/>
      <c r="J515" s="109"/>
      <c r="K515" s="110"/>
      <c r="L515" s="110"/>
      <c r="M515" s="110"/>
      <c r="N515" s="110"/>
      <c r="O515" s="110"/>
      <c r="P515" s="110"/>
      <c r="Q515" s="110"/>
      <c r="R515" s="110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98">
        <v>4.0</v>
      </c>
      <c r="B516" s="125" t="s">
        <v>962</v>
      </c>
      <c r="C516" s="126" t="s">
        <v>141</v>
      </c>
      <c r="D516" s="127">
        <v>19025.0</v>
      </c>
      <c r="E516" s="128"/>
      <c r="F516" s="109"/>
      <c r="G516" s="109"/>
      <c r="H516" s="109"/>
      <c r="I516" s="109"/>
      <c r="J516" s="109"/>
      <c r="K516" s="110"/>
      <c r="L516" s="110"/>
      <c r="M516" s="110"/>
      <c r="N516" s="110"/>
      <c r="O516" s="110"/>
      <c r="P516" s="110"/>
      <c r="Q516" s="110"/>
      <c r="R516" s="110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98">
        <v>5.0</v>
      </c>
      <c r="B517" s="125" t="s">
        <v>963</v>
      </c>
      <c r="C517" s="129" t="s">
        <v>142</v>
      </c>
      <c r="D517" s="127">
        <v>19547.0</v>
      </c>
      <c r="E517" s="128"/>
      <c r="F517" s="109"/>
      <c r="G517" s="109"/>
      <c r="H517" s="109"/>
      <c r="I517" s="109"/>
      <c r="J517" s="109"/>
      <c r="K517" s="110"/>
      <c r="L517" s="110"/>
      <c r="M517" s="110"/>
      <c r="N517" s="110"/>
      <c r="O517" s="110"/>
      <c r="P517" s="110"/>
      <c r="Q517" s="110"/>
      <c r="R517" s="110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98">
        <v>6.0</v>
      </c>
      <c r="B518" s="125" t="s">
        <v>964</v>
      </c>
      <c r="C518" s="126" t="s">
        <v>141</v>
      </c>
      <c r="D518" s="127">
        <v>18142.0</v>
      </c>
      <c r="E518" s="130"/>
      <c r="F518" s="109"/>
      <c r="G518" s="109"/>
      <c r="H518" s="109"/>
      <c r="I518" s="109"/>
      <c r="J518" s="109"/>
      <c r="K518" s="110"/>
      <c r="L518" s="110"/>
      <c r="M518" s="110"/>
      <c r="N518" s="110"/>
      <c r="O518" s="110"/>
      <c r="P518" s="110"/>
      <c r="Q518" s="110"/>
      <c r="R518" s="110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98">
        <v>7.0</v>
      </c>
      <c r="B519" s="125" t="s">
        <v>965</v>
      </c>
      <c r="C519" s="129" t="s">
        <v>142</v>
      </c>
      <c r="D519" s="127">
        <v>20367.0</v>
      </c>
      <c r="E519" s="128"/>
      <c r="F519" s="109"/>
      <c r="G519" s="109"/>
      <c r="H519" s="109"/>
      <c r="I519" s="109"/>
      <c r="J519" s="109"/>
      <c r="K519" s="110"/>
      <c r="L519" s="110"/>
      <c r="M519" s="110"/>
      <c r="N519" s="110"/>
      <c r="O519" s="110"/>
      <c r="P519" s="110"/>
      <c r="Q519" s="110"/>
      <c r="R519" s="110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98">
        <v>8.0</v>
      </c>
      <c r="B520" s="125" t="s">
        <v>966</v>
      </c>
      <c r="C520" s="126" t="s">
        <v>141</v>
      </c>
      <c r="D520" s="127">
        <v>21794.0</v>
      </c>
      <c r="E520" s="128"/>
      <c r="F520" s="109"/>
      <c r="G520" s="109"/>
      <c r="H520" s="109"/>
      <c r="I520" s="109"/>
      <c r="J520" s="109"/>
      <c r="K520" s="110"/>
      <c r="L520" s="110"/>
      <c r="M520" s="110"/>
      <c r="N520" s="110"/>
      <c r="O520" s="110"/>
      <c r="P520" s="110"/>
      <c r="Q520" s="110"/>
      <c r="R520" s="110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98">
        <v>9.0</v>
      </c>
      <c r="B521" s="125" t="s">
        <v>967</v>
      </c>
      <c r="C521" s="129" t="s">
        <v>142</v>
      </c>
      <c r="D521" s="127">
        <v>21879.0</v>
      </c>
      <c r="E521" s="128"/>
      <c r="F521" s="33"/>
      <c r="G521" s="33"/>
      <c r="H521" s="33"/>
      <c r="I521" s="33"/>
      <c r="J521" s="3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98">
        <v>10.0</v>
      </c>
      <c r="B522" s="125" t="s">
        <v>968</v>
      </c>
      <c r="C522" s="126" t="s">
        <v>141</v>
      </c>
      <c r="D522" s="127">
        <v>22262.0</v>
      </c>
      <c r="E522" s="128"/>
      <c r="F522" s="33"/>
      <c r="G522" s="33"/>
      <c r="H522" s="33"/>
      <c r="I522" s="33"/>
      <c r="J522" s="3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98">
        <v>11.0</v>
      </c>
      <c r="B523" s="125" t="s">
        <v>969</v>
      </c>
      <c r="C523" s="129" t="s">
        <v>142</v>
      </c>
      <c r="D523" s="127">
        <v>14780.0</v>
      </c>
      <c r="E523" s="130"/>
      <c r="F523" s="33"/>
      <c r="G523" s="33"/>
      <c r="H523" s="33"/>
      <c r="I523" s="33"/>
      <c r="J523" s="3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98">
        <v>12.0</v>
      </c>
      <c r="B524" s="125" t="s">
        <v>970</v>
      </c>
      <c r="C524" s="126" t="s">
        <v>141</v>
      </c>
      <c r="D524" s="127">
        <v>21732.0</v>
      </c>
      <c r="E524" s="128"/>
      <c r="F524" s="33"/>
      <c r="G524" s="33"/>
      <c r="H524" s="33"/>
      <c r="I524" s="33"/>
      <c r="J524" s="3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98">
        <v>13.0</v>
      </c>
      <c r="B525" s="125" t="s">
        <v>971</v>
      </c>
      <c r="C525" s="129" t="s">
        <v>142</v>
      </c>
      <c r="D525" s="127">
        <v>19258.0</v>
      </c>
      <c r="E525" s="128"/>
      <c r="F525" s="33"/>
      <c r="G525" s="33"/>
      <c r="H525" s="33"/>
      <c r="I525" s="33"/>
      <c r="J525" s="3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98">
        <v>14.0</v>
      </c>
      <c r="B526" s="125" t="s">
        <v>972</v>
      </c>
      <c r="C526" s="126" t="s">
        <v>141</v>
      </c>
      <c r="D526" s="127">
        <v>21205.0</v>
      </c>
      <c r="E526" s="128"/>
      <c r="F526" s="33"/>
      <c r="G526" s="33"/>
      <c r="H526" s="33"/>
      <c r="I526" s="33"/>
      <c r="J526" s="3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98">
        <v>15.0</v>
      </c>
      <c r="B527" s="125" t="s">
        <v>973</v>
      </c>
      <c r="C527" s="129" t="s">
        <v>142</v>
      </c>
      <c r="D527" s="127">
        <v>14655.0</v>
      </c>
      <c r="E527" s="130"/>
      <c r="F527" s="33"/>
      <c r="G527" s="33"/>
      <c r="H527" s="33"/>
      <c r="I527" s="33"/>
      <c r="J527" s="3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98">
        <v>16.0</v>
      </c>
      <c r="B528" s="125" t="s">
        <v>974</v>
      </c>
      <c r="C528" s="131"/>
      <c r="D528" s="127">
        <v>20641.0</v>
      </c>
      <c r="E528" s="128"/>
      <c r="F528" s="33"/>
      <c r="G528" s="33"/>
      <c r="H528" s="33"/>
      <c r="I528" s="33"/>
      <c r="J528" s="3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98">
        <v>17.0</v>
      </c>
      <c r="B529" s="125" t="s">
        <v>975</v>
      </c>
      <c r="C529" s="126" t="s">
        <v>141</v>
      </c>
      <c r="D529" s="127">
        <v>21228.0</v>
      </c>
      <c r="E529" s="128"/>
      <c r="F529" s="33"/>
      <c r="G529" s="33"/>
      <c r="H529" s="33"/>
      <c r="I529" s="33"/>
      <c r="J529" s="3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98">
        <v>18.0</v>
      </c>
      <c r="B530" s="125" t="s">
        <v>976</v>
      </c>
      <c r="C530" s="126" t="s">
        <v>141</v>
      </c>
      <c r="D530" s="127">
        <v>21992.0</v>
      </c>
      <c r="E530" s="128"/>
      <c r="F530" s="33"/>
      <c r="G530" s="33"/>
      <c r="H530" s="33"/>
      <c r="I530" s="33"/>
      <c r="J530" s="3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98">
        <v>19.0</v>
      </c>
      <c r="B531" s="125" t="s">
        <v>977</v>
      </c>
      <c r="C531" s="131"/>
      <c r="D531" s="127">
        <v>20125.0</v>
      </c>
      <c r="E531" s="128"/>
      <c r="F531" s="33"/>
      <c r="G531" s="33"/>
      <c r="H531" s="33"/>
      <c r="I531" s="33"/>
      <c r="J531" s="3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98">
        <v>20.0</v>
      </c>
      <c r="B532" s="125" t="s">
        <v>978</v>
      </c>
      <c r="C532" s="131"/>
      <c r="D532" s="127">
        <v>16537.0</v>
      </c>
      <c r="E532" s="130"/>
      <c r="F532" s="33"/>
      <c r="G532" s="33"/>
      <c r="H532" s="33"/>
      <c r="I532" s="33"/>
      <c r="J532" s="3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98">
        <v>21.0</v>
      </c>
      <c r="B533" s="125" t="s">
        <v>979</v>
      </c>
      <c r="C533" s="126" t="s">
        <v>141</v>
      </c>
      <c r="D533" s="127">
        <v>19826.0</v>
      </c>
      <c r="E533" s="128"/>
      <c r="F533" s="33"/>
      <c r="G533" s="33"/>
      <c r="H533" s="33"/>
      <c r="I533" s="33"/>
      <c r="J533" s="3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98">
        <v>22.0</v>
      </c>
      <c r="B534" s="125" t="s">
        <v>980</v>
      </c>
      <c r="C534" s="131"/>
      <c r="D534" s="127">
        <v>18456.0</v>
      </c>
      <c r="E534" s="130"/>
      <c r="F534" s="33"/>
      <c r="G534" s="33"/>
      <c r="H534" s="33"/>
      <c r="I534" s="33"/>
      <c r="J534" s="3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98">
        <v>23.0</v>
      </c>
      <c r="B535" s="125" t="s">
        <v>981</v>
      </c>
      <c r="C535" s="131"/>
      <c r="D535" s="127">
        <v>17085.0</v>
      </c>
      <c r="E535" s="130"/>
      <c r="F535" s="33"/>
      <c r="G535" s="33"/>
      <c r="H535" s="33"/>
      <c r="I535" s="33"/>
      <c r="J535" s="3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98">
        <v>24.0</v>
      </c>
      <c r="B536" s="125" t="s">
        <v>982</v>
      </c>
      <c r="C536" s="131"/>
      <c r="D536" s="127">
        <v>19455.0</v>
      </c>
      <c r="E536" s="128"/>
      <c r="F536" s="33"/>
      <c r="G536" s="33"/>
      <c r="H536" s="33"/>
      <c r="I536" s="33"/>
      <c r="J536" s="3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98">
        <v>25.0</v>
      </c>
      <c r="B537" s="125" t="s">
        <v>983</v>
      </c>
      <c r="C537" s="126" t="s">
        <v>141</v>
      </c>
      <c r="D537" s="127">
        <v>20587.0</v>
      </c>
      <c r="E537" s="128"/>
      <c r="F537" s="33"/>
      <c r="G537" s="33"/>
      <c r="H537" s="33"/>
      <c r="I537" s="33"/>
      <c r="J537" s="3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98">
        <v>26.0</v>
      </c>
      <c r="B538" s="125" t="s">
        <v>984</v>
      </c>
      <c r="C538" s="131"/>
      <c r="D538" s="127">
        <v>18242.0</v>
      </c>
      <c r="E538" s="130"/>
      <c r="F538" s="33"/>
      <c r="G538" s="33"/>
      <c r="H538" s="33"/>
      <c r="I538" s="33"/>
      <c r="J538" s="3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98">
        <v>27.0</v>
      </c>
      <c r="B539" s="125" t="s">
        <v>985</v>
      </c>
      <c r="C539" s="126" t="s">
        <v>141</v>
      </c>
      <c r="D539" s="127">
        <v>19069.0</v>
      </c>
      <c r="E539" s="128"/>
      <c r="F539" s="33"/>
      <c r="G539" s="33"/>
      <c r="H539" s="33"/>
      <c r="I539" s="33"/>
      <c r="J539" s="3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98">
        <v>28.0</v>
      </c>
      <c r="B540" s="125" t="s">
        <v>986</v>
      </c>
      <c r="C540" s="131"/>
      <c r="D540" s="127">
        <v>21012.0</v>
      </c>
      <c r="E540" s="128"/>
      <c r="F540" s="33"/>
      <c r="G540" s="33"/>
      <c r="H540" s="33"/>
      <c r="I540" s="33"/>
      <c r="J540" s="3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98">
        <v>29.0</v>
      </c>
      <c r="B541" s="125" t="s">
        <v>987</v>
      </c>
      <c r="C541" s="131"/>
      <c r="D541" s="127">
        <v>19574.0</v>
      </c>
      <c r="E541" s="128"/>
      <c r="F541" s="33"/>
      <c r="G541" s="33"/>
      <c r="H541" s="33"/>
      <c r="I541" s="33"/>
      <c r="J541" s="3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98">
        <v>30.0</v>
      </c>
      <c r="B542" s="125" t="s">
        <v>988</v>
      </c>
      <c r="C542" s="131"/>
      <c r="D542" s="127">
        <v>17055.0</v>
      </c>
      <c r="E542" s="130"/>
      <c r="F542" s="33"/>
      <c r="G542" s="33"/>
      <c r="H542" s="33"/>
      <c r="I542" s="33"/>
      <c r="J542" s="3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98">
        <v>31.0</v>
      </c>
      <c r="B543" s="125" t="s">
        <v>989</v>
      </c>
      <c r="C543" s="126" t="s">
        <v>141</v>
      </c>
      <c r="D543" s="127">
        <v>19942.0</v>
      </c>
      <c r="E543" s="128"/>
      <c r="F543" s="33"/>
      <c r="G543" s="33"/>
      <c r="H543" s="33"/>
      <c r="I543" s="33"/>
      <c r="J543" s="3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98">
        <v>32.0</v>
      </c>
      <c r="B544" s="125" t="s">
        <v>990</v>
      </c>
      <c r="C544" s="126" t="s">
        <v>141</v>
      </c>
      <c r="D544" s="127">
        <v>20764.0</v>
      </c>
      <c r="E544" s="128"/>
      <c r="F544" s="33"/>
      <c r="G544" s="33"/>
      <c r="H544" s="33"/>
      <c r="I544" s="33"/>
      <c r="J544" s="3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98">
        <v>33.0</v>
      </c>
      <c r="B545" s="125" t="s">
        <v>991</v>
      </c>
      <c r="C545" s="131"/>
      <c r="D545" s="127">
        <v>21316.0</v>
      </c>
      <c r="E545" s="128"/>
      <c r="F545" s="33"/>
      <c r="G545" s="33"/>
      <c r="H545" s="33"/>
      <c r="I545" s="33"/>
      <c r="J545" s="3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98">
        <v>34.0</v>
      </c>
      <c r="B546" s="125" t="s">
        <v>992</v>
      </c>
      <c r="C546" s="131"/>
      <c r="D546" s="127">
        <v>20637.0</v>
      </c>
      <c r="E546" s="128"/>
      <c r="F546" s="33"/>
      <c r="G546" s="33"/>
      <c r="H546" s="33"/>
      <c r="I546" s="33"/>
      <c r="J546" s="3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98">
        <v>35.0</v>
      </c>
      <c r="B547" s="125" t="s">
        <v>993</v>
      </c>
      <c r="C547" s="126" t="s">
        <v>141</v>
      </c>
      <c r="D547" s="127">
        <v>21373.0</v>
      </c>
      <c r="E547" s="128"/>
      <c r="F547" s="33"/>
      <c r="G547" s="33"/>
      <c r="H547" s="33"/>
      <c r="I547" s="33"/>
      <c r="J547" s="3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98">
        <v>36.0</v>
      </c>
      <c r="B548" s="125" t="s">
        <v>994</v>
      </c>
      <c r="C548" s="131"/>
      <c r="D548" s="127">
        <v>11140.0</v>
      </c>
      <c r="E548" s="130"/>
      <c r="F548" s="33"/>
      <c r="G548" s="33"/>
      <c r="H548" s="33"/>
      <c r="I548" s="33"/>
      <c r="J548" s="3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98">
        <v>37.0</v>
      </c>
      <c r="B549" s="125" t="s">
        <v>962</v>
      </c>
      <c r="C549" s="126" t="s">
        <v>141</v>
      </c>
      <c r="D549" s="127">
        <v>13006.0</v>
      </c>
      <c r="E549" s="130"/>
      <c r="F549" s="33"/>
      <c r="G549" s="33"/>
      <c r="H549" s="33"/>
      <c r="I549" s="33"/>
      <c r="J549" s="3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98">
        <v>38.0</v>
      </c>
      <c r="B550" s="125" t="s">
        <v>995</v>
      </c>
      <c r="C550" s="126" t="s">
        <v>141</v>
      </c>
      <c r="D550" s="127">
        <v>19864.0</v>
      </c>
      <c r="E550" s="128"/>
      <c r="F550" s="33"/>
      <c r="G550" s="33"/>
      <c r="H550" s="33"/>
      <c r="I550" s="33"/>
      <c r="J550" s="3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98">
        <v>39.0</v>
      </c>
      <c r="B551" s="125" t="s">
        <v>996</v>
      </c>
      <c r="C551" s="131"/>
      <c r="D551" s="127">
        <v>20193.0</v>
      </c>
      <c r="E551" s="128"/>
      <c r="F551" s="33"/>
      <c r="G551" s="33"/>
      <c r="H551" s="33"/>
      <c r="I551" s="33"/>
      <c r="J551" s="3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98">
        <v>40.0</v>
      </c>
      <c r="B552" s="125" t="s">
        <v>997</v>
      </c>
      <c r="C552" s="126" t="s">
        <v>141</v>
      </c>
      <c r="D552" s="127">
        <v>20315.0</v>
      </c>
      <c r="E552" s="128"/>
      <c r="F552" s="33"/>
      <c r="G552" s="33"/>
      <c r="H552" s="33"/>
      <c r="I552" s="33"/>
      <c r="J552" s="3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98">
        <v>41.0</v>
      </c>
      <c r="B553" s="125" t="s">
        <v>998</v>
      </c>
      <c r="C553" s="131"/>
      <c r="D553" s="127">
        <v>19545.0</v>
      </c>
      <c r="E553" s="128"/>
      <c r="F553" s="33"/>
      <c r="G553" s="33"/>
      <c r="H553" s="33"/>
      <c r="I553" s="33"/>
      <c r="J553" s="3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98">
        <v>42.0</v>
      </c>
      <c r="B554" s="125" t="s">
        <v>999</v>
      </c>
      <c r="C554" s="126" t="s">
        <v>141</v>
      </c>
      <c r="D554" s="127">
        <v>18403.0</v>
      </c>
      <c r="E554" s="130"/>
      <c r="F554" s="33"/>
      <c r="G554" s="33"/>
      <c r="H554" s="33"/>
      <c r="I554" s="33"/>
      <c r="J554" s="3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98">
        <v>43.0</v>
      </c>
      <c r="B555" s="125" t="s">
        <v>1000</v>
      </c>
      <c r="C555" s="131"/>
      <c r="D555" s="127">
        <v>21554.0</v>
      </c>
      <c r="E555" s="128"/>
      <c r="F555" s="33"/>
      <c r="G555" s="33"/>
      <c r="H555" s="33"/>
      <c r="I555" s="33"/>
      <c r="J555" s="3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98">
        <v>44.0</v>
      </c>
      <c r="B556" s="125" t="s">
        <v>1001</v>
      </c>
      <c r="C556" s="131"/>
      <c r="D556" s="127">
        <v>21103.0</v>
      </c>
      <c r="E556" s="128"/>
      <c r="F556" s="33"/>
      <c r="G556" s="33"/>
      <c r="H556" s="33"/>
      <c r="I556" s="33"/>
      <c r="J556" s="3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98">
        <v>45.0</v>
      </c>
      <c r="B557" s="125" t="s">
        <v>1002</v>
      </c>
      <c r="C557" s="126" t="s">
        <v>141</v>
      </c>
      <c r="D557" s="127">
        <v>18456.0</v>
      </c>
      <c r="E557" s="130"/>
      <c r="F557" s="33"/>
      <c r="G557" s="33"/>
      <c r="H557" s="33"/>
      <c r="I557" s="33"/>
      <c r="J557" s="3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98">
        <v>46.0</v>
      </c>
      <c r="B558" s="125" t="s">
        <v>1003</v>
      </c>
      <c r="C558" s="126" t="s">
        <v>141</v>
      </c>
      <c r="D558" s="127">
        <v>17567.0</v>
      </c>
      <c r="E558" s="130"/>
      <c r="F558" s="33"/>
      <c r="G558" s="33"/>
      <c r="H558" s="33"/>
      <c r="I558" s="33"/>
      <c r="J558" s="3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98">
        <v>47.0</v>
      </c>
      <c r="B559" s="125" t="s">
        <v>1004</v>
      </c>
      <c r="C559" s="131"/>
      <c r="D559" s="127">
        <v>16967.0</v>
      </c>
      <c r="E559" s="130"/>
      <c r="F559" s="33"/>
      <c r="G559" s="33"/>
      <c r="H559" s="33"/>
      <c r="I559" s="33"/>
      <c r="J559" s="3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98">
        <v>48.0</v>
      </c>
      <c r="B560" s="125" t="s">
        <v>1005</v>
      </c>
      <c r="C560" s="126" t="s">
        <v>141</v>
      </c>
      <c r="D560" s="127">
        <v>15404.0</v>
      </c>
      <c r="E560" s="130"/>
      <c r="F560" s="33"/>
      <c r="G560" s="33"/>
      <c r="H560" s="33"/>
      <c r="I560" s="33"/>
      <c r="J560" s="3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98">
        <v>49.0</v>
      </c>
      <c r="B561" s="125" t="s">
        <v>1006</v>
      </c>
      <c r="C561" s="131"/>
      <c r="D561" s="127">
        <v>16663.0</v>
      </c>
      <c r="E561" s="130"/>
      <c r="F561" s="33"/>
      <c r="G561" s="33"/>
      <c r="H561" s="33"/>
      <c r="I561" s="33"/>
      <c r="J561" s="3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98">
        <v>50.0</v>
      </c>
      <c r="B562" s="125" t="s">
        <v>1007</v>
      </c>
      <c r="C562" s="126" t="s">
        <v>141</v>
      </c>
      <c r="D562" s="127">
        <v>19819.0</v>
      </c>
      <c r="E562" s="128"/>
      <c r="F562" s="33"/>
      <c r="G562" s="33"/>
      <c r="H562" s="33"/>
      <c r="I562" s="33"/>
      <c r="J562" s="3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98">
        <v>51.0</v>
      </c>
      <c r="B563" s="125" t="s">
        <v>1008</v>
      </c>
      <c r="C563" s="126" t="s">
        <v>141</v>
      </c>
      <c r="D563" s="127">
        <v>17304.0</v>
      </c>
      <c r="E563" s="130"/>
      <c r="F563" s="33"/>
      <c r="G563" s="33"/>
      <c r="H563" s="33"/>
      <c r="I563" s="33"/>
      <c r="J563" s="3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98">
        <v>52.0</v>
      </c>
      <c r="B564" s="125" t="s">
        <v>1009</v>
      </c>
      <c r="C564" s="126" t="s">
        <v>141</v>
      </c>
      <c r="D564" s="127">
        <v>19941.0</v>
      </c>
      <c r="E564" s="128"/>
      <c r="F564" s="33"/>
      <c r="G564" s="33"/>
      <c r="H564" s="33"/>
      <c r="I564" s="33"/>
      <c r="J564" s="3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98">
        <v>53.0</v>
      </c>
      <c r="B565" s="125" t="s">
        <v>1010</v>
      </c>
      <c r="C565" s="131"/>
      <c r="D565" s="127">
        <v>22331.0</v>
      </c>
      <c r="E565" s="128"/>
      <c r="F565" s="33"/>
      <c r="G565" s="33"/>
      <c r="H565" s="33"/>
      <c r="I565" s="33"/>
      <c r="J565" s="3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98">
        <v>54.0</v>
      </c>
      <c r="B566" s="125" t="s">
        <v>1011</v>
      </c>
      <c r="C566" s="126" t="s">
        <v>141</v>
      </c>
      <c r="D566" s="127">
        <v>21517.0</v>
      </c>
      <c r="E566" s="128"/>
      <c r="F566" s="33"/>
      <c r="G566" s="33"/>
      <c r="H566" s="33"/>
      <c r="I566" s="33"/>
      <c r="J566" s="3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98">
        <v>55.0</v>
      </c>
      <c r="B567" s="125" t="s">
        <v>1012</v>
      </c>
      <c r="C567" s="126" t="s">
        <v>141</v>
      </c>
      <c r="D567" s="127">
        <v>20455.0</v>
      </c>
      <c r="E567" s="128"/>
      <c r="F567" s="33"/>
      <c r="G567" s="33"/>
      <c r="H567" s="33"/>
      <c r="I567" s="33"/>
      <c r="J567" s="3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98">
        <v>56.0</v>
      </c>
      <c r="B568" s="125" t="s">
        <v>1013</v>
      </c>
      <c r="C568" s="131"/>
      <c r="D568" s="127">
        <v>21718.0</v>
      </c>
      <c r="E568" s="128"/>
      <c r="F568" s="33"/>
      <c r="G568" s="33"/>
      <c r="H568" s="33"/>
      <c r="I568" s="33"/>
      <c r="J568" s="3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98">
        <v>57.0</v>
      </c>
      <c r="B569" s="125" t="s">
        <v>1014</v>
      </c>
      <c r="C569" s="126" t="s">
        <v>141</v>
      </c>
      <c r="D569" s="127">
        <v>20710.0</v>
      </c>
      <c r="E569" s="128"/>
      <c r="F569" s="33"/>
      <c r="G569" s="33"/>
      <c r="H569" s="33"/>
      <c r="I569" s="33"/>
      <c r="J569" s="3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98">
        <v>58.0</v>
      </c>
      <c r="B570" s="125" t="s">
        <v>1015</v>
      </c>
      <c r="C570" s="131"/>
      <c r="D570" s="127">
        <v>13708.0</v>
      </c>
      <c r="E570" s="130"/>
      <c r="F570" s="33"/>
      <c r="G570" s="33"/>
      <c r="H570" s="33"/>
      <c r="I570" s="33"/>
      <c r="J570" s="3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98">
        <v>59.0</v>
      </c>
      <c r="B571" s="125" t="s">
        <v>1016</v>
      </c>
      <c r="C571" s="126" t="s">
        <v>141</v>
      </c>
      <c r="D571" s="127">
        <v>20152.0</v>
      </c>
      <c r="E571" s="128"/>
      <c r="F571" s="33"/>
      <c r="G571" s="33"/>
      <c r="H571" s="33"/>
      <c r="I571" s="33"/>
      <c r="J571" s="3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98">
        <v>60.0</v>
      </c>
      <c r="B572" s="125" t="s">
        <v>1017</v>
      </c>
      <c r="C572" s="131"/>
      <c r="D572" s="127">
        <v>15442.0</v>
      </c>
      <c r="E572" s="130"/>
      <c r="F572" s="33"/>
      <c r="G572" s="33"/>
      <c r="H572" s="33"/>
      <c r="I572" s="33"/>
      <c r="J572" s="3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98">
        <v>61.0</v>
      </c>
      <c r="B573" s="125" t="s">
        <v>1018</v>
      </c>
      <c r="C573" s="131"/>
      <c r="D573" s="127">
        <v>20732.0</v>
      </c>
      <c r="E573" s="128"/>
      <c r="F573" s="33"/>
      <c r="G573" s="33"/>
      <c r="H573" s="33"/>
      <c r="I573" s="33"/>
      <c r="J573" s="3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98">
        <v>62.0</v>
      </c>
      <c r="B574" s="125" t="s">
        <v>1019</v>
      </c>
      <c r="C574" s="126" t="s">
        <v>141</v>
      </c>
      <c r="D574" s="127">
        <v>18989.0</v>
      </c>
      <c r="E574" s="128"/>
      <c r="F574" s="33"/>
      <c r="G574" s="33"/>
      <c r="H574" s="33"/>
      <c r="I574" s="33"/>
      <c r="J574" s="3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98">
        <v>63.0</v>
      </c>
      <c r="B575" s="125" t="s">
        <v>1020</v>
      </c>
      <c r="C575" s="131"/>
      <c r="D575" s="127">
        <v>21713.0</v>
      </c>
      <c r="E575" s="128"/>
      <c r="F575" s="33"/>
      <c r="G575" s="33"/>
      <c r="H575" s="33"/>
      <c r="I575" s="33"/>
      <c r="J575" s="3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98">
        <v>64.0</v>
      </c>
      <c r="B576" s="125" t="s">
        <v>1021</v>
      </c>
      <c r="C576" s="126" t="s">
        <v>141</v>
      </c>
      <c r="D576" s="127">
        <v>21988.0</v>
      </c>
      <c r="E576" s="128"/>
      <c r="F576" s="33"/>
      <c r="G576" s="33"/>
      <c r="H576" s="33"/>
      <c r="I576" s="33"/>
      <c r="J576" s="3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98">
        <v>65.0</v>
      </c>
      <c r="B577" s="125" t="s">
        <v>1022</v>
      </c>
      <c r="C577" s="131"/>
      <c r="D577" s="127">
        <v>15473.0</v>
      </c>
      <c r="E577" s="130"/>
      <c r="F577" s="33"/>
      <c r="G577" s="33"/>
      <c r="H577" s="33"/>
      <c r="I577" s="33"/>
      <c r="J577" s="3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98">
        <v>66.0</v>
      </c>
      <c r="B578" s="125" t="s">
        <v>1023</v>
      </c>
      <c r="C578" s="126" t="s">
        <v>141</v>
      </c>
      <c r="D578" s="127">
        <v>14351.0</v>
      </c>
      <c r="E578" s="130"/>
      <c r="F578" s="33"/>
      <c r="G578" s="33"/>
      <c r="H578" s="33"/>
      <c r="I578" s="33"/>
      <c r="J578" s="3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98">
        <v>67.0</v>
      </c>
      <c r="B579" s="125" t="s">
        <v>1024</v>
      </c>
      <c r="C579" s="131"/>
      <c r="D579" s="127">
        <v>16711.0</v>
      </c>
      <c r="E579" s="130"/>
      <c r="F579" s="33"/>
      <c r="G579" s="33"/>
      <c r="H579" s="33"/>
      <c r="I579" s="33"/>
      <c r="J579" s="3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98">
        <v>68.0</v>
      </c>
      <c r="B580" s="125" t="s">
        <v>1025</v>
      </c>
      <c r="C580" s="126" t="s">
        <v>1026</v>
      </c>
      <c r="D580" s="127">
        <v>14947.0</v>
      </c>
      <c r="E580" s="130"/>
      <c r="F580" s="33"/>
      <c r="G580" s="33"/>
      <c r="H580" s="33"/>
      <c r="I580" s="33"/>
      <c r="J580" s="3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98">
        <v>69.0</v>
      </c>
      <c r="B581" s="125" t="s">
        <v>1027</v>
      </c>
      <c r="C581" s="126" t="s">
        <v>141</v>
      </c>
      <c r="D581" s="127">
        <v>19765.0</v>
      </c>
      <c r="E581" s="128"/>
      <c r="F581" s="33"/>
      <c r="G581" s="33"/>
      <c r="H581" s="33"/>
      <c r="I581" s="33"/>
      <c r="J581" s="3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98">
        <v>70.0</v>
      </c>
      <c r="B582" s="125" t="s">
        <v>1028</v>
      </c>
      <c r="C582" s="131"/>
      <c r="D582" s="127">
        <v>21713.0</v>
      </c>
      <c r="E582" s="128"/>
      <c r="F582" s="33"/>
      <c r="G582" s="33"/>
      <c r="H582" s="33"/>
      <c r="I582" s="33"/>
      <c r="J582" s="3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98">
        <v>71.0</v>
      </c>
      <c r="B583" s="125" t="s">
        <v>1029</v>
      </c>
      <c r="C583" s="126" t="s">
        <v>141</v>
      </c>
      <c r="D583" s="127">
        <v>19161.0</v>
      </c>
      <c r="E583" s="128"/>
      <c r="F583" s="33"/>
      <c r="G583" s="33"/>
      <c r="H583" s="33"/>
      <c r="I583" s="33"/>
      <c r="J583" s="3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98">
        <v>72.0</v>
      </c>
      <c r="B584" s="125" t="s">
        <v>1030</v>
      </c>
      <c r="C584" s="131"/>
      <c r="D584" s="127">
        <v>21438.0</v>
      </c>
      <c r="E584" s="128"/>
      <c r="F584" s="33"/>
      <c r="G584" s="33"/>
      <c r="H584" s="33"/>
      <c r="I584" s="33"/>
      <c r="J584" s="3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98">
        <v>73.0</v>
      </c>
      <c r="B585" s="125" t="s">
        <v>1031</v>
      </c>
      <c r="C585" s="126" t="s">
        <v>141</v>
      </c>
      <c r="D585" s="127">
        <v>19859.0</v>
      </c>
      <c r="E585" s="128"/>
      <c r="F585" s="33"/>
      <c r="G585" s="33"/>
      <c r="H585" s="33"/>
      <c r="I585" s="33"/>
      <c r="J585" s="3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98">
        <v>74.0</v>
      </c>
      <c r="B586" s="125" t="s">
        <v>1032</v>
      </c>
      <c r="C586" s="126" t="s">
        <v>141</v>
      </c>
      <c r="D586" s="127">
        <v>20674.0</v>
      </c>
      <c r="E586" s="128"/>
      <c r="F586" s="33"/>
      <c r="G586" s="33"/>
      <c r="H586" s="33"/>
      <c r="I586" s="33"/>
      <c r="J586" s="3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98">
        <v>75.0</v>
      </c>
      <c r="B587" s="125" t="s">
        <v>1033</v>
      </c>
      <c r="C587" s="131"/>
      <c r="D587" s="127">
        <v>20357.0</v>
      </c>
      <c r="E587" s="128"/>
      <c r="F587" s="33"/>
      <c r="G587" s="33"/>
      <c r="H587" s="33"/>
      <c r="I587" s="33"/>
      <c r="J587" s="3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98">
        <v>76.0</v>
      </c>
      <c r="B588" s="125" t="s">
        <v>1034</v>
      </c>
      <c r="C588" s="131"/>
      <c r="D588" s="127">
        <v>15543.0</v>
      </c>
      <c r="E588" s="130"/>
      <c r="F588" s="33"/>
      <c r="G588" s="33"/>
      <c r="H588" s="33"/>
      <c r="I588" s="33"/>
      <c r="J588" s="3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98">
        <v>77.0</v>
      </c>
      <c r="B589" s="125" t="s">
        <v>1035</v>
      </c>
      <c r="C589" s="131"/>
      <c r="D589" s="127">
        <v>16979.0</v>
      </c>
      <c r="E589" s="130"/>
      <c r="F589" s="33"/>
      <c r="G589" s="33"/>
      <c r="H589" s="33"/>
      <c r="I589" s="33"/>
      <c r="J589" s="3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98">
        <v>78.0</v>
      </c>
      <c r="B590" s="125" t="s">
        <v>1036</v>
      </c>
      <c r="C590" s="131"/>
      <c r="D590" s="127">
        <v>17066.0</v>
      </c>
      <c r="E590" s="130"/>
      <c r="F590" s="33"/>
      <c r="G590" s="33"/>
      <c r="H590" s="33"/>
      <c r="I590" s="33"/>
      <c r="J590" s="3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98">
        <v>79.0</v>
      </c>
      <c r="B591" s="125" t="s">
        <v>1037</v>
      </c>
      <c r="C591" s="131"/>
      <c r="D591" s="127">
        <v>22201.0</v>
      </c>
      <c r="E591" s="128"/>
      <c r="F591" s="33"/>
      <c r="G591" s="33"/>
      <c r="H591" s="33"/>
      <c r="I591" s="33"/>
      <c r="J591" s="3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98">
        <v>80.0</v>
      </c>
      <c r="B592" s="125" t="s">
        <v>1038</v>
      </c>
      <c r="C592" s="126" t="s">
        <v>141</v>
      </c>
      <c r="D592" s="127">
        <v>21415.0</v>
      </c>
      <c r="E592" s="128"/>
      <c r="F592" s="33"/>
      <c r="G592" s="33"/>
      <c r="H592" s="33"/>
      <c r="I592" s="33"/>
      <c r="J592" s="3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98">
        <v>81.0</v>
      </c>
      <c r="B593" s="125" t="s">
        <v>1039</v>
      </c>
      <c r="C593" s="131"/>
      <c r="D593" s="127">
        <v>19639.0</v>
      </c>
      <c r="E593" s="128"/>
      <c r="F593" s="33"/>
      <c r="G593" s="33"/>
      <c r="H593" s="33"/>
      <c r="I593" s="33"/>
      <c r="J593" s="3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98">
        <v>82.0</v>
      </c>
      <c r="B594" s="125" t="s">
        <v>1040</v>
      </c>
      <c r="C594" s="126" t="s">
        <v>141</v>
      </c>
      <c r="D594" s="127">
        <v>18906.0</v>
      </c>
      <c r="E594" s="128"/>
      <c r="F594" s="33"/>
      <c r="G594" s="33"/>
      <c r="H594" s="33"/>
      <c r="I594" s="33"/>
      <c r="J594" s="3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98">
        <v>83.0</v>
      </c>
      <c r="B595" s="125" t="s">
        <v>1041</v>
      </c>
      <c r="C595" s="131"/>
      <c r="D595" s="127">
        <v>18456.0</v>
      </c>
      <c r="E595" s="130"/>
      <c r="F595" s="33"/>
      <c r="G595" s="33"/>
      <c r="H595" s="33"/>
      <c r="I595" s="33"/>
      <c r="J595" s="3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98">
        <v>84.0</v>
      </c>
      <c r="B596" s="125" t="s">
        <v>1042</v>
      </c>
      <c r="C596" s="126" t="s">
        <v>141</v>
      </c>
      <c r="D596" s="127">
        <v>17821.0</v>
      </c>
      <c r="E596" s="130"/>
      <c r="F596" s="33"/>
      <c r="G596" s="33"/>
      <c r="H596" s="33"/>
      <c r="I596" s="33"/>
      <c r="J596" s="3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98">
        <v>85.0</v>
      </c>
      <c r="B597" s="125" t="s">
        <v>1043</v>
      </c>
      <c r="C597" s="131"/>
      <c r="D597" s="127">
        <v>21716.0</v>
      </c>
      <c r="E597" s="128"/>
      <c r="F597" s="33"/>
      <c r="G597" s="33"/>
      <c r="H597" s="33"/>
      <c r="I597" s="33"/>
      <c r="J597" s="3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98">
        <v>86.0</v>
      </c>
      <c r="B598" s="125" t="s">
        <v>1044</v>
      </c>
      <c r="C598" s="131"/>
      <c r="D598" s="127">
        <v>21276.0</v>
      </c>
      <c r="E598" s="128"/>
      <c r="F598" s="33"/>
      <c r="G598" s="33"/>
      <c r="H598" s="33"/>
      <c r="I598" s="33"/>
      <c r="J598" s="3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98">
        <v>87.0</v>
      </c>
      <c r="B599" s="125" t="s">
        <v>1045</v>
      </c>
      <c r="C599" s="126" t="s">
        <v>141</v>
      </c>
      <c r="D599" s="127">
        <v>21414.0</v>
      </c>
      <c r="E599" s="128"/>
      <c r="F599" s="33"/>
      <c r="G599" s="33"/>
      <c r="H599" s="33"/>
      <c r="I599" s="33"/>
      <c r="J599" s="3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98">
        <v>88.0</v>
      </c>
      <c r="B600" s="125" t="s">
        <v>1046</v>
      </c>
      <c r="C600" s="126" t="s">
        <v>141</v>
      </c>
      <c r="D600" s="127">
        <v>21935.0</v>
      </c>
      <c r="E600" s="128"/>
      <c r="F600" s="33"/>
      <c r="G600" s="33"/>
      <c r="H600" s="33"/>
      <c r="I600" s="33"/>
      <c r="J600" s="3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98">
        <v>89.0</v>
      </c>
      <c r="B601" s="125" t="s">
        <v>1047</v>
      </c>
      <c r="C601" s="126" t="s">
        <v>141</v>
      </c>
      <c r="D601" s="127">
        <v>21695.0</v>
      </c>
      <c r="E601" s="128"/>
      <c r="F601" s="33"/>
      <c r="G601" s="33"/>
      <c r="H601" s="33"/>
      <c r="I601" s="33"/>
      <c r="J601" s="3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98">
        <v>90.0</v>
      </c>
      <c r="B602" s="125" t="s">
        <v>1048</v>
      </c>
      <c r="C602" s="131"/>
      <c r="D602" s="127">
        <v>18753.0</v>
      </c>
      <c r="E602" s="128"/>
      <c r="F602" s="33"/>
      <c r="G602" s="33"/>
      <c r="H602" s="33"/>
      <c r="I602" s="33"/>
      <c r="J602" s="3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98">
        <v>91.0</v>
      </c>
      <c r="B603" s="125" t="s">
        <v>1049</v>
      </c>
      <c r="C603" s="131"/>
      <c r="D603" s="127">
        <v>19541.0</v>
      </c>
      <c r="E603" s="128"/>
      <c r="F603" s="33"/>
      <c r="G603" s="33"/>
      <c r="H603" s="33"/>
      <c r="I603" s="33"/>
      <c r="J603" s="3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98">
        <v>92.0</v>
      </c>
      <c r="B604" s="125" t="s">
        <v>1050</v>
      </c>
      <c r="C604" s="126" t="s">
        <v>141</v>
      </c>
      <c r="D604" s="127">
        <v>14766.0</v>
      </c>
      <c r="E604" s="130"/>
      <c r="F604" s="33"/>
      <c r="G604" s="33"/>
      <c r="H604" s="33"/>
      <c r="I604" s="33"/>
      <c r="J604" s="3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98">
        <v>93.0</v>
      </c>
      <c r="B605" s="125" t="s">
        <v>1051</v>
      </c>
      <c r="C605" s="131"/>
      <c r="D605" s="127">
        <v>14711.0</v>
      </c>
      <c r="E605" s="130"/>
      <c r="F605" s="33"/>
      <c r="G605" s="33"/>
      <c r="H605" s="33"/>
      <c r="I605" s="33"/>
      <c r="J605" s="3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98">
        <v>94.0</v>
      </c>
      <c r="B606" s="125" t="s">
        <v>1052</v>
      </c>
      <c r="C606" s="126" t="s">
        <v>141</v>
      </c>
      <c r="D606" s="127">
        <v>18056.0</v>
      </c>
      <c r="E606" s="130"/>
      <c r="F606" s="33"/>
      <c r="G606" s="33"/>
      <c r="H606" s="33"/>
      <c r="I606" s="33"/>
      <c r="J606" s="3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98">
        <v>95.0</v>
      </c>
      <c r="B607" s="125" t="s">
        <v>1053</v>
      </c>
      <c r="C607" s="131"/>
      <c r="D607" s="127">
        <v>21008.0</v>
      </c>
      <c r="E607" s="128"/>
      <c r="F607" s="33"/>
      <c r="G607" s="33"/>
      <c r="H607" s="33"/>
      <c r="I607" s="33"/>
      <c r="J607" s="3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98">
        <v>96.0</v>
      </c>
      <c r="B608" s="125" t="s">
        <v>1054</v>
      </c>
      <c r="C608" s="126" t="s">
        <v>141</v>
      </c>
      <c r="D608" s="127">
        <v>20500.0</v>
      </c>
      <c r="E608" s="128"/>
      <c r="F608" s="33"/>
      <c r="G608" s="33"/>
      <c r="H608" s="33"/>
      <c r="I608" s="33"/>
      <c r="J608" s="3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98">
        <v>97.0</v>
      </c>
      <c r="B609" s="125" t="s">
        <v>1055</v>
      </c>
      <c r="C609" s="131"/>
      <c r="D609" s="127">
        <v>19563.0</v>
      </c>
      <c r="E609" s="128"/>
      <c r="F609" s="33"/>
      <c r="G609" s="33"/>
      <c r="H609" s="33"/>
      <c r="I609" s="33"/>
      <c r="J609" s="3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98">
        <v>98.0</v>
      </c>
      <c r="B610" s="125" t="s">
        <v>1056</v>
      </c>
      <c r="C610" s="131"/>
      <c r="D610" s="127">
        <v>21772.0</v>
      </c>
      <c r="E610" s="128"/>
      <c r="F610" s="33"/>
      <c r="G610" s="33"/>
      <c r="H610" s="33"/>
      <c r="I610" s="33"/>
      <c r="J610" s="3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98">
        <v>99.0</v>
      </c>
      <c r="B611" s="125" t="s">
        <v>1057</v>
      </c>
      <c r="C611" s="126" t="s">
        <v>141</v>
      </c>
      <c r="D611" s="127">
        <v>19589.0</v>
      </c>
      <c r="E611" s="128"/>
      <c r="F611" s="33"/>
      <c r="G611" s="33"/>
      <c r="H611" s="33"/>
      <c r="I611" s="33"/>
      <c r="J611" s="3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98">
        <v>100.0</v>
      </c>
      <c r="B612" s="125" t="s">
        <v>1058</v>
      </c>
      <c r="C612" s="126" t="s">
        <v>141</v>
      </c>
      <c r="D612" s="127">
        <v>21832.0</v>
      </c>
      <c r="E612" s="128"/>
      <c r="F612" s="33"/>
      <c r="G612" s="33"/>
      <c r="H612" s="33"/>
      <c r="I612" s="33"/>
      <c r="J612" s="3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98">
        <v>101.0</v>
      </c>
      <c r="B613" s="125" t="s">
        <v>1059</v>
      </c>
      <c r="C613" s="131"/>
      <c r="D613" s="127">
        <v>19065.0</v>
      </c>
      <c r="E613" s="128"/>
      <c r="F613" s="33"/>
      <c r="G613" s="33"/>
      <c r="H613" s="33"/>
      <c r="I613" s="33"/>
      <c r="J613" s="3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98">
        <v>102.0</v>
      </c>
      <c r="B614" s="125" t="s">
        <v>1060</v>
      </c>
      <c r="C614" s="126" t="s">
        <v>141</v>
      </c>
      <c r="D614" s="127">
        <v>15570.0</v>
      </c>
      <c r="E614" s="130"/>
      <c r="F614" s="33"/>
      <c r="G614" s="33"/>
      <c r="H614" s="33"/>
      <c r="I614" s="33"/>
      <c r="J614" s="3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98">
        <v>103.0</v>
      </c>
      <c r="B615" s="125" t="s">
        <v>1061</v>
      </c>
      <c r="C615" s="131"/>
      <c r="D615" s="127">
        <v>18849.0</v>
      </c>
      <c r="E615" s="130"/>
      <c r="F615" s="33"/>
      <c r="G615" s="33"/>
      <c r="H615" s="33"/>
      <c r="I615" s="33"/>
      <c r="J615" s="3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98">
        <v>104.0</v>
      </c>
      <c r="B616" s="125" t="s">
        <v>1062</v>
      </c>
      <c r="C616" s="131"/>
      <c r="D616" s="127">
        <v>22317.0</v>
      </c>
      <c r="E616" s="128"/>
      <c r="F616" s="33"/>
      <c r="G616" s="33"/>
      <c r="H616" s="33"/>
      <c r="I616" s="33"/>
      <c r="J616" s="3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98">
        <v>105.0</v>
      </c>
      <c r="B617" s="125" t="s">
        <v>1063</v>
      </c>
      <c r="C617" s="126" t="s">
        <v>141</v>
      </c>
      <c r="D617" s="127">
        <v>20641.0</v>
      </c>
      <c r="E617" s="128"/>
      <c r="F617" s="33"/>
      <c r="G617" s="33"/>
      <c r="H617" s="33"/>
      <c r="I617" s="33"/>
      <c r="J617" s="3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98">
        <v>106.0</v>
      </c>
      <c r="B618" s="125" t="s">
        <v>1064</v>
      </c>
      <c r="C618" s="131"/>
      <c r="D618" s="127">
        <v>15615.0</v>
      </c>
      <c r="E618" s="130"/>
      <c r="F618" s="33"/>
      <c r="G618" s="33"/>
      <c r="H618" s="33"/>
      <c r="I618" s="33"/>
      <c r="J618" s="3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98">
        <v>107.0</v>
      </c>
      <c r="B619" s="125" t="s">
        <v>1065</v>
      </c>
      <c r="C619" s="126" t="s">
        <v>141</v>
      </c>
      <c r="D619" s="127">
        <v>13759.0</v>
      </c>
      <c r="E619" s="130"/>
      <c r="F619" s="33"/>
      <c r="G619" s="33"/>
      <c r="H619" s="33"/>
      <c r="I619" s="33"/>
      <c r="J619" s="3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98">
        <v>108.0</v>
      </c>
      <c r="B620" s="125" t="s">
        <v>1066</v>
      </c>
      <c r="C620" s="126" t="s">
        <v>141</v>
      </c>
      <c r="D620" s="127">
        <v>22258.0</v>
      </c>
      <c r="E620" s="128"/>
      <c r="F620" s="33"/>
      <c r="G620" s="33"/>
      <c r="H620" s="33"/>
      <c r="I620" s="33"/>
      <c r="J620" s="3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98">
        <v>109.0</v>
      </c>
      <c r="B621" s="125" t="s">
        <v>1067</v>
      </c>
      <c r="C621" s="131"/>
      <c r="D621" s="127">
        <v>21591.0</v>
      </c>
      <c r="E621" s="128"/>
      <c r="F621" s="33"/>
      <c r="G621" s="33"/>
      <c r="H621" s="33"/>
      <c r="I621" s="33"/>
      <c r="J621" s="3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98">
        <v>110.0</v>
      </c>
      <c r="B622" s="125" t="s">
        <v>1068</v>
      </c>
      <c r="C622" s="131"/>
      <c r="D622" s="127">
        <v>21098.0</v>
      </c>
      <c r="E622" s="128"/>
      <c r="F622" s="33"/>
      <c r="G622" s="33"/>
      <c r="H622" s="33"/>
      <c r="I622" s="33"/>
      <c r="J622" s="3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98">
        <v>111.0</v>
      </c>
      <c r="B623" s="125" t="s">
        <v>1069</v>
      </c>
      <c r="C623" s="131"/>
      <c r="D623" s="127">
        <v>22089.0</v>
      </c>
      <c r="E623" s="128"/>
      <c r="F623" s="33"/>
      <c r="G623" s="33"/>
      <c r="H623" s="33"/>
      <c r="I623" s="33"/>
      <c r="J623" s="3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98">
        <v>112.0</v>
      </c>
      <c r="B624" s="125" t="s">
        <v>1070</v>
      </c>
      <c r="C624" s="126" t="s">
        <v>141</v>
      </c>
      <c r="D624" s="127">
        <v>20070.0</v>
      </c>
      <c r="E624" s="128"/>
      <c r="F624" s="33"/>
      <c r="G624" s="33"/>
      <c r="H624" s="33"/>
      <c r="I624" s="33"/>
      <c r="J624" s="3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98">
        <v>113.0</v>
      </c>
      <c r="B625" s="125" t="s">
        <v>1071</v>
      </c>
      <c r="C625" s="126" t="s">
        <v>1026</v>
      </c>
      <c r="D625" s="127">
        <v>22109.0</v>
      </c>
      <c r="E625" s="128"/>
      <c r="F625" s="33"/>
      <c r="G625" s="33"/>
      <c r="H625" s="33"/>
      <c r="I625" s="33"/>
      <c r="J625" s="3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98">
        <v>114.0</v>
      </c>
      <c r="B626" s="125" t="s">
        <v>1072</v>
      </c>
      <c r="C626" s="126" t="s">
        <v>141</v>
      </c>
      <c r="D626" s="127">
        <v>19964.0</v>
      </c>
      <c r="E626" s="128"/>
      <c r="F626" s="33"/>
      <c r="G626" s="33"/>
      <c r="H626" s="33"/>
      <c r="I626" s="33"/>
      <c r="J626" s="3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98">
        <v>115.0</v>
      </c>
      <c r="B627" s="125" t="s">
        <v>1073</v>
      </c>
      <c r="C627" s="131"/>
      <c r="D627" s="127">
        <v>22086.0</v>
      </c>
      <c r="E627" s="128"/>
      <c r="F627" s="33"/>
      <c r="G627" s="33"/>
      <c r="H627" s="33"/>
      <c r="I627" s="33"/>
      <c r="J627" s="3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98">
        <v>116.0</v>
      </c>
      <c r="B628" s="125" t="s">
        <v>1074</v>
      </c>
      <c r="C628" s="126" t="s">
        <v>141</v>
      </c>
      <c r="D628" s="127">
        <v>19211.0</v>
      </c>
      <c r="E628" s="128"/>
      <c r="F628" s="33"/>
      <c r="G628" s="33"/>
      <c r="H628" s="33"/>
      <c r="I628" s="33"/>
      <c r="J628" s="3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98">
        <v>117.0</v>
      </c>
      <c r="B629" s="125" t="s">
        <v>1075</v>
      </c>
      <c r="C629" s="126" t="s">
        <v>141</v>
      </c>
      <c r="D629" s="127">
        <v>19421.0</v>
      </c>
      <c r="E629" s="128"/>
      <c r="F629" s="33"/>
      <c r="G629" s="33"/>
      <c r="H629" s="33"/>
      <c r="I629" s="33"/>
      <c r="J629" s="3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98">
        <v>118.0</v>
      </c>
      <c r="B630" s="125" t="s">
        <v>1076</v>
      </c>
      <c r="C630" s="126" t="s">
        <v>141</v>
      </c>
      <c r="D630" s="127">
        <v>17508.0</v>
      </c>
      <c r="E630" s="130"/>
      <c r="F630" s="33"/>
      <c r="G630" s="33"/>
      <c r="H630" s="33"/>
      <c r="I630" s="33"/>
      <c r="J630" s="3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98">
        <v>119.0</v>
      </c>
      <c r="B631" s="125" t="s">
        <v>1077</v>
      </c>
      <c r="C631" s="131"/>
      <c r="D631" s="127">
        <v>22166.0</v>
      </c>
      <c r="E631" s="128"/>
      <c r="F631" s="33"/>
      <c r="G631" s="33"/>
      <c r="H631" s="33"/>
      <c r="I631" s="33"/>
      <c r="J631" s="3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98">
        <v>120.0</v>
      </c>
      <c r="B632" s="125" t="s">
        <v>1078</v>
      </c>
      <c r="C632" s="126" t="s">
        <v>141</v>
      </c>
      <c r="D632" s="127">
        <v>20886.0</v>
      </c>
      <c r="E632" s="128"/>
      <c r="F632" s="33"/>
      <c r="G632" s="33"/>
      <c r="H632" s="33"/>
      <c r="I632" s="33"/>
      <c r="J632" s="3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98">
        <v>121.0</v>
      </c>
      <c r="B633" s="125" t="s">
        <v>1079</v>
      </c>
      <c r="C633" s="131"/>
      <c r="D633" s="127">
        <v>19877.0</v>
      </c>
      <c r="E633" s="128"/>
      <c r="F633" s="33"/>
      <c r="G633" s="33"/>
      <c r="H633" s="33"/>
      <c r="I633" s="33"/>
      <c r="J633" s="3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98">
        <v>122.0</v>
      </c>
      <c r="B634" s="125" t="s">
        <v>1080</v>
      </c>
      <c r="C634" s="131"/>
      <c r="D634" s="127">
        <v>21006.0</v>
      </c>
      <c r="E634" s="128"/>
      <c r="F634" s="33"/>
      <c r="G634" s="33"/>
      <c r="H634" s="33"/>
      <c r="I634" s="33"/>
      <c r="J634" s="3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98">
        <v>123.0</v>
      </c>
      <c r="B635" s="125" t="s">
        <v>1081</v>
      </c>
      <c r="C635" s="126" t="s">
        <v>141</v>
      </c>
      <c r="D635" s="127">
        <v>17577.0</v>
      </c>
      <c r="E635" s="130"/>
      <c r="F635" s="33"/>
      <c r="G635" s="33"/>
      <c r="H635" s="33"/>
      <c r="I635" s="33"/>
      <c r="J635" s="3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98">
        <v>124.0</v>
      </c>
      <c r="B636" s="125" t="s">
        <v>1082</v>
      </c>
      <c r="C636" s="126" t="s">
        <v>141</v>
      </c>
      <c r="D636" s="127">
        <v>16569.0</v>
      </c>
      <c r="E636" s="130"/>
      <c r="F636" s="33"/>
      <c r="G636" s="33"/>
      <c r="H636" s="33"/>
      <c r="I636" s="33"/>
      <c r="J636" s="3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98">
        <v>125.0</v>
      </c>
      <c r="B637" s="125" t="s">
        <v>1083</v>
      </c>
      <c r="C637" s="126" t="s">
        <v>141</v>
      </c>
      <c r="D637" s="127">
        <v>19916.0</v>
      </c>
      <c r="E637" s="128"/>
      <c r="F637" s="33"/>
      <c r="G637" s="33"/>
      <c r="H637" s="33"/>
      <c r="I637" s="33"/>
      <c r="J637" s="3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98">
        <v>126.0</v>
      </c>
      <c r="B638" s="125" t="s">
        <v>1084</v>
      </c>
      <c r="C638" s="126" t="s">
        <v>141</v>
      </c>
      <c r="D638" s="127">
        <v>20974.0</v>
      </c>
      <c r="E638" s="128"/>
      <c r="F638" s="33"/>
      <c r="G638" s="33"/>
      <c r="H638" s="33"/>
      <c r="I638" s="33"/>
      <c r="J638" s="3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98">
        <v>127.0</v>
      </c>
      <c r="B639" s="125" t="s">
        <v>1085</v>
      </c>
      <c r="C639" s="126" t="s">
        <v>141</v>
      </c>
      <c r="D639" s="127">
        <v>16495.0</v>
      </c>
      <c r="E639" s="130"/>
      <c r="F639" s="33"/>
      <c r="G639" s="33"/>
      <c r="H639" s="33"/>
      <c r="I639" s="33"/>
      <c r="J639" s="3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98">
        <v>128.0</v>
      </c>
      <c r="B640" s="125" t="s">
        <v>1086</v>
      </c>
      <c r="C640" s="131"/>
      <c r="D640" s="127">
        <v>19938.0</v>
      </c>
      <c r="E640" s="128"/>
      <c r="F640" s="33"/>
      <c r="G640" s="33"/>
      <c r="H640" s="33"/>
      <c r="I640" s="33"/>
      <c r="J640" s="3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98">
        <v>129.0</v>
      </c>
      <c r="B641" s="125" t="s">
        <v>1087</v>
      </c>
      <c r="C641" s="126" t="s">
        <v>141</v>
      </c>
      <c r="D641" s="127">
        <v>18152.0</v>
      </c>
      <c r="E641" s="130"/>
      <c r="F641" s="33"/>
      <c r="G641" s="33"/>
      <c r="H641" s="33"/>
      <c r="I641" s="33"/>
      <c r="J641" s="3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98">
        <v>130.0</v>
      </c>
      <c r="B642" s="125" t="s">
        <v>1088</v>
      </c>
      <c r="C642" s="131"/>
      <c r="D642" s="127">
        <v>19606.0</v>
      </c>
      <c r="E642" s="128"/>
      <c r="F642" s="33"/>
      <c r="G642" s="33"/>
      <c r="H642" s="33"/>
      <c r="I642" s="33"/>
      <c r="J642" s="3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98">
        <v>131.0</v>
      </c>
      <c r="B643" s="125" t="s">
        <v>1089</v>
      </c>
      <c r="C643" s="126" t="s">
        <v>141</v>
      </c>
      <c r="D643" s="127">
        <v>16968.0</v>
      </c>
      <c r="E643" s="130"/>
      <c r="F643" s="33"/>
      <c r="G643" s="33"/>
      <c r="H643" s="33"/>
      <c r="I643" s="33"/>
      <c r="J643" s="3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98">
        <v>132.0</v>
      </c>
      <c r="B644" s="125" t="s">
        <v>1033</v>
      </c>
      <c r="C644" s="131"/>
      <c r="D644" s="127">
        <v>15835.0</v>
      </c>
      <c r="E644" s="130"/>
      <c r="F644" s="33"/>
      <c r="G644" s="33"/>
      <c r="H644" s="33"/>
      <c r="I644" s="33"/>
      <c r="J644" s="3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98">
        <v>133.0</v>
      </c>
      <c r="B645" s="125" t="s">
        <v>1037</v>
      </c>
      <c r="C645" s="131"/>
      <c r="D645" s="127">
        <v>18945.0</v>
      </c>
      <c r="E645" s="128"/>
      <c r="F645" s="33"/>
      <c r="G645" s="33"/>
      <c r="H645" s="33"/>
      <c r="I645" s="33"/>
      <c r="J645" s="3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98">
        <v>134.0</v>
      </c>
      <c r="B646" s="125" t="s">
        <v>1090</v>
      </c>
      <c r="C646" s="126" t="s">
        <v>141</v>
      </c>
      <c r="D646" s="127">
        <v>16872.0</v>
      </c>
      <c r="E646" s="130"/>
      <c r="F646" s="33"/>
      <c r="G646" s="33"/>
      <c r="H646" s="33"/>
      <c r="I646" s="33"/>
      <c r="J646" s="3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98">
        <v>135.0</v>
      </c>
      <c r="B647" s="125" t="s">
        <v>1091</v>
      </c>
      <c r="C647" s="131"/>
      <c r="D647" s="127">
        <v>21684.0</v>
      </c>
      <c r="E647" s="128"/>
      <c r="F647" s="33"/>
      <c r="G647" s="33"/>
      <c r="H647" s="33"/>
      <c r="I647" s="33"/>
      <c r="J647" s="3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98">
        <v>136.0</v>
      </c>
      <c r="B648" s="125" t="s">
        <v>1092</v>
      </c>
      <c r="C648" s="131"/>
      <c r="D648" s="127">
        <v>19970.0</v>
      </c>
      <c r="E648" s="128"/>
      <c r="F648" s="33"/>
      <c r="G648" s="33"/>
      <c r="H648" s="33"/>
      <c r="I648" s="33"/>
      <c r="J648" s="3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98">
        <v>137.0</v>
      </c>
      <c r="B649" s="125" t="s">
        <v>1003</v>
      </c>
      <c r="C649" s="126" t="s">
        <v>141</v>
      </c>
      <c r="D649" s="127">
        <v>17567.0</v>
      </c>
      <c r="E649" s="130"/>
      <c r="F649" s="33"/>
      <c r="G649" s="33"/>
      <c r="H649" s="33"/>
      <c r="I649" s="33"/>
      <c r="J649" s="3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98">
        <v>138.0</v>
      </c>
      <c r="B650" s="125" t="s">
        <v>1093</v>
      </c>
      <c r="C650" s="131"/>
      <c r="D650" s="127">
        <v>22112.0</v>
      </c>
      <c r="E650" s="128"/>
      <c r="F650" s="33"/>
      <c r="G650" s="33"/>
      <c r="H650" s="33"/>
      <c r="I650" s="33"/>
      <c r="J650" s="3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98">
        <v>139.0</v>
      </c>
      <c r="B651" s="125" t="s">
        <v>1094</v>
      </c>
      <c r="C651" s="126" t="s">
        <v>141</v>
      </c>
      <c r="D651" s="127">
        <v>19610.0</v>
      </c>
      <c r="E651" s="128"/>
      <c r="F651" s="33"/>
      <c r="G651" s="33"/>
      <c r="H651" s="33"/>
      <c r="I651" s="33"/>
      <c r="J651" s="3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98">
        <v>140.0</v>
      </c>
      <c r="B652" s="125" t="s">
        <v>1095</v>
      </c>
      <c r="C652" s="126" t="s">
        <v>141</v>
      </c>
      <c r="D652" s="127">
        <v>17396.0</v>
      </c>
      <c r="E652" s="130"/>
      <c r="F652" s="33"/>
      <c r="G652" s="33"/>
      <c r="H652" s="33"/>
      <c r="I652" s="33"/>
      <c r="J652" s="3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98">
        <v>141.0</v>
      </c>
      <c r="B653" s="125" t="s">
        <v>1096</v>
      </c>
      <c r="C653" s="131"/>
      <c r="D653" s="127">
        <v>18869.0</v>
      </c>
      <c r="E653" s="128"/>
      <c r="F653" s="33"/>
      <c r="G653" s="33"/>
      <c r="H653" s="33"/>
      <c r="I653" s="33"/>
      <c r="J653" s="3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98">
        <v>142.0</v>
      </c>
      <c r="B654" s="125" t="s">
        <v>1097</v>
      </c>
      <c r="C654" s="126" t="s">
        <v>141</v>
      </c>
      <c r="D654" s="127">
        <v>14244.0</v>
      </c>
      <c r="E654" s="130"/>
      <c r="F654" s="33"/>
      <c r="G654" s="33"/>
      <c r="H654" s="33"/>
      <c r="I654" s="33"/>
      <c r="J654" s="3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98">
        <v>143.0</v>
      </c>
      <c r="B655" s="125" t="s">
        <v>1037</v>
      </c>
      <c r="C655" s="131"/>
      <c r="D655" s="127">
        <v>18822.0</v>
      </c>
      <c r="E655" s="128"/>
      <c r="F655" s="33"/>
      <c r="G655" s="33"/>
      <c r="H655" s="33"/>
      <c r="I655" s="33"/>
      <c r="J655" s="3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98">
        <v>144.0</v>
      </c>
      <c r="B656" s="125" t="s">
        <v>1098</v>
      </c>
      <c r="C656" s="126" t="s">
        <v>141</v>
      </c>
      <c r="D656" s="127">
        <v>21381.0</v>
      </c>
      <c r="E656" s="128"/>
      <c r="F656" s="33"/>
      <c r="G656" s="33"/>
      <c r="H656" s="33"/>
      <c r="I656" s="33"/>
      <c r="J656" s="3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98">
        <v>145.0</v>
      </c>
      <c r="B657" s="125" t="s">
        <v>1099</v>
      </c>
      <c r="C657" s="131"/>
      <c r="D657" s="127">
        <v>18052.0</v>
      </c>
      <c r="E657" s="132"/>
      <c r="F657" s="33"/>
      <c r="G657" s="33"/>
      <c r="H657" s="33"/>
      <c r="I657" s="33"/>
      <c r="J657" s="3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98">
        <v>146.0</v>
      </c>
      <c r="B658" s="125" t="s">
        <v>1100</v>
      </c>
      <c r="C658" s="126" t="s">
        <v>141</v>
      </c>
      <c r="D658" s="127">
        <v>12257.0</v>
      </c>
      <c r="E658" s="132"/>
      <c r="F658" s="33"/>
      <c r="G658" s="33"/>
      <c r="H658" s="33"/>
      <c r="I658" s="33"/>
      <c r="J658" s="3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98">
        <v>147.0</v>
      </c>
      <c r="B659" s="125" t="s">
        <v>1047</v>
      </c>
      <c r="C659" s="126" t="s">
        <v>1026</v>
      </c>
      <c r="D659" s="127">
        <v>21777.0</v>
      </c>
      <c r="E659" s="128"/>
      <c r="F659" s="33"/>
      <c r="G659" s="33"/>
      <c r="H659" s="33"/>
      <c r="I659" s="33"/>
      <c r="J659" s="3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98">
        <v>148.0</v>
      </c>
      <c r="B660" s="125" t="s">
        <v>1101</v>
      </c>
      <c r="C660" s="126" t="s">
        <v>141</v>
      </c>
      <c r="D660" s="127">
        <v>21834.0</v>
      </c>
      <c r="E660" s="128"/>
      <c r="F660" s="33"/>
      <c r="G660" s="33"/>
      <c r="H660" s="33"/>
      <c r="I660" s="33"/>
      <c r="J660" s="3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98">
        <v>149.0</v>
      </c>
      <c r="B661" s="125" t="s">
        <v>1102</v>
      </c>
      <c r="C661" s="126" t="s">
        <v>141</v>
      </c>
      <c r="D661" s="125" t="s">
        <v>1103</v>
      </c>
      <c r="E661" s="128"/>
      <c r="F661" s="33"/>
      <c r="G661" s="33"/>
      <c r="H661" s="33"/>
      <c r="I661" s="33"/>
      <c r="J661" s="3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98">
        <v>150.0</v>
      </c>
      <c r="B662" s="125" t="s">
        <v>1104</v>
      </c>
      <c r="C662" s="126" t="s">
        <v>141</v>
      </c>
      <c r="D662" s="127">
        <v>22133.0</v>
      </c>
      <c r="E662" s="128"/>
      <c r="F662" s="33"/>
      <c r="G662" s="33"/>
      <c r="H662" s="33"/>
      <c r="I662" s="33"/>
      <c r="J662" s="3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98">
        <v>151.0</v>
      </c>
      <c r="B663" s="125" t="s">
        <v>1105</v>
      </c>
      <c r="C663" s="131"/>
      <c r="D663" s="127">
        <v>19772.0</v>
      </c>
      <c r="E663" s="128"/>
      <c r="F663" s="33"/>
      <c r="G663" s="33"/>
      <c r="H663" s="33"/>
      <c r="I663" s="33"/>
      <c r="J663" s="3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98">
        <v>152.0</v>
      </c>
      <c r="B664" s="125" t="s">
        <v>1106</v>
      </c>
      <c r="C664" s="126" t="s">
        <v>141</v>
      </c>
      <c r="D664" s="127">
        <v>21695.0</v>
      </c>
      <c r="E664" s="128"/>
      <c r="F664" s="33"/>
      <c r="G664" s="33"/>
      <c r="H664" s="33"/>
      <c r="I664" s="33"/>
      <c r="J664" s="3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98">
        <v>153.0</v>
      </c>
      <c r="B665" s="125" t="s">
        <v>1107</v>
      </c>
      <c r="C665" s="131"/>
      <c r="D665" s="127">
        <v>21285.0</v>
      </c>
      <c r="E665" s="128"/>
      <c r="F665" s="33"/>
      <c r="G665" s="33"/>
      <c r="H665" s="33"/>
      <c r="I665" s="33"/>
      <c r="J665" s="3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98">
        <v>154.0</v>
      </c>
      <c r="B666" s="125" t="s">
        <v>1108</v>
      </c>
      <c r="C666" s="126" t="s">
        <v>141</v>
      </c>
      <c r="D666" s="127">
        <v>21285.0</v>
      </c>
      <c r="E666" s="128"/>
      <c r="F666" s="33"/>
      <c r="G666" s="33"/>
      <c r="H666" s="33"/>
      <c r="I666" s="33"/>
      <c r="J666" s="3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98">
        <v>155.0</v>
      </c>
      <c r="B667" s="125" t="s">
        <v>1109</v>
      </c>
      <c r="C667" s="131"/>
      <c r="D667" s="127">
        <v>20800.0</v>
      </c>
      <c r="E667" s="128"/>
      <c r="F667" s="33"/>
      <c r="G667" s="33"/>
      <c r="H667" s="33"/>
      <c r="I667" s="33"/>
      <c r="J667" s="3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98">
        <v>156.0</v>
      </c>
      <c r="B668" s="125" t="s">
        <v>1110</v>
      </c>
      <c r="C668" s="126" t="s">
        <v>141</v>
      </c>
      <c r="D668" s="127">
        <v>19953.0</v>
      </c>
      <c r="E668" s="128"/>
      <c r="F668" s="33"/>
      <c r="G668" s="33"/>
      <c r="H668" s="33"/>
      <c r="I668" s="33"/>
      <c r="J668" s="3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98">
        <v>157.0</v>
      </c>
      <c r="B669" s="125" t="s">
        <v>1111</v>
      </c>
      <c r="C669" s="131"/>
      <c r="D669" s="127">
        <v>21046.0</v>
      </c>
      <c r="E669" s="128"/>
      <c r="F669" s="33"/>
      <c r="G669" s="33"/>
      <c r="H669" s="33"/>
      <c r="I669" s="33"/>
      <c r="J669" s="3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98">
        <v>158.0</v>
      </c>
      <c r="B670" s="125" t="s">
        <v>1112</v>
      </c>
      <c r="C670" s="131"/>
      <c r="D670" s="127">
        <v>21893.0</v>
      </c>
      <c r="E670" s="128"/>
      <c r="F670" s="33"/>
      <c r="G670" s="33"/>
      <c r="H670" s="33"/>
      <c r="I670" s="33"/>
      <c r="J670" s="3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98">
        <v>159.0</v>
      </c>
      <c r="B671" s="125" t="s">
        <v>1113</v>
      </c>
      <c r="C671" s="126" t="s">
        <v>141</v>
      </c>
      <c r="D671" s="127">
        <v>20224.0</v>
      </c>
      <c r="E671" s="128"/>
      <c r="F671" s="33"/>
      <c r="G671" s="33"/>
      <c r="H671" s="33"/>
      <c r="I671" s="33"/>
      <c r="J671" s="3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98">
        <v>160.0</v>
      </c>
      <c r="B672" s="125" t="s">
        <v>1114</v>
      </c>
      <c r="C672" s="126" t="s">
        <v>141</v>
      </c>
      <c r="D672" s="127">
        <v>22173.0</v>
      </c>
      <c r="E672" s="128"/>
      <c r="F672" s="33"/>
      <c r="G672" s="33"/>
      <c r="H672" s="33"/>
      <c r="I672" s="33"/>
      <c r="J672" s="3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98">
        <v>161.0</v>
      </c>
      <c r="B673" s="125" t="s">
        <v>1115</v>
      </c>
      <c r="C673" s="131"/>
      <c r="D673" s="127">
        <v>21013.0</v>
      </c>
      <c r="E673" s="128"/>
      <c r="F673" s="33"/>
      <c r="G673" s="33"/>
      <c r="H673" s="33"/>
      <c r="I673" s="33"/>
      <c r="J673" s="3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98">
        <v>162.0</v>
      </c>
      <c r="B674" s="125" t="s">
        <v>1116</v>
      </c>
      <c r="C674" s="126" t="s">
        <v>141</v>
      </c>
      <c r="D674" s="127">
        <v>20182.0</v>
      </c>
      <c r="E674" s="128"/>
      <c r="F674" s="33"/>
      <c r="G674" s="33"/>
      <c r="H674" s="33"/>
      <c r="I674" s="33"/>
      <c r="J674" s="3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98">
        <v>163.0</v>
      </c>
      <c r="B675" s="125" t="s">
        <v>1117</v>
      </c>
      <c r="C675" s="131"/>
      <c r="D675" s="127">
        <v>19549.0</v>
      </c>
      <c r="E675" s="128"/>
      <c r="F675" s="33"/>
      <c r="G675" s="33"/>
      <c r="H675" s="33"/>
      <c r="I675" s="33"/>
      <c r="J675" s="3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98">
        <v>164.0</v>
      </c>
      <c r="B676" s="125" t="s">
        <v>1118</v>
      </c>
      <c r="C676" s="126" t="s">
        <v>141</v>
      </c>
      <c r="D676" s="127">
        <v>18702.0</v>
      </c>
      <c r="E676" s="128"/>
      <c r="F676" s="33"/>
      <c r="G676" s="33"/>
      <c r="H676" s="33"/>
      <c r="I676" s="33"/>
      <c r="J676" s="3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98">
        <v>165.0</v>
      </c>
      <c r="B677" s="125" t="s">
        <v>1119</v>
      </c>
      <c r="C677" s="126" t="s">
        <v>141</v>
      </c>
      <c r="D677" s="127">
        <v>20707.0</v>
      </c>
      <c r="E677" s="128"/>
      <c r="F677" s="33"/>
      <c r="G677" s="33"/>
      <c r="H677" s="33"/>
      <c r="I677" s="33"/>
      <c r="J677" s="3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98">
        <v>166.0</v>
      </c>
      <c r="B678" s="125" t="s">
        <v>1120</v>
      </c>
      <c r="C678" s="131"/>
      <c r="D678" s="127">
        <v>15622.0</v>
      </c>
      <c r="E678" s="130"/>
      <c r="F678" s="33"/>
      <c r="G678" s="33"/>
      <c r="H678" s="33"/>
      <c r="I678" s="33"/>
      <c r="J678" s="3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98">
        <v>167.0</v>
      </c>
      <c r="B679" s="125" t="s">
        <v>964</v>
      </c>
      <c r="C679" s="126" t="s">
        <v>141</v>
      </c>
      <c r="D679" s="127">
        <v>15220.0</v>
      </c>
      <c r="E679" s="130"/>
      <c r="F679" s="33"/>
      <c r="G679" s="33"/>
      <c r="H679" s="33"/>
      <c r="I679" s="33"/>
      <c r="J679" s="3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98">
        <v>168.0</v>
      </c>
      <c r="B680" s="125" t="s">
        <v>1121</v>
      </c>
      <c r="C680" s="131"/>
      <c r="D680" s="127">
        <v>19946.0</v>
      </c>
      <c r="E680" s="128"/>
      <c r="F680" s="33"/>
      <c r="G680" s="33"/>
      <c r="H680" s="33"/>
      <c r="I680" s="33"/>
      <c r="J680" s="3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98">
        <v>169.0</v>
      </c>
      <c r="B681" s="125" t="s">
        <v>1122</v>
      </c>
      <c r="C681" s="126" t="s">
        <v>141</v>
      </c>
      <c r="D681" s="127">
        <v>18153.0</v>
      </c>
      <c r="E681" s="130"/>
      <c r="F681" s="33"/>
      <c r="G681" s="33"/>
      <c r="H681" s="33"/>
      <c r="I681" s="33"/>
      <c r="J681" s="3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98">
        <v>170.0</v>
      </c>
      <c r="B682" s="125" t="s">
        <v>1099</v>
      </c>
      <c r="C682" s="131"/>
      <c r="D682" s="127">
        <v>16600.0</v>
      </c>
      <c r="E682" s="130"/>
      <c r="F682" s="33"/>
      <c r="G682" s="33"/>
      <c r="H682" s="33"/>
      <c r="I682" s="33"/>
      <c r="J682" s="3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98">
        <v>171.0</v>
      </c>
      <c r="B683" s="125" t="s">
        <v>1123</v>
      </c>
      <c r="C683" s="131"/>
      <c r="D683" s="127">
        <v>13975.0</v>
      </c>
      <c r="E683" s="130"/>
      <c r="F683" s="33"/>
      <c r="G683" s="33"/>
      <c r="H683" s="33"/>
      <c r="I683" s="33"/>
      <c r="J683" s="3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98">
        <v>172.0</v>
      </c>
      <c r="B684" s="125" t="s">
        <v>1124</v>
      </c>
      <c r="C684" s="126" t="s">
        <v>141</v>
      </c>
      <c r="D684" s="127">
        <v>10970.0</v>
      </c>
      <c r="E684" s="130"/>
      <c r="F684" s="33"/>
      <c r="G684" s="33"/>
      <c r="H684" s="33"/>
      <c r="I684" s="33"/>
      <c r="J684" s="3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98">
        <v>173.0</v>
      </c>
      <c r="B685" s="125" t="s">
        <v>1125</v>
      </c>
      <c r="C685" s="126" t="s">
        <v>141</v>
      </c>
      <c r="D685" s="127">
        <v>18212.0</v>
      </c>
      <c r="E685" s="130"/>
      <c r="F685" s="33"/>
      <c r="G685" s="33"/>
      <c r="H685" s="33"/>
      <c r="I685" s="33"/>
      <c r="J685" s="3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98">
        <v>174.0</v>
      </c>
      <c r="B686" s="125" t="s">
        <v>1126</v>
      </c>
      <c r="C686" s="126" t="s">
        <v>141</v>
      </c>
      <c r="D686" s="127">
        <v>21463.0</v>
      </c>
      <c r="E686" s="128"/>
      <c r="F686" s="33"/>
      <c r="G686" s="33"/>
      <c r="H686" s="33"/>
      <c r="I686" s="33"/>
      <c r="J686" s="3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98">
        <v>175.0</v>
      </c>
      <c r="B687" s="125" t="s">
        <v>1127</v>
      </c>
      <c r="C687" s="131"/>
      <c r="D687" s="127">
        <v>21661.0</v>
      </c>
      <c r="E687" s="128"/>
      <c r="F687" s="33"/>
      <c r="G687" s="33"/>
      <c r="H687" s="33"/>
      <c r="I687" s="33"/>
      <c r="J687" s="3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98">
        <v>176.0</v>
      </c>
      <c r="B688" s="125" t="s">
        <v>1128</v>
      </c>
      <c r="C688" s="126" t="s">
        <v>141</v>
      </c>
      <c r="D688" s="127">
        <v>20154.0</v>
      </c>
      <c r="E688" s="128"/>
      <c r="F688" s="33"/>
      <c r="G688" s="33"/>
      <c r="H688" s="33"/>
      <c r="I688" s="33"/>
      <c r="J688" s="3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98">
        <v>177.0</v>
      </c>
      <c r="B689" s="125" t="s">
        <v>1129</v>
      </c>
      <c r="C689" s="126" t="s">
        <v>141</v>
      </c>
      <c r="D689" s="127">
        <v>21876.0</v>
      </c>
      <c r="E689" s="128"/>
      <c r="F689" s="33"/>
      <c r="G689" s="33"/>
      <c r="H689" s="33"/>
      <c r="I689" s="33"/>
      <c r="J689" s="3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98">
        <v>178.0</v>
      </c>
      <c r="B690" s="125" t="s">
        <v>1130</v>
      </c>
      <c r="C690" s="126" t="s">
        <v>141</v>
      </c>
      <c r="D690" s="127">
        <v>22228.0</v>
      </c>
      <c r="E690" s="128"/>
      <c r="F690" s="33"/>
      <c r="G690" s="33"/>
      <c r="H690" s="33"/>
      <c r="I690" s="33"/>
      <c r="J690" s="3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98">
        <v>179.0</v>
      </c>
      <c r="B691" s="125" t="s">
        <v>1131</v>
      </c>
      <c r="C691" s="126" t="s">
        <v>141</v>
      </c>
      <c r="D691" s="127">
        <v>17924.0</v>
      </c>
      <c r="E691" s="130"/>
      <c r="F691" s="33"/>
      <c r="G691" s="33"/>
      <c r="H691" s="33"/>
      <c r="I691" s="33"/>
      <c r="J691" s="3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98">
        <v>180.0</v>
      </c>
      <c r="B692" s="125" t="s">
        <v>1132</v>
      </c>
      <c r="C692" s="126" t="s">
        <v>141</v>
      </c>
      <c r="D692" s="127">
        <v>15601.0</v>
      </c>
      <c r="E692" s="130"/>
      <c r="F692" s="33"/>
      <c r="G692" s="33"/>
      <c r="H692" s="33"/>
      <c r="I692" s="33"/>
      <c r="J692" s="3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98">
        <v>181.0</v>
      </c>
      <c r="B693" s="125" t="s">
        <v>1133</v>
      </c>
      <c r="C693" s="131"/>
      <c r="D693" s="127">
        <v>14861.0</v>
      </c>
      <c r="E693" s="130"/>
      <c r="F693" s="33"/>
      <c r="G693" s="33"/>
      <c r="H693" s="33"/>
      <c r="I693" s="33"/>
      <c r="J693" s="3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98">
        <v>182.0</v>
      </c>
      <c r="B694" s="125" t="s">
        <v>1134</v>
      </c>
      <c r="C694" s="131"/>
      <c r="D694" s="127">
        <v>20125.0</v>
      </c>
      <c r="E694" s="128"/>
      <c r="F694" s="33"/>
      <c r="G694" s="33"/>
      <c r="H694" s="33"/>
      <c r="I694" s="33"/>
      <c r="J694" s="3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98">
        <v>183.0</v>
      </c>
      <c r="B695" s="125" t="s">
        <v>1135</v>
      </c>
      <c r="C695" s="126" t="s">
        <v>141</v>
      </c>
      <c r="D695" s="127">
        <v>18957.0</v>
      </c>
      <c r="E695" s="128"/>
      <c r="F695" s="33"/>
      <c r="G695" s="33"/>
      <c r="H695" s="33"/>
      <c r="I695" s="33"/>
      <c r="J695" s="3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98">
        <v>184.0</v>
      </c>
      <c r="B696" s="125" t="s">
        <v>1136</v>
      </c>
      <c r="C696" s="131"/>
      <c r="D696" s="127">
        <v>18398.0</v>
      </c>
      <c r="E696" s="128"/>
      <c r="F696" s="33"/>
      <c r="G696" s="33"/>
      <c r="H696" s="33"/>
      <c r="I696" s="33"/>
      <c r="J696" s="3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98">
        <v>185.0</v>
      </c>
      <c r="B697" s="125" t="s">
        <v>1137</v>
      </c>
      <c r="C697" s="131"/>
      <c r="D697" s="127">
        <v>18820.0</v>
      </c>
      <c r="E697" s="128"/>
      <c r="F697" s="33"/>
      <c r="G697" s="33"/>
      <c r="H697" s="33"/>
      <c r="I697" s="33"/>
      <c r="J697" s="3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98">
        <v>186.0</v>
      </c>
      <c r="B698" s="125" t="s">
        <v>1138</v>
      </c>
      <c r="C698" s="126" t="s">
        <v>141</v>
      </c>
      <c r="D698" s="127">
        <v>16956.0</v>
      </c>
      <c r="E698" s="130"/>
      <c r="F698" s="33"/>
      <c r="G698" s="33"/>
      <c r="H698" s="33"/>
      <c r="I698" s="33"/>
      <c r="J698" s="3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98">
        <v>187.0</v>
      </c>
      <c r="B699" s="125" t="s">
        <v>1139</v>
      </c>
      <c r="C699" s="131"/>
      <c r="D699" s="127">
        <v>19062.0</v>
      </c>
      <c r="E699" s="128"/>
      <c r="F699" s="33"/>
      <c r="G699" s="33"/>
      <c r="H699" s="33"/>
      <c r="I699" s="33"/>
      <c r="J699" s="3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98">
        <v>188.0</v>
      </c>
      <c r="B700" s="125" t="s">
        <v>1140</v>
      </c>
      <c r="C700" s="131"/>
      <c r="D700" s="127">
        <v>17046.0</v>
      </c>
      <c r="E700" s="130"/>
      <c r="F700" s="33"/>
      <c r="G700" s="33"/>
      <c r="H700" s="33"/>
      <c r="I700" s="33"/>
      <c r="J700" s="3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98">
        <v>189.0</v>
      </c>
      <c r="B701" s="125" t="s">
        <v>1141</v>
      </c>
      <c r="C701" s="131"/>
      <c r="D701" s="127">
        <v>15899.0</v>
      </c>
      <c r="E701" s="130"/>
      <c r="F701" s="33"/>
      <c r="G701" s="33"/>
      <c r="H701" s="33"/>
      <c r="I701" s="33"/>
      <c r="J701" s="3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98">
        <v>190.0</v>
      </c>
      <c r="B702" s="125" t="s">
        <v>1097</v>
      </c>
      <c r="C702" s="126" t="s">
        <v>141</v>
      </c>
      <c r="D702" s="127">
        <v>14715.0</v>
      </c>
      <c r="E702" s="130"/>
      <c r="F702" s="33"/>
      <c r="G702" s="33"/>
      <c r="H702" s="33"/>
      <c r="I702" s="33"/>
      <c r="J702" s="3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98">
        <v>191.0</v>
      </c>
      <c r="B703" s="125" t="s">
        <v>994</v>
      </c>
      <c r="C703" s="131"/>
      <c r="D703" s="127">
        <v>13098.0</v>
      </c>
      <c r="E703" s="130"/>
      <c r="F703" s="33"/>
      <c r="G703" s="33"/>
      <c r="H703" s="33"/>
      <c r="I703" s="33"/>
      <c r="J703" s="3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98">
        <v>192.0</v>
      </c>
      <c r="B704" s="125" t="s">
        <v>1142</v>
      </c>
      <c r="C704" s="126" t="s">
        <v>141</v>
      </c>
      <c r="D704" s="127">
        <v>21172.0</v>
      </c>
      <c r="E704" s="128"/>
      <c r="F704" s="33"/>
      <c r="G704" s="33"/>
      <c r="H704" s="33"/>
      <c r="I704" s="33"/>
      <c r="J704" s="3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98">
        <v>193.0</v>
      </c>
      <c r="B705" s="125" t="s">
        <v>1094</v>
      </c>
      <c r="C705" s="126" t="s">
        <v>141</v>
      </c>
      <c r="D705" s="127">
        <v>21959.0</v>
      </c>
      <c r="E705" s="128"/>
      <c r="F705" s="33"/>
      <c r="G705" s="33"/>
      <c r="H705" s="33"/>
      <c r="I705" s="33"/>
      <c r="J705" s="3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98">
        <v>194.0</v>
      </c>
      <c r="B706" s="125" t="s">
        <v>1067</v>
      </c>
      <c r="C706" s="131"/>
      <c r="D706" s="127">
        <v>21083.0</v>
      </c>
      <c r="E706" s="128"/>
      <c r="F706" s="33"/>
      <c r="G706" s="33"/>
      <c r="H706" s="33"/>
      <c r="I706" s="33"/>
      <c r="J706" s="3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98">
        <v>195.0</v>
      </c>
      <c r="B707" s="125" t="s">
        <v>1143</v>
      </c>
      <c r="C707" s="126" t="s">
        <v>141</v>
      </c>
      <c r="D707" s="127">
        <v>17000.0</v>
      </c>
      <c r="E707" s="130"/>
      <c r="F707" s="33"/>
      <c r="G707" s="33"/>
      <c r="H707" s="33"/>
      <c r="I707" s="33"/>
      <c r="J707" s="3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98">
        <v>196.0</v>
      </c>
      <c r="B708" s="125" t="s">
        <v>1144</v>
      </c>
      <c r="C708" s="126" t="s">
        <v>141</v>
      </c>
      <c r="D708" s="127">
        <v>21930.0</v>
      </c>
      <c r="E708" s="128"/>
      <c r="F708" s="33"/>
      <c r="G708" s="33"/>
      <c r="H708" s="33"/>
      <c r="I708" s="33"/>
      <c r="J708" s="3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98">
        <v>197.0</v>
      </c>
      <c r="B709" s="125" t="s">
        <v>1145</v>
      </c>
      <c r="C709" s="131"/>
      <c r="D709" s="127">
        <v>21051.0</v>
      </c>
      <c r="E709" s="128"/>
      <c r="F709" s="33"/>
      <c r="G709" s="33"/>
      <c r="H709" s="33"/>
      <c r="I709" s="33"/>
      <c r="J709" s="3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98">
        <v>198.0</v>
      </c>
      <c r="B710" s="125" t="s">
        <v>1146</v>
      </c>
      <c r="C710" s="131"/>
      <c r="D710" s="127">
        <v>16442.0</v>
      </c>
      <c r="E710" s="130"/>
      <c r="F710" s="33"/>
      <c r="G710" s="33"/>
      <c r="H710" s="33"/>
      <c r="I710" s="33"/>
      <c r="J710" s="3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98">
        <v>199.0</v>
      </c>
      <c r="B711" s="125" t="s">
        <v>1147</v>
      </c>
      <c r="C711" s="131"/>
      <c r="D711" s="127">
        <v>22198.0</v>
      </c>
      <c r="E711" s="128"/>
      <c r="F711" s="33"/>
      <c r="G711" s="33"/>
      <c r="H711" s="33"/>
      <c r="I711" s="33"/>
      <c r="J711" s="3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98">
        <v>200.0</v>
      </c>
      <c r="B712" s="125" t="s">
        <v>1084</v>
      </c>
      <c r="C712" s="126" t="s">
        <v>141</v>
      </c>
      <c r="D712" s="127">
        <v>20920.0</v>
      </c>
      <c r="E712" s="128"/>
      <c r="F712" s="33"/>
      <c r="G712" s="33"/>
      <c r="H712" s="33"/>
      <c r="I712" s="33"/>
      <c r="J712" s="3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98">
        <v>201.0</v>
      </c>
      <c r="B713" s="125" t="s">
        <v>1148</v>
      </c>
      <c r="C713" s="131"/>
      <c r="D713" s="127">
        <v>21802.0</v>
      </c>
      <c r="E713" s="128"/>
      <c r="F713" s="33"/>
      <c r="G713" s="33"/>
      <c r="H713" s="33"/>
      <c r="I713" s="33"/>
      <c r="J713" s="3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98">
        <v>202.0</v>
      </c>
      <c r="B714" s="125" t="s">
        <v>1149</v>
      </c>
      <c r="C714" s="126" t="s">
        <v>141</v>
      </c>
      <c r="D714" s="127">
        <v>20405.0</v>
      </c>
      <c r="E714" s="128"/>
      <c r="F714" s="33"/>
      <c r="G714" s="33"/>
      <c r="H714" s="33"/>
      <c r="I714" s="33"/>
      <c r="J714" s="3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98">
        <v>203.0</v>
      </c>
      <c r="B715" s="125" t="s">
        <v>1150</v>
      </c>
      <c r="C715" s="126" t="s">
        <v>141</v>
      </c>
      <c r="D715" s="127">
        <v>18723.0</v>
      </c>
      <c r="E715" s="128"/>
      <c r="F715" s="33"/>
      <c r="G715" s="33"/>
      <c r="H715" s="33"/>
      <c r="I715" s="33"/>
      <c r="J715" s="3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98">
        <v>204.0</v>
      </c>
      <c r="B716" s="125" t="s">
        <v>1151</v>
      </c>
      <c r="C716" s="126" t="s">
        <v>141</v>
      </c>
      <c r="D716" s="127">
        <v>22030.0</v>
      </c>
      <c r="E716" s="128"/>
      <c r="F716" s="33"/>
      <c r="G716" s="33"/>
      <c r="H716" s="33"/>
      <c r="I716" s="33"/>
      <c r="J716" s="3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98">
        <v>205.0</v>
      </c>
      <c r="B717" s="125" t="s">
        <v>1152</v>
      </c>
      <c r="C717" s="131"/>
      <c r="D717" s="127">
        <v>22028.0</v>
      </c>
      <c r="E717" s="128"/>
      <c r="F717" s="33"/>
      <c r="G717" s="33"/>
      <c r="H717" s="33"/>
      <c r="I717" s="33"/>
      <c r="J717" s="3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98">
        <v>206.0</v>
      </c>
      <c r="B718" s="125" t="s">
        <v>968</v>
      </c>
      <c r="C718" s="126" t="s">
        <v>141</v>
      </c>
      <c r="D718" s="127">
        <v>20141.0</v>
      </c>
      <c r="E718" s="128"/>
      <c r="F718" s="33"/>
      <c r="G718" s="33"/>
      <c r="H718" s="33"/>
      <c r="I718" s="33"/>
      <c r="J718" s="3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98">
        <v>207.0</v>
      </c>
      <c r="B719" s="125" t="s">
        <v>1153</v>
      </c>
      <c r="C719" s="131"/>
      <c r="D719" s="127">
        <v>18122.0</v>
      </c>
      <c r="E719" s="130"/>
      <c r="F719" s="33"/>
      <c r="G719" s="33"/>
      <c r="H719" s="33"/>
      <c r="I719" s="33"/>
      <c r="J719" s="3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98">
        <v>208.0</v>
      </c>
      <c r="B720" s="125" t="s">
        <v>1154</v>
      </c>
      <c r="C720" s="131"/>
      <c r="D720" s="127">
        <v>20223.0</v>
      </c>
      <c r="E720" s="128"/>
      <c r="F720" s="33"/>
      <c r="G720" s="33"/>
      <c r="H720" s="33"/>
      <c r="I720" s="33"/>
      <c r="J720" s="3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98">
        <v>209.0</v>
      </c>
      <c r="B721" s="125" t="s">
        <v>1155</v>
      </c>
      <c r="C721" s="126" t="s">
        <v>141</v>
      </c>
      <c r="D721" s="127">
        <v>16598.0</v>
      </c>
      <c r="E721" s="132"/>
      <c r="F721" s="33"/>
      <c r="G721" s="33"/>
      <c r="H721" s="33"/>
      <c r="I721" s="33"/>
      <c r="J721" s="3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98">
        <v>210.0</v>
      </c>
      <c r="B722" s="125" t="s">
        <v>1156</v>
      </c>
      <c r="C722" s="131"/>
      <c r="D722" s="127">
        <v>20433.0</v>
      </c>
      <c r="E722" s="128"/>
      <c r="F722" s="33"/>
      <c r="G722" s="33"/>
      <c r="H722" s="33"/>
      <c r="I722" s="33"/>
      <c r="J722" s="3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98">
        <v>211.0</v>
      </c>
      <c r="B723" s="125" t="s">
        <v>1157</v>
      </c>
      <c r="C723" s="131"/>
      <c r="D723" s="127">
        <v>12918.0</v>
      </c>
      <c r="E723" s="130"/>
      <c r="F723" s="33"/>
      <c r="G723" s="33"/>
      <c r="H723" s="33"/>
      <c r="I723" s="33"/>
      <c r="J723" s="3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98">
        <v>212.0</v>
      </c>
      <c r="B724" s="125" t="s">
        <v>1158</v>
      </c>
      <c r="C724" s="131"/>
      <c r="D724" s="127">
        <v>19547.0</v>
      </c>
      <c r="E724" s="128"/>
      <c r="F724" s="33"/>
      <c r="G724" s="33"/>
      <c r="H724" s="33"/>
      <c r="I724" s="33"/>
      <c r="J724" s="3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98">
        <v>213.0</v>
      </c>
      <c r="B725" s="125" t="s">
        <v>1159</v>
      </c>
      <c r="C725" s="131"/>
      <c r="D725" s="127">
        <v>22043.0</v>
      </c>
      <c r="E725" s="128"/>
      <c r="F725" s="33"/>
      <c r="G725" s="33"/>
      <c r="H725" s="33"/>
      <c r="I725" s="33"/>
      <c r="J725" s="3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98">
        <v>214.0</v>
      </c>
      <c r="B726" s="125" t="s">
        <v>1160</v>
      </c>
      <c r="C726" s="126" t="s">
        <v>141</v>
      </c>
      <c r="D726" s="127">
        <v>21540.0</v>
      </c>
      <c r="E726" s="128"/>
      <c r="F726" s="33"/>
      <c r="G726" s="33"/>
      <c r="H726" s="33"/>
      <c r="I726" s="33"/>
      <c r="J726" s="3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98">
        <v>215.0</v>
      </c>
      <c r="B727" s="125" t="s">
        <v>1161</v>
      </c>
      <c r="C727" s="126" t="s">
        <v>141</v>
      </c>
      <c r="D727" s="127">
        <v>20007.0</v>
      </c>
      <c r="E727" s="128"/>
      <c r="F727" s="33"/>
      <c r="G727" s="33"/>
      <c r="H727" s="33"/>
      <c r="I727" s="33"/>
      <c r="J727" s="3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98">
        <v>216.0</v>
      </c>
      <c r="B728" s="125" t="s">
        <v>1162</v>
      </c>
      <c r="C728" s="131"/>
      <c r="D728" s="127">
        <v>17293.0</v>
      </c>
      <c r="E728" s="130"/>
      <c r="F728" s="33"/>
      <c r="G728" s="33"/>
      <c r="H728" s="33"/>
      <c r="I728" s="33"/>
      <c r="J728" s="3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98">
        <v>217.0</v>
      </c>
      <c r="B729" s="125" t="s">
        <v>1163</v>
      </c>
      <c r="C729" s="131"/>
      <c r="D729" s="127">
        <v>21470.0</v>
      </c>
      <c r="E729" s="128"/>
      <c r="F729" s="33"/>
      <c r="G729" s="33"/>
      <c r="H729" s="33"/>
      <c r="I729" s="33"/>
      <c r="J729" s="3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98">
        <v>218.0</v>
      </c>
      <c r="B730" s="125" t="s">
        <v>1164</v>
      </c>
      <c r="C730" s="126" t="s">
        <v>141</v>
      </c>
      <c r="D730" s="127">
        <v>21530.0</v>
      </c>
      <c r="E730" s="128"/>
      <c r="F730" s="33"/>
      <c r="G730" s="33"/>
      <c r="H730" s="33"/>
      <c r="I730" s="33"/>
      <c r="J730" s="3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98">
        <v>219.0</v>
      </c>
      <c r="B731" s="125" t="s">
        <v>1165</v>
      </c>
      <c r="C731" s="131"/>
      <c r="D731" s="127">
        <v>20433.0</v>
      </c>
      <c r="E731" s="128"/>
      <c r="F731" s="33"/>
      <c r="G731" s="33"/>
      <c r="H731" s="33"/>
      <c r="I731" s="33"/>
      <c r="J731" s="3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98">
        <v>220.0</v>
      </c>
      <c r="B732" s="125" t="s">
        <v>1166</v>
      </c>
      <c r="C732" s="126" t="s">
        <v>141</v>
      </c>
      <c r="D732" s="127">
        <v>19338.0</v>
      </c>
      <c r="E732" s="128"/>
      <c r="F732" s="33"/>
      <c r="G732" s="33"/>
      <c r="H732" s="33"/>
      <c r="I732" s="33"/>
      <c r="J732" s="3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98">
        <v>221.0</v>
      </c>
      <c r="B733" s="125" t="s">
        <v>1167</v>
      </c>
      <c r="C733" s="131"/>
      <c r="D733" s="127">
        <v>22217.0</v>
      </c>
      <c r="E733" s="128"/>
      <c r="F733" s="33"/>
      <c r="G733" s="33"/>
      <c r="H733" s="33"/>
      <c r="I733" s="33"/>
      <c r="J733" s="3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98">
        <v>222.0</v>
      </c>
      <c r="B734" s="125" t="s">
        <v>1168</v>
      </c>
      <c r="C734" s="131"/>
      <c r="D734" s="127">
        <v>14561.0</v>
      </c>
      <c r="E734" s="130"/>
      <c r="F734" s="33"/>
      <c r="G734" s="33"/>
      <c r="H734" s="33"/>
      <c r="I734" s="33"/>
      <c r="J734" s="3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98">
        <v>223.0</v>
      </c>
      <c r="B735" s="125" t="s">
        <v>1169</v>
      </c>
      <c r="C735" s="131"/>
      <c r="D735" s="127">
        <v>21587.0</v>
      </c>
      <c r="E735" s="128"/>
      <c r="F735" s="33"/>
      <c r="G735" s="33"/>
      <c r="H735" s="33"/>
      <c r="I735" s="33"/>
      <c r="J735" s="3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98">
        <v>224.0</v>
      </c>
      <c r="B736" s="125" t="s">
        <v>1165</v>
      </c>
      <c r="C736" s="131"/>
      <c r="D736" s="127">
        <v>45475.0</v>
      </c>
      <c r="E736" s="130"/>
      <c r="F736" s="33"/>
      <c r="G736" s="33"/>
      <c r="H736" s="33"/>
      <c r="I736" s="33"/>
      <c r="J736" s="3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98">
        <v>225.0</v>
      </c>
      <c r="B737" s="125" t="s">
        <v>1170</v>
      </c>
      <c r="C737" s="126" t="s">
        <v>141</v>
      </c>
      <c r="D737" s="127">
        <v>20950.0</v>
      </c>
      <c r="E737" s="128"/>
      <c r="F737" s="33"/>
      <c r="G737" s="33"/>
      <c r="H737" s="33"/>
      <c r="I737" s="33"/>
      <c r="J737" s="3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98">
        <v>226.0</v>
      </c>
      <c r="B738" s="125" t="s">
        <v>1171</v>
      </c>
      <c r="C738" s="131"/>
      <c r="D738" s="127">
        <v>19118.0</v>
      </c>
      <c r="E738" s="128"/>
      <c r="F738" s="33"/>
      <c r="G738" s="33"/>
      <c r="H738" s="33"/>
      <c r="I738" s="33"/>
      <c r="J738" s="3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98">
        <v>227.0</v>
      </c>
      <c r="B739" s="125" t="s">
        <v>1172</v>
      </c>
      <c r="C739" s="131"/>
      <c r="D739" s="127">
        <v>19157.0</v>
      </c>
      <c r="E739" s="128"/>
      <c r="F739" s="33"/>
      <c r="G739" s="33"/>
      <c r="H739" s="33"/>
      <c r="I739" s="33"/>
      <c r="J739" s="3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98">
        <v>228.0</v>
      </c>
      <c r="B740" s="125" t="s">
        <v>1156</v>
      </c>
      <c r="C740" s="131"/>
      <c r="D740" s="127">
        <v>20799.0</v>
      </c>
      <c r="E740" s="128"/>
      <c r="F740" s="33"/>
      <c r="G740" s="33"/>
      <c r="H740" s="33"/>
      <c r="I740" s="33"/>
      <c r="J740" s="3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98">
        <v>229.0</v>
      </c>
      <c r="B741" s="125" t="s">
        <v>1173</v>
      </c>
      <c r="C741" s="131"/>
      <c r="D741" s="127">
        <v>18880.0</v>
      </c>
      <c r="E741" s="128"/>
      <c r="F741" s="33"/>
      <c r="G741" s="33"/>
      <c r="H741" s="33"/>
      <c r="I741" s="33"/>
      <c r="J741" s="3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98">
        <v>230.0</v>
      </c>
      <c r="B742" s="125" t="s">
        <v>1174</v>
      </c>
      <c r="C742" s="126" t="s">
        <v>141</v>
      </c>
      <c r="D742" s="127">
        <v>20641.0</v>
      </c>
      <c r="E742" s="128"/>
      <c r="F742" s="33"/>
      <c r="G742" s="33"/>
      <c r="H742" s="33"/>
      <c r="I742" s="33"/>
      <c r="J742" s="3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98">
        <v>231.0</v>
      </c>
      <c r="B743" s="125" t="s">
        <v>1175</v>
      </c>
      <c r="C743" s="131"/>
      <c r="D743" s="127">
        <v>13062.0</v>
      </c>
      <c r="E743" s="130"/>
      <c r="F743" s="33"/>
      <c r="G743" s="33"/>
      <c r="H743" s="33"/>
      <c r="I743" s="33"/>
      <c r="J743" s="3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98">
        <v>232.0</v>
      </c>
      <c r="B744" s="125" t="s">
        <v>1046</v>
      </c>
      <c r="C744" s="126" t="s">
        <v>141</v>
      </c>
      <c r="D744" s="127">
        <v>14793.0</v>
      </c>
      <c r="E744" s="130"/>
      <c r="F744" s="33"/>
      <c r="G744" s="33"/>
      <c r="H744" s="33"/>
      <c r="I744" s="33"/>
      <c r="J744" s="3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98">
        <v>233.0</v>
      </c>
      <c r="B745" s="125" t="s">
        <v>1176</v>
      </c>
      <c r="C745" s="126" t="s">
        <v>141</v>
      </c>
      <c r="D745" s="127">
        <v>19966.0</v>
      </c>
      <c r="E745" s="128"/>
      <c r="F745" s="33"/>
      <c r="G745" s="33"/>
      <c r="H745" s="33"/>
      <c r="I745" s="33"/>
      <c r="J745" s="3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98">
        <v>234.0</v>
      </c>
      <c r="B746" s="125" t="s">
        <v>1042</v>
      </c>
      <c r="C746" s="126" t="s">
        <v>141</v>
      </c>
      <c r="D746" s="127">
        <v>19210.0</v>
      </c>
      <c r="E746" s="128"/>
      <c r="F746" s="33"/>
      <c r="G746" s="33"/>
      <c r="H746" s="33"/>
      <c r="I746" s="33"/>
      <c r="J746" s="3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98">
        <v>235.0</v>
      </c>
      <c r="B747" s="125" t="s">
        <v>1177</v>
      </c>
      <c r="C747" s="126" t="s">
        <v>141</v>
      </c>
      <c r="D747" s="127">
        <v>21002.0</v>
      </c>
      <c r="E747" s="128"/>
      <c r="F747" s="33"/>
      <c r="G747" s="33"/>
      <c r="H747" s="33"/>
      <c r="I747" s="33"/>
      <c r="J747" s="3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98">
        <v>236.0</v>
      </c>
      <c r="B748" s="125" t="s">
        <v>1178</v>
      </c>
      <c r="C748" s="131"/>
      <c r="D748" s="127">
        <v>22098.0</v>
      </c>
      <c r="E748" s="128"/>
      <c r="F748" s="33"/>
      <c r="G748" s="33"/>
      <c r="H748" s="33"/>
      <c r="I748" s="33"/>
      <c r="J748" s="3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98">
        <v>237.0</v>
      </c>
      <c r="B749" s="125" t="s">
        <v>1179</v>
      </c>
      <c r="C749" s="126" t="s">
        <v>141</v>
      </c>
      <c r="D749" s="127">
        <v>21002.0</v>
      </c>
      <c r="E749" s="128"/>
      <c r="F749" s="33"/>
      <c r="G749" s="33"/>
      <c r="H749" s="33"/>
      <c r="I749" s="33"/>
      <c r="J749" s="3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98">
        <v>238.0</v>
      </c>
      <c r="B750" s="125" t="s">
        <v>1180</v>
      </c>
      <c r="C750" s="131"/>
      <c r="D750" s="127">
        <v>21673.0</v>
      </c>
      <c r="E750" s="128"/>
      <c r="F750" s="33"/>
      <c r="G750" s="33"/>
      <c r="H750" s="33"/>
      <c r="I750" s="33"/>
      <c r="J750" s="3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98">
        <v>239.0</v>
      </c>
      <c r="B751" s="125" t="s">
        <v>1181</v>
      </c>
      <c r="C751" s="131"/>
      <c r="D751" s="127">
        <v>18629.0</v>
      </c>
      <c r="E751" s="128"/>
      <c r="F751" s="33"/>
      <c r="G751" s="33"/>
      <c r="H751" s="33"/>
      <c r="I751" s="33"/>
      <c r="J751" s="3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98">
        <v>240.0</v>
      </c>
      <c r="B752" s="125" t="s">
        <v>1182</v>
      </c>
      <c r="C752" s="126" t="s">
        <v>141</v>
      </c>
      <c r="D752" s="127">
        <v>21562.0</v>
      </c>
      <c r="E752" s="128"/>
      <c r="F752" s="33"/>
      <c r="G752" s="33"/>
      <c r="H752" s="33"/>
      <c r="I752" s="33"/>
      <c r="J752" s="3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98">
        <v>241.0</v>
      </c>
      <c r="B753" s="125" t="s">
        <v>1034</v>
      </c>
      <c r="C753" s="131"/>
      <c r="D753" s="127">
        <v>18419.0</v>
      </c>
      <c r="E753" s="130"/>
      <c r="F753" s="33"/>
      <c r="G753" s="33"/>
      <c r="H753" s="33"/>
      <c r="I753" s="33"/>
      <c r="J753" s="3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98">
        <v>242.0</v>
      </c>
      <c r="B754" s="125" t="s">
        <v>1183</v>
      </c>
      <c r="C754" s="131"/>
      <c r="D754" s="127">
        <v>17816.0</v>
      </c>
      <c r="E754" s="130"/>
      <c r="F754" s="33"/>
      <c r="G754" s="33"/>
      <c r="H754" s="33"/>
      <c r="I754" s="33"/>
      <c r="J754" s="3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98">
        <v>243.0</v>
      </c>
      <c r="B755" s="125" t="s">
        <v>1184</v>
      </c>
      <c r="C755" s="131"/>
      <c r="D755" s="127">
        <v>19039.0</v>
      </c>
      <c r="E755" s="128"/>
      <c r="F755" s="33"/>
      <c r="G755" s="33"/>
      <c r="H755" s="33"/>
      <c r="I755" s="33"/>
      <c r="J755" s="3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98">
        <v>244.0</v>
      </c>
      <c r="B756" s="125" t="s">
        <v>1185</v>
      </c>
      <c r="C756" s="131"/>
      <c r="D756" s="127">
        <v>19115.0</v>
      </c>
      <c r="E756" s="128"/>
      <c r="F756" s="33"/>
      <c r="G756" s="33"/>
      <c r="H756" s="33"/>
      <c r="I756" s="33"/>
      <c r="J756" s="3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98">
        <v>245.0</v>
      </c>
      <c r="B757" s="125" t="s">
        <v>1186</v>
      </c>
      <c r="C757" s="126" t="s">
        <v>141</v>
      </c>
      <c r="D757" s="127">
        <v>16227.0</v>
      </c>
      <c r="E757" s="132">
        <v>16227.0</v>
      </c>
      <c r="F757" s="33"/>
      <c r="G757" s="33"/>
      <c r="H757" s="33"/>
      <c r="I757" s="33"/>
      <c r="J757" s="3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98">
        <v>246.0</v>
      </c>
      <c r="B758" s="125" t="s">
        <v>1187</v>
      </c>
      <c r="C758" s="126" t="s">
        <v>141</v>
      </c>
      <c r="D758" s="127">
        <v>20703.0</v>
      </c>
      <c r="E758" s="128"/>
      <c r="F758" s="33"/>
      <c r="G758" s="33"/>
      <c r="H758" s="33"/>
      <c r="I758" s="33"/>
      <c r="J758" s="3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98">
        <v>247.0</v>
      </c>
      <c r="B759" s="125" t="s">
        <v>1188</v>
      </c>
      <c r="C759" s="126" t="s">
        <v>141</v>
      </c>
      <c r="D759" s="127">
        <v>17349.0</v>
      </c>
      <c r="E759" s="130"/>
      <c r="F759" s="33"/>
      <c r="G759" s="33"/>
      <c r="H759" s="33"/>
      <c r="I759" s="33"/>
      <c r="J759" s="3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98">
        <v>248.0</v>
      </c>
      <c r="B760" s="125" t="s">
        <v>1094</v>
      </c>
      <c r="C760" s="126" t="s">
        <v>141</v>
      </c>
      <c r="D760" s="127">
        <v>19127.0</v>
      </c>
      <c r="E760" s="128"/>
      <c r="F760" s="33"/>
      <c r="G760" s="33"/>
      <c r="H760" s="33"/>
      <c r="I760" s="33"/>
      <c r="J760" s="3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98">
        <v>249.0</v>
      </c>
      <c r="B761" s="125" t="s">
        <v>1189</v>
      </c>
      <c r="C761" s="126" t="s">
        <v>141</v>
      </c>
      <c r="D761" s="127">
        <v>22075.0</v>
      </c>
      <c r="E761" s="128"/>
      <c r="F761" s="33"/>
      <c r="G761" s="33"/>
      <c r="H761" s="33"/>
      <c r="I761" s="33"/>
      <c r="J761" s="3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98">
        <v>250.0</v>
      </c>
      <c r="B762" s="125" t="s">
        <v>1190</v>
      </c>
      <c r="C762" s="126" t="s">
        <v>141</v>
      </c>
      <c r="D762" s="127">
        <v>22625.0</v>
      </c>
      <c r="E762" s="128"/>
      <c r="F762" s="33"/>
      <c r="G762" s="33"/>
      <c r="H762" s="33"/>
      <c r="I762" s="33"/>
      <c r="J762" s="3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98">
        <v>251.0</v>
      </c>
      <c r="B763" s="125" t="s">
        <v>1191</v>
      </c>
      <c r="C763" s="131"/>
      <c r="D763" s="127">
        <v>21726.0</v>
      </c>
      <c r="E763" s="128"/>
      <c r="F763" s="33"/>
      <c r="G763" s="33"/>
      <c r="H763" s="33"/>
      <c r="I763" s="33"/>
      <c r="J763" s="3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98">
        <v>252.0</v>
      </c>
      <c r="B764" s="125" t="s">
        <v>1192</v>
      </c>
      <c r="C764" s="126" t="s">
        <v>141</v>
      </c>
      <c r="D764" s="127">
        <v>21264.0</v>
      </c>
      <c r="E764" s="128"/>
      <c r="F764" s="33"/>
      <c r="G764" s="33"/>
      <c r="H764" s="33"/>
      <c r="I764" s="33"/>
      <c r="J764" s="3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98">
        <v>253.0</v>
      </c>
      <c r="B765" s="125" t="s">
        <v>1193</v>
      </c>
      <c r="C765" s="126" t="s">
        <v>141</v>
      </c>
      <c r="D765" s="127">
        <v>16478.0</v>
      </c>
      <c r="E765" s="130"/>
      <c r="F765" s="33"/>
      <c r="G765" s="33"/>
      <c r="H765" s="33"/>
      <c r="I765" s="33"/>
      <c r="J765" s="3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98">
        <v>254.0</v>
      </c>
      <c r="B766" s="125" t="s">
        <v>1194</v>
      </c>
      <c r="C766" s="131"/>
      <c r="D766" s="127">
        <v>14677.0</v>
      </c>
      <c r="E766" s="130"/>
      <c r="F766" s="33"/>
      <c r="G766" s="33"/>
      <c r="H766" s="33"/>
      <c r="I766" s="33"/>
      <c r="J766" s="3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98">
        <v>255.0</v>
      </c>
      <c r="B767" s="125" t="s">
        <v>1195</v>
      </c>
      <c r="C767" s="131"/>
      <c r="D767" s="127">
        <v>14717.0</v>
      </c>
      <c r="E767" s="130"/>
      <c r="F767" s="33"/>
      <c r="G767" s="33"/>
      <c r="H767" s="33"/>
      <c r="I767" s="33"/>
      <c r="J767" s="3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98">
        <v>256.0</v>
      </c>
      <c r="B768" s="125" t="s">
        <v>1196</v>
      </c>
      <c r="C768" s="126" t="s">
        <v>141</v>
      </c>
      <c r="D768" s="127">
        <v>13708.0</v>
      </c>
      <c r="E768" s="130"/>
      <c r="F768" s="33"/>
      <c r="G768" s="33"/>
      <c r="H768" s="33"/>
      <c r="I768" s="33"/>
      <c r="J768" s="3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98">
        <v>257.0</v>
      </c>
      <c r="B769" s="125" t="s">
        <v>1197</v>
      </c>
      <c r="C769" s="126" t="s">
        <v>141</v>
      </c>
      <c r="D769" s="127">
        <v>21655.0</v>
      </c>
      <c r="E769" s="128"/>
      <c r="F769" s="33"/>
      <c r="G769" s="33"/>
      <c r="H769" s="33"/>
      <c r="I769" s="33"/>
      <c r="J769" s="3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98">
        <v>258.0</v>
      </c>
      <c r="B770" s="125" t="s">
        <v>1198</v>
      </c>
      <c r="C770" s="126" t="s">
        <v>141</v>
      </c>
      <c r="D770" s="127">
        <v>22262.0</v>
      </c>
      <c r="E770" s="128"/>
      <c r="F770" s="33"/>
      <c r="G770" s="33"/>
      <c r="H770" s="33"/>
      <c r="I770" s="33"/>
      <c r="J770" s="3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98">
        <v>259.0</v>
      </c>
      <c r="B771" s="125" t="s">
        <v>1199</v>
      </c>
      <c r="C771" s="126" t="s">
        <v>141</v>
      </c>
      <c r="D771" s="127">
        <v>20405.0</v>
      </c>
      <c r="E771" s="128"/>
      <c r="F771" s="33"/>
      <c r="G771" s="33"/>
      <c r="H771" s="33"/>
      <c r="I771" s="33"/>
      <c r="J771" s="3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98">
        <v>260.0</v>
      </c>
      <c r="B772" s="125" t="s">
        <v>987</v>
      </c>
      <c r="C772" s="131"/>
      <c r="D772" s="127">
        <v>19275.0</v>
      </c>
      <c r="E772" s="128"/>
      <c r="F772" s="33"/>
      <c r="G772" s="33"/>
      <c r="H772" s="33"/>
      <c r="I772" s="33"/>
      <c r="J772" s="3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98">
        <v>261.0</v>
      </c>
      <c r="B773" s="125" t="s">
        <v>1200</v>
      </c>
      <c r="C773" s="126" t="s">
        <v>141</v>
      </c>
      <c r="D773" s="127">
        <v>16869.0</v>
      </c>
      <c r="E773" s="130"/>
      <c r="F773" s="33"/>
      <c r="G773" s="33"/>
      <c r="H773" s="33"/>
      <c r="I773" s="33"/>
      <c r="J773" s="3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98">
        <v>262.0</v>
      </c>
      <c r="B774" s="125" t="s">
        <v>1201</v>
      </c>
      <c r="C774" s="131"/>
      <c r="D774" s="127">
        <v>21446.0</v>
      </c>
      <c r="E774" s="128"/>
      <c r="F774" s="33"/>
      <c r="G774" s="33"/>
      <c r="H774" s="33"/>
      <c r="I774" s="33"/>
      <c r="J774" s="3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98">
        <v>263.0</v>
      </c>
      <c r="B775" s="125" t="s">
        <v>1202</v>
      </c>
      <c r="C775" s="126" t="s">
        <v>141</v>
      </c>
      <c r="D775" s="127">
        <v>19909.0</v>
      </c>
      <c r="E775" s="128"/>
      <c r="F775" s="33"/>
      <c r="G775" s="33"/>
      <c r="H775" s="33"/>
      <c r="I775" s="33"/>
      <c r="J775" s="3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98">
        <v>264.0</v>
      </c>
      <c r="B776" s="125" t="s">
        <v>1203</v>
      </c>
      <c r="C776" s="131"/>
      <c r="D776" s="127">
        <v>20274.0</v>
      </c>
      <c r="E776" s="128"/>
      <c r="F776" s="33"/>
      <c r="G776" s="33"/>
      <c r="H776" s="33"/>
      <c r="I776" s="33"/>
      <c r="J776" s="3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98">
        <v>265.0</v>
      </c>
      <c r="B777" s="125" t="s">
        <v>1204</v>
      </c>
      <c r="C777" s="126" t="s">
        <v>141</v>
      </c>
      <c r="D777" s="127">
        <v>18448.0</v>
      </c>
      <c r="E777" s="130"/>
      <c r="F777" s="33"/>
      <c r="G777" s="33"/>
      <c r="H777" s="33"/>
      <c r="I777" s="33"/>
      <c r="J777" s="3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98">
        <v>266.0</v>
      </c>
      <c r="B778" s="125" t="s">
        <v>1205</v>
      </c>
      <c r="C778" s="131"/>
      <c r="D778" s="127">
        <v>17547.0</v>
      </c>
      <c r="E778" s="130"/>
      <c r="F778" s="33"/>
      <c r="G778" s="33"/>
      <c r="H778" s="33"/>
      <c r="I778" s="33"/>
      <c r="J778" s="3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98">
        <v>267.0</v>
      </c>
      <c r="B779" s="125" t="s">
        <v>1206</v>
      </c>
      <c r="C779" s="126" t="s">
        <v>141</v>
      </c>
      <c r="D779" s="127">
        <v>21310.0</v>
      </c>
      <c r="E779" s="128"/>
      <c r="F779" s="33"/>
      <c r="G779" s="33"/>
      <c r="H779" s="33"/>
      <c r="I779" s="33"/>
      <c r="J779" s="3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98">
        <v>268.0</v>
      </c>
      <c r="B780" s="125" t="s">
        <v>1207</v>
      </c>
      <c r="C780" s="126" t="s">
        <v>141</v>
      </c>
      <c r="D780" s="127">
        <v>19128.0</v>
      </c>
      <c r="E780" s="128"/>
      <c r="F780" s="33"/>
      <c r="G780" s="33"/>
      <c r="H780" s="33"/>
      <c r="I780" s="33"/>
      <c r="J780" s="3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98">
        <v>269.0</v>
      </c>
      <c r="B781" s="125" t="s">
        <v>1208</v>
      </c>
      <c r="C781" s="131"/>
      <c r="D781" s="127">
        <v>12236.0</v>
      </c>
      <c r="E781" s="130"/>
      <c r="F781" s="33"/>
      <c r="G781" s="33"/>
      <c r="H781" s="33"/>
      <c r="I781" s="33"/>
      <c r="J781" s="3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98">
        <v>270.0</v>
      </c>
      <c r="B782" s="125" t="s">
        <v>1209</v>
      </c>
      <c r="C782" s="131"/>
      <c r="D782" s="127">
        <v>21823.0</v>
      </c>
      <c r="E782" s="128"/>
      <c r="F782" s="33"/>
      <c r="G782" s="33"/>
      <c r="H782" s="33"/>
      <c r="I782" s="33"/>
      <c r="J782" s="3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98">
        <v>271.0</v>
      </c>
      <c r="B783" s="125" t="s">
        <v>1210</v>
      </c>
      <c r="C783" s="131"/>
      <c r="D783" s="127">
        <v>19840.0</v>
      </c>
      <c r="E783" s="128"/>
      <c r="F783" s="33"/>
      <c r="G783" s="33"/>
      <c r="H783" s="33"/>
      <c r="I783" s="33"/>
      <c r="J783" s="3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98">
        <v>272.0</v>
      </c>
      <c r="B784" s="125" t="s">
        <v>1211</v>
      </c>
      <c r="C784" s="126" t="s">
        <v>141</v>
      </c>
      <c r="D784" s="127">
        <v>11871.0</v>
      </c>
      <c r="E784" s="130"/>
      <c r="F784" s="33"/>
      <c r="G784" s="33"/>
      <c r="H784" s="33"/>
      <c r="I784" s="33"/>
      <c r="J784" s="3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98">
        <v>273.0</v>
      </c>
      <c r="B785" s="125" t="s">
        <v>1212</v>
      </c>
      <c r="C785" s="126" t="s">
        <v>141</v>
      </c>
      <c r="D785" s="127">
        <v>21980.0</v>
      </c>
      <c r="E785" s="128"/>
      <c r="F785" s="33"/>
      <c r="G785" s="33"/>
      <c r="H785" s="33"/>
      <c r="I785" s="33"/>
      <c r="J785" s="3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98">
        <v>274.0</v>
      </c>
      <c r="B786" s="125" t="s">
        <v>1213</v>
      </c>
      <c r="C786" s="131"/>
      <c r="D786" s="127">
        <v>22146.0</v>
      </c>
      <c r="E786" s="128"/>
      <c r="F786" s="33"/>
      <c r="G786" s="33"/>
      <c r="H786" s="33"/>
      <c r="I786" s="33"/>
      <c r="J786" s="3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98">
        <v>275.0</v>
      </c>
      <c r="B787" s="125" t="s">
        <v>1214</v>
      </c>
      <c r="C787" s="126" t="s">
        <v>141</v>
      </c>
      <c r="D787" s="127">
        <v>21790.0</v>
      </c>
      <c r="E787" s="128"/>
      <c r="F787" s="33"/>
      <c r="G787" s="33"/>
      <c r="H787" s="33"/>
      <c r="I787" s="33"/>
      <c r="J787" s="3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98">
        <v>276.0</v>
      </c>
      <c r="B788" s="125" t="s">
        <v>1215</v>
      </c>
      <c r="C788" s="131"/>
      <c r="D788" s="127">
        <v>21711.0</v>
      </c>
      <c r="E788" s="128"/>
      <c r="F788" s="33"/>
      <c r="G788" s="33"/>
      <c r="H788" s="33"/>
      <c r="I788" s="33"/>
      <c r="J788" s="3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98">
        <v>277.0</v>
      </c>
      <c r="B789" s="125" t="s">
        <v>1216</v>
      </c>
      <c r="C789" s="131"/>
      <c r="D789" s="127">
        <v>21074.0</v>
      </c>
      <c r="E789" s="128"/>
      <c r="F789" s="33"/>
      <c r="G789" s="33"/>
      <c r="H789" s="33"/>
      <c r="I789" s="33"/>
      <c r="J789" s="3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98">
        <v>278.0</v>
      </c>
      <c r="B790" s="125" t="s">
        <v>1217</v>
      </c>
      <c r="C790" s="126" t="s">
        <v>141</v>
      </c>
      <c r="D790" s="127">
        <v>20130.0</v>
      </c>
      <c r="E790" s="128"/>
      <c r="F790" s="33"/>
      <c r="G790" s="33"/>
      <c r="H790" s="33"/>
      <c r="I790" s="33"/>
      <c r="J790" s="3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98">
        <v>279.0</v>
      </c>
      <c r="B791" s="125" t="s">
        <v>1064</v>
      </c>
      <c r="C791" s="131"/>
      <c r="D791" s="127">
        <v>17700.0</v>
      </c>
      <c r="E791" s="130"/>
      <c r="F791" s="33"/>
      <c r="G791" s="33"/>
      <c r="H791" s="33"/>
      <c r="I791" s="33"/>
      <c r="J791" s="3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98">
        <v>280.0</v>
      </c>
      <c r="B792" s="125" t="s">
        <v>1078</v>
      </c>
      <c r="C792" s="126" t="s">
        <v>141</v>
      </c>
      <c r="D792" s="127">
        <v>17425.0</v>
      </c>
      <c r="E792" s="130"/>
      <c r="F792" s="33"/>
      <c r="G792" s="33"/>
      <c r="H792" s="33"/>
      <c r="I792" s="33"/>
      <c r="J792" s="3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98">
        <v>281.0</v>
      </c>
      <c r="B793" s="125" t="s">
        <v>1094</v>
      </c>
      <c r="C793" s="126" t="s">
        <v>141</v>
      </c>
      <c r="D793" s="127">
        <v>19127.0</v>
      </c>
      <c r="E793" s="128"/>
      <c r="F793" s="33"/>
      <c r="G793" s="33"/>
      <c r="H793" s="33"/>
      <c r="I793" s="33"/>
      <c r="J793" s="3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98">
        <v>282.0</v>
      </c>
      <c r="B794" s="125" t="s">
        <v>1141</v>
      </c>
      <c r="C794" s="131"/>
      <c r="D794" s="127">
        <v>14804.0</v>
      </c>
      <c r="E794" s="130"/>
      <c r="F794" s="33"/>
      <c r="G794" s="33"/>
      <c r="H794" s="33"/>
      <c r="I794" s="33"/>
      <c r="J794" s="3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98">
        <v>283.0</v>
      </c>
      <c r="B795" s="125" t="s">
        <v>1199</v>
      </c>
      <c r="C795" s="131"/>
      <c r="D795" s="127">
        <v>17667.0</v>
      </c>
      <c r="E795" s="130"/>
      <c r="F795" s="33"/>
      <c r="G795" s="33"/>
      <c r="H795" s="33"/>
      <c r="I795" s="33"/>
      <c r="J795" s="3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98">
        <v>284.0</v>
      </c>
      <c r="B796" s="125" t="s">
        <v>1218</v>
      </c>
      <c r="C796" s="126" t="s">
        <v>141</v>
      </c>
      <c r="D796" s="127">
        <v>21713.0</v>
      </c>
      <c r="E796" s="128"/>
      <c r="F796" s="33"/>
      <c r="G796" s="33"/>
      <c r="H796" s="33"/>
      <c r="I796" s="33"/>
      <c r="J796" s="3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98">
        <v>285.0</v>
      </c>
      <c r="B797" s="125" t="s">
        <v>1219</v>
      </c>
      <c r="C797" s="131"/>
      <c r="D797" s="127">
        <v>17760.0</v>
      </c>
      <c r="E797" s="132"/>
      <c r="F797" s="33"/>
      <c r="G797" s="33"/>
      <c r="H797" s="33"/>
      <c r="I797" s="33"/>
      <c r="J797" s="3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98">
        <v>286.0</v>
      </c>
      <c r="B798" s="125" t="s">
        <v>1220</v>
      </c>
      <c r="C798" s="126" t="s">
        <v>141</v>
      </c>
      <c r="D798" s="127">
        <v>15614.0</v>
      </c>
      <c r="E798" s="132"/>
      <c r="F798" s="33"/>
      <c r="G798" s="33"/>
      <c r="H798" s="33"/>
      <c r="I798" s="33"/>
      <c r="J798" s="3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98">
        <v>287.0</v>
      </c>
      <c r="B799" s="125" t="s">
        <v>1221</v>
      </c>
      <c r="C799" s="131"/>
      <c r="D799" s="127">
        <v>19605.0</v>
      </c>
      <c r="E799" s="128"/>
      <c r="F799" s="33"/>
      <c r="G799" s="33"/>
      <c r="H799" s="33"/>
      <c r="I799" s="33"/>
      <c r="J799" s="3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98">
        <v>288.0</v>
      </c>
      <c r="B800" s="125" t="s">
        <v>1222</v>
      </c>
      <c r="C800" s="126" t="s">
        <v>141</v>
      </c>
      <c r="D800" s="127">
        <v>18513.0</v>
      </c>
      <c r="E800" s="130"/>
      <c r="F800" s="33"/>
      <c r="G800" s="33"/>
      <c r="H800" s="33"/>
      <c r="I800" s="33"/>
      <c r="J800" s="3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98">
        <v>289.0</v>
      </c>
      <c r="B801" s="125" t="s">
        <v>1223</v>
      </c>
      <c r="C801" s="131"/>
      <c r="D801" s="127">
        <v>21517.0</v>
      </c>
      <c r="E801" s="128"/>
      <c r="F801" s="33"/>
      <c r="G801" s="33"/>
      <c r="H801" s="33"/>
      <c r="I801" s="33"/>
      <c r="J801" s="3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98">
        <v>290.0</v>
      </c>
      <c r="B802" s="125" t="s">
        <v>1224</v>
      </c>
      <c r="C802" s="131"/>
      <c r="D802" s="127">
        <v>19720.0</v>
      </c>
      <c r="E802" s="128"/>
      <c r="F802" s="33"/>
      <c r="G802" s="33"/>
      <c r="H802" s="33"/>
      <c r="I802" s="33"/>
      <c r="J802" s="3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98">
        <v>291.0</v>
      </c>
      <c r="B803" s="125" t="s">
        <v>1225</v>
      </c>
      <c r="C803" s="131"/>
      <c r="D803" s="127">
        <v>18628.0</v>
      </c>
      <c r="E803" s="130"/>
      <c r="F803" s="33"/>
      <c r="G803" s="33"/>
      <c r="H803" s="33"/>
      <c r="I803" s="33"/>
      <c r="J803" s="3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98">
        <v>292.0</v>
      </c>
      <c r="B804" s="125" t="s">
        <v>1226</v>
      </c>
      <c r="C804" s="126" t="s">
        <v>141</v>
      </c>
      <c r="D804" s="127">
        <v>11029.0</v>
      </c>
      <c r="E804" s="130"/>
      <c r="F804" s="33"/>
      <c r="G804" s="33"/>
      <c r="H804" s="33"/>
      <c r="I804" s="33"/>
      <c r="J804" s="3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98">
        <v>293.0</v>
      </c>
      <c r="B805" s="125" t="s">
        <v>1227</v>
      </c>
      <c r="C805" s="126" t="s">
        <v>141</v>
      </c>
      <c r="D805" s="127">
        <v>19095.0</v>
      </c>
      <c r="E805" s="128"/>
      <c r="F805" s="33"/>
      <c r="G805" s="33"/>
      <c r="H805" s="33"/>
      <c r="I805" s="33"/>
      <c r="J805" s="3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98">
        <v>294.0</v>
      </c>
      <c r="B806" s="125" t="s">
        <v>1096</v>
      </c>
      <c r="C806" s="131"/>
      <c r="D806" s="127">
        <v>22123.0</v>
      </c>
      <c r="E806" s="128"/>
      <c r="F806" s="33"/>
      <c r="G806" s="33"/>
      <c r="H806" s="33"/>
      <c r="I806" s="33"/>
      <c r="J806" s="3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98">
        <v>295.0</v>
      </c>
      <c r="B807" s="125" t="s">
        <v>1228</v>
      </c>
      <c r="C807" s="126" t="s">
        <v>141</v>
      </c>
      <c r="D807" s="127">
        <v>21565.0</v>
      </c>
      <c r="E807" s="128"/>
      <c r="F807" s="33"/>
      <c r="G807" s="33"/>
      <c r="H807" s="33"/>
      <c r="I807" s="33"/>
      <c r="J807" s="3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98">
        <v>296.0</v>
      </c>
      <c r="B808" s="125" t="s">
        <v>1229</v>
      </c>
      <c r="C808" s="126" t="s">
        <v>141</v>
      </c>
      <c r="D808" s="127">
        <v>15506.0</v>
      </c>
      <c r="E808" s="130"/>
      <c r="F808" s="33"/>
      <c r="G808" s="33"/>
      <c r="H808" s="33"/>
      <c r="I808" s="33"/>
      <c r="J808" s="3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98">
        <v>297.0</v>
      </c>
      <c r="B809" s="125" t="s">
        <v>1230</v>
      </c>
      <c r="C809" s="131"/>
      <c r="D809" s="127">
        <v>14970.0</v>
      </c>
      <c r="E809" s="130"/>
      <c r="F809" s="33"/>
      <c r="G809" s="33"/>
      <c r="H809" s="33"/>
      <c r="I809" s="33"/>
      <c r="J809" s="3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98">
        <v>298.0</v>
      </c>
      <c r="B810" s="125" t="s">
        <v>1231</v>
      </c>
      <c r="C810" s="131"/>
      <c r="D810" s="127">
        <v>15631.0</v>
      </c>
      <c r="E810" s="130"/>
      <c r="F810" s="33"/>
      <c r="G810" s="33"/>
      <c r="H810" s="33"/>
      <c r="I810" s="33"/>
      <c r="J810" s="3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98">
        <v>299.0</v>
      </c>
      <c r="B811" s="125" t="s">
        <v>1153</v>
      </c>
      <c r="C811" s="131"/>
      <c r="D811" s="127">
        <v>21390.0</v>
      </c>
      <c r="E811" s="128"/>
      <c r="F811" s="33"/>
      <c r="G811" s="33"/>
      <c r="H811" s="33"/>
      <c r="I811" s="33"/>
      <c r="J811" s="3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98">
        <v>300.0</v>
      </c>
      <c r="B812" s="125" t="s">
        <v>1232</v>
      </c>
      <c r="C812" s="126" t="s">
        <v>141</v>
      </c>
      <c r="D812" s="127">
        <v>19861.0</v>
      </c>
      <c r="E812" s="128"/>
      <c r="F812" s="33"/>
      <c r="G812" s="33"/>
      <c r="H812" s="33"/>
      <c r="I812" s="33"/>
      <c r="J812" s="3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98">
        <v>301.0</v>
      </c>
      <c r="B813" s="125" t="s">
        <v>1099</v>
      </c>
      <c r="C813" s="131"/>
      <c r="D813" s="127">
        <v>15442.0</v>
      </c>
      <c r="E813" s="130"/>
      <c r="F813" s="33"/>
      <c r="G813" s="33"/>
      <c r="H813" s="33"/>
      <c r="I813" s="33"/>
      <c r="J813" s="3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98">
        <v>302.0</v>
      </c>
      <c r="B814" s="125" t="s">
        <v>1092</v>
      </c>
      <c r="C814" s="131"/>
      <c r="D814" s="127">
        <v>20270.0</v>
      </c>
      <c r="E814" s="128"/>
      <c r="F814" s="33"/>
      <c r="G814" s="33"/>
      <c r="H814" s="33"/>
      <c r="I814" s="33"/>
      <c r="J814" s="3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98">
        <v>303.0</v>
      </c>
      <c r="B815" s="125" t="s">
        <v>1003</v>
      </c>
      <c r="C815" s="126" t="s">
        <v>141</v>
      </c>
      <c r="D815" s="127">
        <v>19517.0</v>
      </c>
      <c r="E815" s="128"/>
      <c r="F815" s="33"/>
      <c r="G815" s="33"/>
      <c r="H815" s="33"/>
      <c r="I815" s="33"/>
      <c r="J815" s="3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98">
        <v>304.0</v>
      </c>
      <c r="B816" s="125" t="s">
        <v>1233</v>
      </c>
      <c r="C816" s="126" t="s">
        <v>141</v>
      </c>
      <c r="D816" s="127">
        <v>18720.0</v>
      </c>
      <c r="E816" s="128"/>
      <c r="F816" s="33"/>
      <c r="G816" s="33"/>
      <c r="H816" s="33"/>
      <c r="I816" s="33"/>
      <c r="J816" s="3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98">
        <v>305.0</v>
      </c>
      <c r="B817" s="125" t="s">
        <v>1234</v>
      </c>
      <c r="C817" s="131"/>
      <c r="D817" s="127">
        <v>12855.0</v>
      </c>
      <c r="E817" s="130"/>
      <c r="F817" s="33"/>
      <c r="G817" s="33"/>
      <c r="H817" s="33"/>
      <c r="I817" s="33"/>
      <c r="J817" s="3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98">
        <v>306.0</v>
      </c>
      <c r="B818" s="125" t="s">
        <v>1235</v>
      </c>
      <c r="C818" s="131"/>
      <c r="D818" s="127">
        <v>14807.0</v>
      </c>
      <c r="E818" s="130"/>
      <c r="F818" s="33"/>
      <c r="G818" s="33"/>
      <c r="H818" s="33"/>
      <c r="I818" s="33"/>
      <c r="J818" s="3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98">
        <v>307.0</v>
      </c>
      <c r="B819" s="125" t="s">
        <v>1236</v>
      </c>
      <c r="C819" s="131"/>
      <c r="D819" s="127">
        <v>17296.0</v>
      </c>
      <c r="E819" s="130"/>
      <c r="F819" s="33"/>
      <c r="G819" s="33"/>
      <c r="H819" s="33"/>
      <c r="I819" s="33"/>
      <c r="J819" s="3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98">
        <v>308.0</v>
      </c>
      <c r="B820" s="125" t="s">
        <v>1237</v>
      </c>
      <c r="C820" s="126" t="s">
        <v>141</v>
      </c>
      <c r="D820" s="127">
        <v>16685.0</v>
      </c>
      <c r="E820" s="130"/>
      <c r="F820" s="33"/>
      <c r="G820" s="33"/>
      <c r="H820" s="33"/>
      <c r="I820" s="33"/>
      <c r="J820" s="3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98">
        <v>309.0</v>
      </c>
      <c r="B821" s="125" t="s">
        <v>1238</v>
      </c>
      <c r="C821" s="131"/>
      <c r="D821" s="127">
        <v>14892.0</v>
      </c>
      <c r="E821" s="130"/>
      <c r="F821" s="33"/>
      <c r="G821" s="33"/>
      <c r="H821" s="33"/>
      <c r="I821" s="33"/>
      <c r="J821" s="3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98">
        <v>310.0</v>
      </c>
      <c r="B822" s="125" t="s">
        <v>1239</v>
      </c>
      <c r="C822" s="131"/>
      <c r="D822" s="127">
        <v>11581.0</v>
      </c>
      <c r="E822" s="130"/>
      <c r="F822" s="33"/>
      <c r="G822" s="33"/>
      <c r="H822" s="33"/>
      <c r="I822" s="33"/>
      <c r="J822" s="3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98">
        <v>311.0</v>
      </c>
      <c r="B823" s="125" t="s">
        <v>1240</v>
      </c>
      <c r="C823" s="131"/>
      <c r="D823" s="127">
        <v>19771.0</v>
      </c>
      <c r="E823" s="128"/>
      <c r="F823" s="33"/>
      <c r="G823" s="33"/>
      <c r="H823" s="33"/>
      <c r="I823" s="33"/>
      <c r="J823" s="3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98">
        <v>312.0</v>
      </c>
      <c r="B824" s="125" t="s">
        <v>1241</v>
      </c>
      <c r="C824" s="126" t="s">
        <v>141</v>
      </c>
      <c r="D824" s="127">
        <v>18464.0</v>
      </c>
      <c r="E824" s="130"/>
      <c r="F824" s="33"/>
      <c r="G824" s="33"/>
      <c r="H824" s="33"/>
      <c r="I824" s="33"/>
      <c r="J824" s="3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98">
        <v>313.0</v>
      </c>
      <c r="B825" s="125" t="s">
        <v>1242</v>
      </c>
      <c r="C825" s="131"/>
      <c r="D825" s="127">
        <v>19919.0</v>
      </c>
      <c r="E825" s="128"/>
      <c r="F825" s="33"/>
      <c r="G825" s="33"/>
      <c r="H825" s="33"/>
      <c r="I825" s="33"/>
      <c r="J825" s="3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98">
        <v>314.0</v>
      </c>
      <c r="B826" s="125" t="s">
        <v>1243</v>
      </c>
      <c r="C826" s="126" t="s">
        <v>141</v>
      </c>
      <c r="D826" s="127">
        <v>18552.0</v>
      </c>
      <c r="E826" s="130"/>
      <c r="F826" s="33"/>
      <c r="G826" s="33"/>
      <c r="H826" s="33"/>
      <c r="I826" s="33"/>
      <c r="J826" s="3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98">
        <v>315.0</v>
      </c>
      <c r="B827" s="125" t="s">
        <v>1244</v>
      </c>
      <c r="C827" s="131"/>
      <c r="D827" s="127">
        <v>20435.0</v>
      </c>
      <c r="E827" s="128"/>
      <c r="F827" s="33"/>
      <c r="G827" s="33"/>
      <c r="H827" s="33"/>
      <c r="I827" s="33"/>
      <c r="J827" s="3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98">
        <v>316.0</v>
      </c>
      <c r="B828" s="125" t="s">
        <v>1238</v>
      </c>
      <c r="C828" s="131"/>
      <c r="D828" s="127">
        <v>19703.0</v>
      </c>
      <c r="E828" s="128"/>
      <c r="F828" s="33"/>
      <c r="G828" s="33"/>
      <c r="H828" s="33"/>
      <c r="I828" s="33"/>
      <c r="J828" s="3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98">
        <v>317.0</v>
      </c>
      <c r="B829" s="125" t="s">
        <v>1245</v>
      </c>
      <c r="C829" s="126" t="s">
        <v>141</v>
      </c>
      <c r="D829" s="127">
        <v>17997.0</v>
      </c>
      <c r="E829" s="132"/>
      <c r="F829" s="33"/>
      <c r="G829" s="33"/>
      <c r="H829" s="33"/>
      <c r="I829" s="33"/>
      <c r="J829" s="3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98">
        <v>318.0</v>
      </c>
      <c r="B830" s="125" t="s">
        <v>1246</v>
      </c>
      <c r="C830" s="131"/>
      <c r="D830" s="127">
        <v>22056.0</v>
      </c>
      <c r="E830" s="128"/>
      <c r="F830" s="33"/>
      <c r="G830" s="33"/>
      <c r="H830" s="33"/>
      <c r="I830" s="33"/>
      <c r="J830" s="3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98">
        <v>319.0</v>
      </c>
      <c r="B831" s="125" t="s">
        <v>1247</v>
      </c>
      <c r="C831" s="126" t="s">
        <v>141</v>
      </c>
      <c r="D831" s="127">
        <v>21121.0</v>
      </c>
      <c r="E831" s="128"/>
      <c r="F831" s="33"/>
      <c r="G831" s="33"/>
      <c r="H831" s="33"/>
      <c r="I831" s="33"/>
      <c r="J831" s="3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98">
        <v>320.0</v>
      </c>
      <c r="B832" s="125" t="s">
        <v>1248</v>
      </c>
      <c r="C832" s="131"/>
      <c r="D832" s="127">
        <v>11791.0</v>
      </c>
      <c r="E832" s="130"/>
      <c r="F832" s="33"/>
      <c r="G832" s="33"/>
      <c r="H832" s="33"/>
      <c r="I832" s="33"/>
      <c r="J832" s="3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98">
        <v>321.0</v>
      </c>
      <c r="B833" s="125" t="s">
        <v>1249</v>
      </c>
      <c r="C833" s="131"/>
      <c r="D833" s="127">
        <v>20646.0</v>
      </c>
      <c r="E833" s="128"/>
      <c r="F833" s="33"/>
      <c r="G833" s="33"/>
      <c r="H833" s="33"/>
      <c r="I833" s="33"/>
      <c r="J833" s="3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98">
        <v>322.0</v>
      </c>
      <c r="B834" s="125" t="s">
        <v>1121</v>
      </c>
      <c r="C834" s="131"/>
      <c r="D834" s="127">
        <v>22282.0</v>
      </c>
      <c r="E834" s="128"/>
      <c r="F834" s="33"/>
      <c r="G834" s="33"/>
      <c r="H834" s="33"/>
      <c r="I834" s="33"/>
      <c r="J834" s="3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98">
        <v>323.0</v>
      </c>
      <c r="B835" s="125" t="s">
        <v>1250</v>
      </c>
      <c r="C835" s="126" t="s">
        <v>141</v>
      </c>
      <c r="D835" s="127">
        <v>19929.0</v>
      </c>
      <c r="E835" s="128"/>
      <c r="F835" s="33"/>
      <c r="G835" s="33"/>
      <c r="H835" s="33"/>
      <c r="I835" s="33"/>
      <c r="J835" s="3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98">
        <v>324.0</v>
      </c>
      <c r="B836" s="125" t="s">
        <v>1251</v>
      </c>
      <c r="C836" s="126" t="s">
        <v>141</v>
      </c>
      <c r="D836" s="127">
        <v>21532.0</v>
      </c>
      <c r="E836" s="128"/>
      <c r="F836" s="33"/>
      <c r="G836" s="33"/>
      <c r="H836" s="33"/>
      <c r="I836" s="33"/>
      <c r="J836" s="3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98">
        <v>325.0</v>
      </c>
      <c r="B837" s="125" t="s">
        <v>1252</v>
      </c>
      <c r="C837" s="126" t="s">
        <v>141</v>
      </c>
      <c r="D837" s="127">
        <v>22026.0</v>
      </c>
      <c r="E837" s="128"/>
      <c r="F837" s="33"/>
      <c r="G837" s="33"/>
      <c r="H837" s="33"/>
      <c r="I837" s="33"/>
      <c r="J837" s="3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98">
        <v>326.0</v>
      </c>
      <c r="B838" s="125" t="s">
        <v>1163</v>
      </c>
      <c r="C838" s="131"/>
      <c r="D838" s="127">
        <v>21195.0</v>
      </c>
      <c r="E838" s="128"/>
      <c r="F838" s="33"/>
      <c r="G838" s="33"/>
      <c r="H838" s="33"/>
      <c r="I838" s="33"/>
      <c r="J838" s="3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98">
        <v>327.0</v>
      </c>
      <c r="B839" s="125" t="s">
        <v>1253</v>
      </c>
      <c r="C839" s="126" t="s">
        <v>141</v>
      </c>
      <c r="D839" s="127">
        <v>17809.0</v>
      </c>
      <c r="E839" s="130"/>
      <c r="F839" s="33"/>
      <c r="G839" s="33"/>
      <c r="H839" s="33"/>
      <c r="I839" s="33"/>
      <c r="J839" s="3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98">
        <v>328.0</v>
      </c>
      <c r="B840" s="125" t="s">
        <v>1254</v>
      </c>
      <c r="C840" s="126" t="s">
        <v>141</v>
      </c>
      <c r="D840" s="127">
        <v>19723.0</v>
      </c>
      <c r="E840" s="128"/>
      <c r="F840" s="33"/>
      <c r="G840" s="33"/>
      <c r="H840" s="33"/>
      <c r="I840" s="33"/>
      <c r="J840" s="3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98">
        <v>329.0</v>
      </c>
      <c r="B841" s="125" t="s">
        <v>1255</v>
      </c>
      <c r="C841" s="131"/>
      <c r="D841" s="127">
        <v>18413.0</v>
      </c>
      <c r="E841" s="132"/>
      <c r="F841" s="33"/>
      <c r="G841" s="33"/>
      <c r="H841" s="33"/>
      <c r="I841" s="33"/>
      <c r="J841" s="3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98">
        <v>330.0</v>
      </c>
      <c r="B842" s="125" t="s">
        <v>1256</v>
      </c>
      <c r="C842" s="126" t="s">
        <v>141</v>
      </c>
      <c r="D842" s="127">
        <v>20096.0</v>
      </c>
      <c r="E842" s="128"/>
      <c r="F842" s="33"/>
      <c r="G842" s="33"/>
      <c r="H842" s="33"/>
      <c r="I842" s="33"/>
      <c r="J842" s="3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98">
        <v>331.0</v>
      </c>
      <c r="B843" s="125" t="s">
        <v>1257</v>
      </c>
      <c r="C843" s="126" t="s">
        <v>141</v>
      </c>
      <c r="D843" s="127">
        <v>20274.0</v>
      </c>
      <c r="E843" s="128"/>
      <c r="F843" s="33"/>
      <c r="G843" s="33"/>
      <c r="H843" s="33"/>
      <c r="I843" s="33"/>
      <c r="J843" s="3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98">
        <v>332.0</v>
      </c>
      <c r="B844" s="125" t="s">
        <v>1258</v>
      </c>
      <c r="C844" s="131"/>
      <c r="D844" s="127">
        <v>20282.0</v>
      </c>
      <c r="E844" s="128"/>
      <c r="F844" s="33"/>
      <c r="G844" s="33"/>
      <c r="H844" s="33"/>
      <c r="I844" s="33"/>
      <c r="J844" s="3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98">
        <v>333.0</v>
      </c>
      <c r="B845" s="125" t="s">
        <v>1121</v>
      </c>
      <c r="C845" s="131"/>
      <c r="D845" s="127">
        <v>21137.0</v>
      </c>
      <c r="E845" s="128"/>
      <c r="F845" s="33"/>
      <c r="G845" s="33"/>
      <c r="H845" s="33"/>
      <c r="I845" s="33"/>
      <c r="J845" s="3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98">
        <v>334.0</v>
      </c>
      <c r="B846" s="125" t="s">
        <v>1259</v>
      </c>
      <c r="C846" s="126" t="s">
        <v>141</v>
      </c>
      <c r="D846" s="127">
        <v>19424.0</v>
      </c>
      <c r="E846" s="128"/>
      <c r="F846" s="33"/>
      <c r="G846" s="33"/>
      <c r="H846" s="33"/>
      <c r="I846" s="33"/>
      <c r="J846" s="3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98">
        <v>335.0</v>
      </c>
      <c r="B847" s="125" t="s">
        <v>1260</v>
      </c>
      <c r="C847" s="126" t="s">
        <v>141</v>
      </c>
      <c r="D847" s="127">
        <v>22087.0</v>
      </c>
      <c r="E847" s="128"/>
      <c r="F847" s="33"/>
      <c r="G847" s="33"/>
      <c r="H847" s="33"/>
      <c r="I847" s="33"/>
      <c r="J847" s="3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98">
        <v>336.0</v>
      </c>
      <c r="B848" s="125" t="s">
        <v>1184</v>
      </c>
      <c r="C848" s="131"/>
      <c r="D848" s="127">
        <v>15872.0</v>
      </c>
      <c r="E848" s="130"/>
      <c r="F848" s="33"/>
      <c r="G848" s="33"/>
      <c r="H848" s="33"/>
      <c r="I848" s="33"/>
      <c r="J848" s="3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98">
        <v>337.0</v>
      </c>
      <c r="B849" s="125" t="s">
        <v>1261</v>
      </c>
      <c r="C849" s="126" t="s">
        <v>141</v>
      </c>
      <c r="D849" s="127">
        <v>14037.0</v>
      </c>
      <c r="E849" s="130"/>
      <c r="F849" s="33"/>
      <c r="G849" s="33"/>
      <c r="H849" s="33"/>
      <c r="I849" s="33"/>
      <c r="J849" s="3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98">
        <v>338.0</v>
      </c>
      <c r="B850" s="125" t="s">
        <v>1262</v>
      </c>
      <c r="C850" s="126" t="s">
        <v>141</v>
      </c>
      <c r="D850" s="127">
        <v>12299.0</v>
      </c>
      <c r="E850" s="130"/>
      <c r="F850" s="33"/>
      <c r="G850" s="33"/>
      <c r="H850" s="33"/>
      <c r="I850" s="33"/>
      <c r="J850" s="3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98">
        <v>339.0</v>
      </c>
      <c r="B851" s="125" t="s">
        <v>1263</v>
      </c>
      <c r="C851" s="131"/>
      <c r="D851" s="127">
        <v>16506.0</v>
      </c>
      <c r="E851" s="130"/>
      <c r="F851" s="33"/>
      <c r="G851" s="33"/>
      <c r="H851" s="33"/>
      <c r="I851" s="33"/>
      <c r="J851" s="3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98">
        <v>340.0</v>
      </c>
      <c r="B852" s="125" t="s">
        <v>1264</v>
      </c>
      <c r="C852" s="131"/>
      <c r="D852" s="127">
        <v>21347.0</v>
      </c>
      <c r="E852" s="128"/>
      <c r="F852" s="33"/>
      <c r="G852" s="33"/>
      <c r="H852" s="33"/>
      <c r="I852" s="33"/>
      <c r="J852" s="3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98">
        <v>341.0</v>
      </c>
      <c r="B853" s="125" t="s">
        <v>1265</v>
      </c>
      <c r="C853" s="126" t="s">
        <v>141</v>
      </c>
      <c r="D853" s="127">
        <v>19858.0</v>
      </c>
      <c r="E853" s="128"/>
      <c r="F853" s="33"/>
      <c r="G853" s="33"/>
      <c r="H853" s="33"/>
      <c r="I853" s="33"/>
      <c r="J853" s="3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98">
        <v>342.0</v>
      </c>
      <c r="B854" s="125" t="s">
        <v>1266</v>
      </c>
      <c r="C854" s="126" t="s">
        <v>141</v>
      </c>
      <c r="D854" s="127">
        <v>14001.0</v>
      </c>
      <c r="E854" s="132"/>
      <c r="F854" s="33"/>
      <c r="G854" s="33"/>
      <c r="H854" s="33"/>
      <c r="I854" s="33"/>
      <c r="J854" s="3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98">
        <v>343.0</v>
      </c>
      <c r="B855" s="125" t="s">
        <v>1267</v>
      </c>
      <c r="C855" s="131"/>
      <c r="D855" s="127">
        <v>21893.0</v>
      </c>
      <c r="E855" s="128"/>
      <c r="F855" s="33"/>
      <c r="G855" s="33"/>
      <c r="H855" s="33"/>
      <c r="I855" s="33"/>
      <c r="J855" s="3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98">
        <v>344.0</v>
      </c>
      <c r="B856" s="125" t="s">
        <v>1268</v>
      </c>
      <c r="C856" s="126" t="s">
        <v>141</v>
      </c>
      <c r="D856" s="127">
        <v>19555.0</v>
      </c>
      <c r="E856" s="128"/>
      <c r="F856" s="33"/>
      <c r="G856" s="33"/>
      <c r="H856" s="33"/>
      <c r="I856" s="33"/>
      <c r="J856" s="3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98">
        <v>345.0</v>
      </c>
      <c r="B857" s="125" t="s">
        <v>1089</v>
      </c>
      <c r="C857" s="126" t="s">
        <v>141</v>
      </c>
      <c r="D857" s="127">
        <v>16968.0</v>
      </c>
      <c r="E857" s="130"/>
      <c r="F857" s="33"/>
      <c r="G857" s="33"/>
      <c r="H857" s="33"/>
      <c r="I857" s="33"/>
      <c r="J857" s="3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98">
        <v>346.0</v>
      </c>
      <c r="B858" s="125" t="s">
        <v>987</v>
      </c>
      <c r="C858" s="131"/>
      <c r="D858" s="127">
        <v>16671.0</v>
      </c>
      <c r="E858" s="130"/>
      <c r="F858" s="33"/>
      <c r="G858" s="33"/>
      <c r="H858" s="33"/>
      <c r="I858" s="33"/>
      <c r="J858" s="3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98">
        <v>347.0</v>
      </c>
      <c r="B859" s="125" t="s">
        <v>1269</v>
      </c>
      <c r="C859" s="126" t="s">
        <v>141</v>
      </c>
      <c r="D859" s="127">
        <v>21437.0</v>
      </c>
      <c r="E859" s="128"/>
      <c r="F859" s="33"/>
      <c r="G859" s="33"/>
      <c r="H859" s="33"/>
      <c r="I859" s="33"/>
      <c r="J859" s="3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98">
        <v>348.0</v>
      </c>
      <c r="B860" s="125" t="s">
        <v>1270</v>
      </c>
      <c r="C860" s="126" t="s">
        <v>141</v>
      </c>
      <c r="D860" s="127">
        <v>16774.0</v>
      </c>
      <c r="E860" s="130"/>
      <c r="F860" s="33"/>
      <c r="G860" s="33"/>
      <c r="H860" s="33"/>
      <c r="I860" s="33"/>
      <c r="J860" s="3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98">
        <v>349.0</v>
      </c>
      <c r="B861" s="125" t="s">
        <v>1271</v>
      </c>
      <c r="C861" s="126" t="s">
        <v>141</v>
      </c>
      <c r="D861" s="127">
        <v>21837.0</v>
      </c>
      <c r="E861" s="128"/>
      <c r="F861" s="33"/>
      <c r="G861" s="33"/>
      <c r="H861" s="33"/>
      <c r="I861" s="33"/>
      <c r="J861" s="3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98">
        <v>350.0</v>
      </c>
      <c r="B862" s="125" t="s">
        <v>1272</v>
      </c>
      <c r="C862" s="126" t="s">
        <v>141</v>
      </c>
      <c r="D862" s="127">
        <v>19223.0</v>
      </c>
      <c r="E862" s="128"/>
      <c r="F862" s="33"/>
      <c r="G862" s="33"/>
      <c r="H862" s="33"/>
      <c r="I862" s="33"/>
      <c r="J862" s="3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98">
        <v>351.0</v>
      </c>
      <c r="B863" s="125" t="s">
        <v>1273</v>
      </c>
      <c r="C863" s="126" t="s">
        <v>141</v>
      </c>
      <c r="D863" s="127">
        <v>21681.0</v>
      </c>
      <c r="E863" s="128"/>
      <c r="F863" s="33"/>
      <c r="G863" s="33"/>
      <c r="H863" s="33"/>
      <c r="I863" s="33"/>
      <c r="J863" s="3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98">
        <v>352.0</v>
      </c>
      <c r="B864" s="125" t="s">
        <v>1274</v>
      </c>
      <c r="C864" s="131"/>
      <c r="D864" s="127">
        <v>19832.0</v>
      </c>
      <c r="E864" s="128"/>
      <c r="F864" s="33"/>
      <c r="G864" s="33"/>
      <c r="H864" s="33"/>
      <c r="I864" s="33"/>
      <c r="J864" s="3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98">
        <v>353.0</v>
      </c>
      <c r="B865" s="125" t="s">
        <v>1275</v>
      </c>
      <c r="C865" s="126" t="s">
        <v>141</v>
      </c>
      <c r="D865" s="127">
        <v>21820.0</v>
      </c>
      <c r="E865" s="128"/>
      <c r="F865" s="33"/>
      <c r="G865" s="33"/>
      <c r="H865" s="33"/>
      <c r="I865" s="33"/>
      <c r="J865" s="3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98">
        <v>354.0</v>
      </c>
      <c r="B866" s="125" t="s">
        <v>1276</v>
      </c>
      <c r="C866" s="126" t="s">
        <v>141</v>
      </c>
      <c r="D866" s="127">
        <v>19919.0</v>
      </c>
      <c r="E866" s="128"/>
      <c r="F866" s="33"/>
      <c r="G866" s="33"/>
      <c r="H866" s="33"/>
      <c r="I866" s="33"/>
      <c r="J866" s="3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98">
        <v>355.0</v>
      </c>
      <c r="B867" s="125" t="s">
        <v>1277</v>
      </c>
      <c r="C867" s="131"/>
      <c r="D867" s="127">
        <v>19960.0</v>
      </c>
      <c r="E867" s="128"/>
      <c r="F867" s="33"/>
      <c r="G867" s="33"/>
      <c r="H867" s="33"/>
      <c r="I867" s="33"/>
      <c r="J867" s="3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98">
        <v>356.0</v>
      </c>
      <c r="B868" s="125" t="s">
        <v>1278</v>
      </c>
      <c r="C868" s="126" t="s">
        <v>141</v>
      </c>
      <c r="D868" s="127">
        <v>11110.0</v>
      </c>
      <c r="E868" s="130"/>
      <c r="F868" s="33"/>
      <c r="G868" s="33"/>
      <c r="H868" s="33"/>
      <c r="I868" s="33"/>
      <c r="J868" s="3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98">
        <v>357.0</v>
      </c>
      <c r="B869" s="125" t="s">
        <v>1279</v>
      </c>
      <c r="C869" s="126" t="s">
        <v>141</v>
      </c>
      <c r="D869" s="127">
        <v>19937.0</v>
      </c>
      <c r="E869" s="128"/>
      <c r="F869" s="33"/>
      <c r="G869" s="33"/>
      <c r="H869" s="33"/>
      <c r="I869" s="33"/>
      <c r="J869" s="3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98">
        <v>358.0</v>
      </c>
      <c r="B870" s="125" t="s">
        <v>1037</v>
      </c>
      <c r="C870" s="131"/>
      <c r="D870" s="127">
        <v>19504.0</v>
      </c>
      <c r="E870" s="128"/>
      <c r="F870" s="33"/>
      <c r="G870" s="33"/>
      <c r="H870" s="33"/>
      <c r="I870" s="33"/>
      <c r="J870" s="3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98">
        <v>359.0</v>
      </c>
      <c r="B871" s="125" t="s">
        <v>1280</v>
      </c>
      <c r="C871" s="126" t="s">
        <v>141</v>
      </c>
      <c r="D871" s="127">
        <v>18906.0</v>
      </c>
      <c r="E871" s="128"/>
      <c r="F871" s="33"/>
      <c r="G871" s="33"/>
      <c r="H871" s="33"/>
      <c r="I871" s="33"/>
      <c r="J871" s="3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98">
        <v>360.0</v>
      </c>
      <c r="B872" s="125" t="s">
        <v>1138</v>
      </c>
      <c r="C872" s="126" t="s">
        <v>141</v>
      </c>
      <c r="D872" s="127">
        <v>22098.0</v>
      </c>
      <c r="E872" s="128"/>
      <c r="F872" s="33"/>
      <c r="G872" s="33"/>
      <c r="H872" s="33"/>
      <c r="I872" s="33"/>
      <c r="J872" s="3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98">
        <v>361.0</v>
      </c>
      <c r="B873" s="125" t="s">
        <v>1281</v>
      </c>
      <c r="C873" s="131"/>
      <c r="D873" s="127">
        <v>46406.0</v>
      </c>
      <c r="E873" s="130"/>
      <c r="F873" s="33"/>
      <c r="G873" s="33"/>
      <c r="H873" s="33"/>
      <c r="I873" s="33"/>
      <c r="J873" s="3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98">
        <v>362.0</v>
      </c>
      <c r="B874" s="125" t="s">
        <v>1282</v>
      </c>
      <c r="C874" s="126" t="s">
        <v>141</v>
      </c>
      <c r="D874" s="127">
        <v>21052.0</v>
      </c>
      <c r="E874" s="128"/>
      <c r="F874" s="33"/>
      <c r="G874" s="33"/>
      <c r="H874" s="33"/>
      <c r="I874" s="33"/>
      <c r="J874" s="3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98">
        <v>363.0</v>
      </c>
      <c r="B875" s="125" t="s">
        <v>1282</v>
      </c>
      <c r="C875" s="126" t="s">
        <v>141</v>
      </c>
      <c r="D875" s="127">
        <v>19549.0</v>
      </c>
      <c r="E875" s="128"/>
      <c r="F875" s="33"/>
      <c r="G875" s="33"/>
      <c r="H875" s="33"/>
      <c r="I875" s="33"/>
      <c r="J875" s="3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98">
        <v>364.0</v>
      </c>
      <c r="B876" s="125" t="s">
        <v>1140</v>
      </c>
      <c r="C876" s="131"/>
      <c r="D876" s="127">
        <v>16657.0</v>
      </c>
      <c r="E876" s="130"/>
      <c r="F876" s="33"/>
      <c r="G876" s="33"/>
      <c r="H876" s="33"/>
      <c r="I876" s="33"/>
      <c r="J876" s="3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98">
        <v>365.0</v>
      </c>
      <c r="B877" s="125" t="s">
        <v>1283</v>
      </c>
      <c r="C877" s="126" t="s">
        <v>141</v>
      </c>
      <c r="D877" s="127">
        <v>15102.0</v>
      </c>
      <c r="E877" s="130"/>
      <c r="F877" s="33"/>
      <c r="G877" s="33"/>
      <c r="H877" s="33"/>
      <c r="I877" s="33"/>
      <c r="J877" s="3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98">
        <v>366.0</v>
      </c>
      <c r="B878" s="125" t="s">
        <v>1284</v>
      </c>
      <c r="C878" s="131"/>
      <c r="D878" s="127">
        <v>21353.0</v>
      </c>
      <c r="E878" s="128"/>
      <c r="F878" s="33"/>
      <c r="G878" s="33"/>
      <c r="H878" s="33"/>
      <c r="I878" s="33"/>
      <c r="J878" s="3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98">
        <v>367.0</v>
      </c>
      <c r="B879" s="125" t="s">
        <v>1285</v>
      </c>
      <c r="C879" s="126" t="s">
        <v>141</v>
      </c>
      <c r="D879" s="127">
        <v>17757.0</v>
      </c>
      <c r="E879" s="130"/>
      <c r="F879" s="33"/>
      <c r="G879" s="33"/>
      <c r="H879" s="33"/>
      <c r="I879" s="33"/>
      <c r="J879" s="3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98">
        <v>368.0</v>
      </c>
      <c r="B880" s="125" t="s">
        <v>1286</v>
      </c>
      <c r="C880" s="131"/>
      <c r="D880" s="127">
        <v>19517.0</v>
      </c>
      <c r="E880" s="128"/>
      <c r="F880" s="33"/>
      <c r="G880" s="33"/>
      <c r="H880" s="33"/>
      <c r="I880" s="33"/>
      <c r="J880" s="3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98">
        <v>369.0</v>
      </c>
      <c r="B881" s="125" t="s">
        <v>1045</v>
      </c>
      <c r="C881" s="126" t="s">
        <v>141</v>
      </c>
      <c r="D881" s="127">
        <v>18609.0</v>
      </c>
      <c r="E881" s="130"/>
      <c r="F881" s="33"/>
      <c r="G881" s="33"/>
      <c r="H881" s="33"/>
      <c r="I881" s="33"/>
      <c r="J881" s="3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98">
        <v>370.0</v>
      </c>
      <c r="B882" s="125" t="s">
        <v>1287</v>
      </c>
      <c r="C882" s="126" t="s">
        <v>141</v>
      </c>
      <c r="D882" s="127">
        <v>21374.0</v>
      </c>
      <c r="E882" s="128"/>
      <c r="F882" s="33"/>
      <c r="G882" s="33"/>
      <c r="H882" s="33"/>
      <c r="I882" s="33"/>
      <c r="J882" s="3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98">
        <v>371.0</v>
      </c>
      <c r="B883" s="125" t="s">
        <v>1288</v>
      </c>
      <c r="C883" s="131"/>
      <c r="D883" s="127">
        <v>18119.0</v>
      </c>
      <c r="E883" s="130"/>
      <c r="F883" s="33"/>
      <c r="G883" s="33"/>
      <c r="H883" s="33"/>
      <c r="I883" s="33"/>
      <c r="J883" s="3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98">
        <v>372.0</v>
      </c>
      <c r="B884" s="125" t="s">
        <v>1289</v>
      </c>
      <c r="C884" s="126" t="s">
        <v>141</v>
      </c>
      <c r="D884" s="127">
        <v>22147.0</v>
      </c>
      <c r="E884" s="128"/>
      <c r="F884" s="33"/>
      <c r="G884" s="33"/>
      <c r="H884" s="33"/>
      <c r="I884" s="33"/>
      <c r="J884" s="3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98">
        <v>373.0</v>
      </c>
      <c r="B885" s="125" t="s">
        <v>1290</v>
      </c>
      <c r="C885" s="131"/>
      <c r="D885" s="127">
        <v>19495.0</v>
      </c>
      <c r="E885" s="128"/>
      <c r="F885" s="33"/>
      <c r="G885" s="33"/>
      <c r="H885" s="33"/>
      <c r="I885" s="33"/>
      <c r="J885" s="3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98">
        <v>374.0</v>
      </c>
      <c r="B886" s="125" t="s">
        <v>1187</v>
      </c>
      <c r="C886" s="126" t="s">
        <v>141</v>
      </c>
      <c r="D886" s="127">
        <v>47402.0</v>
      </c>
      <c r="E886" s="130"/>
      <c r="F886" s="33"/>
      <c r="G886" s="33"/>
      <c r="H886" s="33"/>
      <c r="I886" s="33"/>
      <c r="J886" s="3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98">
        <v>375.0</v>
      </c>
      <c r="B887" s="125" t="s">
        <v>973</v>
      </c>
      <c r="C887" s="131"/>
      <c r="D887" s="127">
        <v>20090.0</v>
      </c>
      <c r="E887" s="128"/>
      <c r="F887" s="33"/>
      <c r="G887" s="33"/>
      <c r="H887" s="33"/>
      <c r="I887" s="33"/>
      <c r="J887" s="3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98">
        <v>376.0</v>
      </c>
      <c r="B888" s="125" t="s">
        <v>1291</v>
      </c>
      <c r="C888" s="126" t="s">
        <v>141</v>
      </c>
      <c r="D888" s="127">
        <v>21642.0</v>
      </c>
      <c r="E888" s="128"/>
      <c r="F888" s="33"/>
      <c r="G888" s="33"/>
      <c r="H888" s="33"/>
      <c r="I888" s="33"/>
      <c r="J888" s="3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98">
        <v>377.0</v>
      </c>
      <c r="B889" s="125" t="s">
        <v>1292</v>
      </c>
      <c r="C889" s="131"/>
      <c r="D889" s="127">
        <v>21016.0</v>
      </c>
      <c r="E889" s="128"/>
      <c r="F889" s="33"/>
      <c r="G889" s="33"/>
      <c r="H889" s="33"/>
      <c r="I889" s="33"/>
      <c r="J889" s="3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98">
        <v>378.0</v>
      </c>
      <c r="B890" s="125" t="s">
        <v>1293</v>
      </c>
      <c r="C890" s="131"/>
      <c r="D890" s="127">
        <v>19099.0</v>
      </c>
      <c r="E890" s="128"/>
      <c r="F890" s="33"/>
      <c r="G890" s="33"/>
      <c r="H890" s="33"/>
      <c r="I890" s="33"/>
      <c r="J890" s="3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98">
        <v>379.0</v>
      </c>
      <c r="B891" s="125" t="s">
        <v>1294</v>
      </c>
      <c r="C891" s="131"/>
      <c r="D891" s="127">
        <v>19608.0</v>
      </c>
      <c r="E891" s="128"/>
      <c r="F891" s="33"/>
      <c r="G891" s="33"/>
      <c r="H891" s="33"/>
      <c r="I891" s="33"/>
      <c r="J891" s="3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98">
        <v>380.0</v>
      </c>
      <c r="B892" s="125" t="s">
        <v>1269</v>
      </c>
      <c r="C892" s="126" t="s">
        <v>141</v>
      </c>
      <c r="D892" s="127">
        <v>18181.0</v>
      </c>
      <c r="E892" s="130"/>
      <c r="F892" s="33"/>
      <c r="G892" s="33"/>
      <c r="H892" s="33"/>
      <c r="I892" s="33"/>
      <c r="J892" s="3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98">
        <v>381.0</v>
      </c>
      <c r="B893" s="125" t="s">
        <v>1295</v>
      </c>
      <c r="C893" s="126" t="s">
        <v>1026</v>
      </c>
      <c r="D893" s="127">
        <v>20312.0</v>
      </c>
      <c r="E893" s="128"/>
      <c r="F893" s="33"/>
      <c r="G893" s="33"/>
      <c r="H893" s="33"/>
      <c r="I893" s="33"/>
      <c r="J893" s="3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98">
        <v>382.0</v>
      </c>
      <c r="B894" s="125" t="s">
        <v>1296</v>
      </c>
      <c r="C894" s="131"/>
      <c r="D894" s="127">
        <v>21217.0</v>
      </c>
      <c r="E894" s="128"/>
      <c r="F894" s="33"/>
      <c r="G894" s="33"/>
      <c r="H894" s="33"/>
      <c r="I894" s="33"/>
      <c r="J894" s="3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98">
        <v>383.0</v>
      </c>
      <c r="B895" s="125" t="s">
        <v>1297</v>
      </c>
      <c r="C895" s="126" t="s">
        <v>141</v>
      </c>
      <c r="D895" s="127">
        <v>20184.0</v>
      </c>
      <c r="E895" s="128"/>
      <c r="F895" s="33"/>
      <c r="G895" s="33"/>
      <c r="H895" s="33"/>
      <c r="I895" s="33"/>
      <c r="J895" s="3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98">
        <v>384.0</v>
      </c>
      <c r="B896" s="125" t="s">
        <v>1061</v>
      </c>
      <c r="C896" s="131"/>
      <c r="D896" s="127">
        <v>20739.0</v>
      </c>
      <c r="E896" s="128"/>
      <c r="F896" s="33"/>
      <c r="G896" s="33"/>
      <c r="H896" s="33"/>
      <c r="I896" s="33"/>
      <c r="J896" s="3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98">
        <v>385.0</v>
      </c>
      <c r="B897" s="125" t="s">
        <v>1298</v>
      </c>
      <c r="C897" s="126" t="s">
        <v>141</v>
      </c>
      <c r="D897" s="127">
        <v>19430.0</v>
      </c>
      <c r="E897" s="128"/>
      <c r="F897" s="33"/>
      <c r="G897" s="33"/>
      <c r="H897" s="33"/>
      <c r="I897" s="33"/>
      <c r="J897" s="3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98">
        <v>386.0</v>
      </c>
      <c r="B898" s="125" t="s">
        <v>1299</v>
      </c>
      <c r="C898" s="126" t="s">
        <v>141</v>
      </c>
      <c r="D898" s="127">
        <v>22015.0</v>
      </c>
      <c r="E898" s="128"/>
      <c r="F898" s="33"/>
      <c r="G898" s="33"/>
      <c r="H898" s="33"/>
      <c r="I898" s="33"/>
      <c r="J898" s="3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98">
        <v>387.0</v>
      </c>
      <c r="B899" s="125" t="s">
        <v>1300</v>
      </c>
      <c r="C899" s="131"/>
      <c r="D899" s="127">
        <v>18408.0</v>
      </c>
      <c r="E899" s="130"/>
      <c r="F899" s="33"/>
      <c r="G899" s="33"/>
      <c r="H899" s="33"/>
      <c r="I899" s="33"/>
      <c r="J899" s="3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98">
        <v>388.0</v>
      </c>
      <c r="B900" s="125" t="s">
        <v>1188</v>
      </c>
      <c r="C900" s="126" t="s">
        <v>141</v>
      </c>
      <c r="D900" s="127">
        <v>17593.0</v>
      </c>
      <c r="E900" s="130"/>
      <c r="F900" s="33"/>
      <c r="G900" s="33"/>
      <c r="H900" s="33"/>
      <c r="I900" s="33"/>
      <c r="J900" s="3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98">
        <v>389.0</v>
      </c>
      <c r="B901" s="125" t="s">
        <v>1015</v>
      </c>
      <c r="C901" s="131"/>
      <c r="D901" s="127">
        <v>17751.0</v>
      </c>
      <c r="E901" s="130"/>
      <c r="F901" s="33"/>
      <c r="G901" s="33"/>
      <c r="H901" s="33"/>
      <c r="I901" s="33"/>
      <c r="J901" s="3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98">
        <v>390.0</v>
      </c>
      <c r="B902" s="125" t="s">
        <v>1301</v>
      </c>
      <c r="C902" s="126" t="s">
        <v>141</v>
      </c>
      <c r="D902" s="127">
        <v>20189.0</v>
      </c>
      <c r="E902" s="128"/>
      <c r="F902" s="33"/>
      <c r="G902" s="33"/>
      <c r="H902" s="33"/>
      <c r="I902" s="33"/>
      <c r="J902" s="3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98">
        <v>391.0</v>
      </c>
      <c r="B903" s="125" t="s">
        <v>1046</v>
      </c>
      <c r="C903" s="126" t="s">
        <v>141</v>
      </c>
      <c r="D903" s="127">
        <v>21249.0</v>
      </c>
      <c r="E903" s="128"/>
      <c r="F903" s="33"/>
      <c r="G903" s="33"/>
      <c r="H903" s="33"/>
      <c r="I903" s="33"/>
      <c r="J903" s="3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98">
        <v>392.0</v>
      </c>
      <c r="B904" s="125" t="s">
        <v>1302</v>
      </c>
      <c r="C904" s="131"/>
      <c r="D904" s="127">
        <v>13035.0</v>
      </c>
      <c r="E904" s="130"/>
      <c r="F904" s="33"/>
      <c r="G904" s="33"/>
      <c r="H904" s="33"/>
      <c r="I904" s="33"/>
      <c r="J904" s="3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98">
        <v>393.0</v>
      </c>
      <c r="B905" s="125" t="s">
        <v>973</v>
      </c>
      <c r="C905" s="131"/>
      <c r="D905" s="127">
        <v>20241.0</v>
      </c>
      <c r="E905" s="128"/>
      <c r="F905" s="33"/>
      <c r="G905" s="33"/>
      <c r="H905" s="33"/>
      <c r="I905" s="33"/>
      <c r="J905" s="3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98">
        <v>394.0</v>
      </c>
      <c r="B906" s="125" t="s">
        <v>1191</v>
      </c>
      <c r="C906" s="131"/>
      <c r="D906" s="127">
        <v>16667.0</v>
      </c>
      <c r="E906" s="130"/>
      <c r="F906" s="33"/>
      <c r="G906" s="33"/>
      <c r="H906" s="33"/>
      <c r="I906" s="33"/>
      <c r="J906" s="3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98">
        <v>395.0</v>
      </c>
      <c r="B907" s="125" t="s">
        <v>1303</v>
      </c>
      <c r="C907" s="131"/>
      <c r="D907" s="127">
        <v>21746.0</v>
      </c>
      <c r="E907" s="128"/>
      <c r="F907" s="33"/>
      <c r="G907" s="33"/>
      <c r="H907" s="33"/>
      <c r="I907" s="33"/>
      <c r="J907" s="3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98">
        <v>396.0</v>
      </c>
      <c r="B908" s="125" t="s">
        <v>1304</v>
      </c>
      <c r="C908" s="126" t="s">
        <v>141</v>
      </c>
      <c r="D908" s="127">
        <v>19956.0</v>
      </c>
      <c r="E908" s="128"/>
      <c r="F908" s="33"/>
      <c r="G908" s="33"/>
      <c r="H908" s="33"/>
      <c r="I908" s="33"/>
      <c r="J908" s="3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98">
        <v>397.0</v>
      </c>
      <c r="B909" s="125" t="s">
        <v>1305</v>
      </c>
      <c r="C909" s="131"/>
      <c r="D909" s="127">
        <v>19881.0</v>
      </c>
      <c r="E909" s="128"/>
      <c r="F909" s="33"/>
      <c r="G909" s="33"/>
      <c r="H909" s="33"/>
      <c r="I909" s="33"/>
      <c r="J909" s="3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98">
        <v>398.0</v>
      </c>
      <c r="B910" s="125" t="s">
        <v>1061</v>
      </c>
      <c r="C910" s="131"/>
      <c r="D910" s="127">
        <v>19598.0</v>
      </c>
      <c r="E910" s="128"/>
      <c r="F910" s="33"/>
      <c r="G910" s="33"/>
      <c r="H910" s="33"/>
      <c r="I910" s="33"/>
      <c r="J910" s="3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98">
        <v>399.0</v>
      </c>
      <c r="B911" s="125" t="s">
        <v>1037</v>
      </c>
      <c r="C911" s="131"/>
      <c r="D911" s="127">
        <v>22081.0</v>
      </c>
      <c r="E911" s="128"/>
      <c r="F911" s="33"/>
      <c r="G911" s="33"/>
      <c r="H911" s="33"/>
      <c r="I911" s="33"/>
      <c r="J911" s="3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98">
        <v>400.0</v>
      </c>
      <c r="B912" s="125" t="s">
        <v>1306</v>
      </c>
      <c r="C912" s="131"/>
      <c r="D912" s="127">
        <v>21773.0</v>
      </c>
      <c r="E912" s="128"/>
      <c r="F912" s="33"/>
      <c r="G912" s="33"/>
      <c r="H912" s="33"/>
      <c r="I912" s="33"/>
      <c r="J912" s="3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98">
        <v>401.0</v>
      </c>
      <c r="B913" s="125" t="s">
        <v>1136</v>
      </c>
      <c r="C913" s="131"/>
      <c r="D913" s="127">
        <v>20430.0</v>
      </c>
      <c r="E913" s="128"/>
      <c r="F913" s="33"/>
      <c r="G913" s="33"/>
      <c r="H913" s="33"/>
      <c r="I913" s="33"/>
      <c r="J913" s="3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98">
        <v>402.0</v>
      </c>
      <c r="B914" s="125" t="s">
        <v>1307</v>
      </c>
      <c r="C914" s="131"/>
      <c r="D914" s="127">
        <v>16619.0</v>
      </c>
      <c r="E914" s="132"/>
      <c r="F914" s="33"/>
      <c r="G914" s="33"/>
      <c r="H914" s="33"/>
      <c r="I914" s="33"/>
      <c r="J914" s="3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98">
        <v>403.0</v>
      </c>
      <c r="B915" s="125" t="s">
        <v>972</v>
      </c>
      <c r="C915" s="126" t="s">
        <v>141</v>
      </c>
      <c r="D915" s="133">
        <v>22455.0</v>
      </c>
      <c r="E915" s="128"/>
      <c r="F915" s="33"/>
      <c r="G915" s="33"/>
      <c r="H915" s="33"/>
      <c r="I915" s="33"/>
      <c r="J915" s="3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98">
        <v>404.0</v>
      </c>
      <c r="B916" s="125" t="s">
        <v>1308</v>
      </c>
      <c r="C916" s="131"/>
      <c r="D916" s="127">
        <v>11883.0</v>
      </c>
      <c r="E916" s="130"/>
      <c r="F916" s="33"/>
      <c r="G916" s="33"/>
      <c r="H916" s="33"/>
      <c r="I916" s="33"/>
      <c r="J916" s="3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98">
        <v>405.0</v>
      </c>
      <c r="B917" s="125" t="s">
        <v>1309</v>
      </c>
      <c r="C917" s="131"/>
      <c r="D917" s="127">
        <v>22608.0</v>
      </c>
      <c r="E917" s="128"/>
      <c r="F917" s="33"/>
      <c r="G917" s="33"/>
      <c r="H917" s="33"/>
      <c r="I917" s="33"/>
      <c r="J917" s="3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98">
        <v>406.0</v>
      </c>
      <c r="B918" s="125" t="s">
        <v>1310</v>
      </c>
      <c r="C918" s="131"/>
      <c r="D918" s="127">
        <v>18584.0</v>
      </c>
      <c r="E918" s="130"/>
      <c r="F918" s="33"/>
      <c r="G918" s="33"/>
      <c r="H918" s="33"/>
      <c r="I918" s="33"/>
      <c r="J918" s="3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98">
        <v>407.0</v>
      </c>
      <c r="B919" s="125" t="s">
        <v>1311</v>
      </c>
      <c r="C919" s="131"/>
      <c r="D919" s="127">
        <v>14561.0</v>
      </c>
      <c r="E919" s="130"/>
      <c r="F919" s="33"/>
      <c r="G919" s="33"/>
      <c r="H919" s="33"/>
      <c r="I919" s="33"/>
      <c r="J919" s="3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98">
        <v>408.0</v>
      </c>
      <c r="B920" s="125" t="s">
        <v>1312</v>
      </c>
      <c r="C920" s="131"/>
      <c r="D920" s="127">
        <v>14620.0</v>
      </c>
      <c r="E920" s="130"/>
      <c r="F920" s="33"/>
      <c r="G920" s="33"/>
      <c r="H920" s="33"/>
      <c r="I920" s="33"/>
      <c r="J920" s="3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98">
        <v>409.0</v>
      </c>
      <c r="B921" s="125" t="s">
        <v>1313</v>
      </c>
      <c r="C921" s="126" t="s">
        <v>141</v>
      </c>
      <c r="D921" s="127">
        <v>13884.0</v>
      </c>
      <c r="E921" s="130"/>
      <c r="F921" s="33"/>
      <c r="G921" s="33"/>
      <c r="H921" s="33"/>
      <c r="I921" s="33"/>
      <c r="J921" s="3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98">
        <v>410.0</v>
      </c>
      <c r="B922" s="125" t="s">
        <v>1314</v>
      </c>
      <c r="C922" s="131"/>
      <c r="D922" s="127">
        <v>21371.0</v>
      </c>
      <c r="E922" s="128"/>
      <c r="F922" s="33"/>
      <c r="G922" s="33"/>
      <c r="H922" s="33"/>
      <c r="I922" s="33"/>
      <c r="J922" s="3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98">
        <v>411.0</v>
      </c>
      <c r="B923" s="125" t="s">
        <v>1099</v>
      </c>
      <c r="C923" s="131"/>
      <c r="D923" s="127">
        <v>22390.0</v>
      </c>
      <c r="E923" s="128"/>
      <c r="F923" s="33"/>
      <c r="G923" s="33"/>
      <c r="H923" s="33"/>
      <c r="I923" s="33"/>
      <c r="J923" s="3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98">
        <v>412.0</v>
      </c>
      <c r="B924" s="125" t="s">
        <v>1315</v>
      </c>
      <c r="C924" s="131"/>
      <c r="D924" s="127">
        <v>19865.0</v>
      </c>
      <c r="E924" s="128"/>
      <c r="F924" s="33"/>
      <c r="G924" s="33"/>
      <c r="H924" s="33"/>
      <c r="I924" s="33"/>
      <c r="J924" s="3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98">
        <v>413.0</v>
      </c>
      <c r="B925" s="125" t="s">
        <v>1282</v>
      </c>
      <c r="C925" s="126" t="s">
        <v>141</v>
      </c>
      <c r="D925" s="127">
        <v>14068.0</v>
      </c>
      <c r="E925" s="130"/>
      <c r="F925" s="33"/>
      <c r="G925" s="33"/>
      <c r="H925" s="33"/>
      <c r="I925" s="33"/>
      <c r="J925" s="3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98">
        <v>414.0</v>
      </c>
      <c r="B926" s="125" t="s">
        <v>1316</v>
      </c>
      <c r="C926" s="131"/>
      <c r="D926" s="127">
        <v>22617.0</v>
      </c>
      <c r="E926" s="128"/>
      <c r="F926" s="33"/>
      <c r="G926" s="33"/>
      <c r="H926" s="33"/>
      <c r="I926" s="33"/>
      <c r="J926" s="3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98">
        <v>415.0</v>
      </c>
      <c r="B927" s="125" t="s">
        <v>1317</v>
      </c>
      <c r="C927" s="126" t="s">
        <v>141</v>
      </c>
      <c r="D927" s="127">
        <v>15473.0</v>
      </c>
      <c r="E927" s="130"/>
      <c r="F927" s="33"/>
      <c r="G927" s="33"/>
      <c r="H927" s="33"/>
      <c r="I927" s="33"/>
      <c r="J927" s="3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98">
        <v>416.0</v>
      </c>
      <c r="B928" s="125" t="s">
        <v>1318</v>
      </c>
      <c r="C928" s="131"/>
      <c r="D928" s="127">
        <v>18761.0</v>
      </c>
      <c r="E928" s="130"/>
      <c r="F928" s="33"/>
      <c r="G928" s="33"/>
      <c r="H928" s="33"/>
      <c r="I928" s="33"/>
      <c r="J928" s="3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98">
        <v>417.0</v>
      </c>
      <c r="B929" s="125" t="s">
        <v>1007</v>
      </c>
      <c r="C929" s="126" t="s">
        <v>141</v>
      </c>
      <c r="D929" s="127">
        <v>19849.0</v>
      </c>
      <c r="E929" s="128"/>
      <c r="F929" s="33"/>
      <c r="G929" s="33"/>
      <c r="H929" s="33"/>
      <c r="I929" s="33"/>
      <c r="J929" s="3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98">
        <v>418.0</v>
      </c>
      <c r="B930" s="125" t="s">
        <v>1319</v>
      </c>
      <c r="C930" s="131"/>
      <c r="D930" s="127">
        <v>12855.0</v>
      </c>
      <c r="E930" s="130"/>
      <c r="F930" s="33"/>
      <c r="G930" s="33"/>
      <c r="H930" s="33"/>
      <c r="I930" s="33"/>
      <c r="J930" s="3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98">
        <v>419.0</v>
      </c>
      <c r="B931" s="125" t="s">
        <v>965</v>
      </c>
      <c r="C931" s="131"/>
      <c r="D931" s="127">
        <v>20367.0</v>
      </c>
      <c r="E931" s="128"/>
      <c r="F931" s="33"/>
      <c r="G931" s="33"/>
      <c r="H931" s="33"/>
      <c r="I931" s="33"/>
      <c r="J931" s="3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98">
        <v>420.0</v>
      </c>
      <c r="B932" s="125" t="s">
        <v>1320</v>
      </c>
      <c r="C932" s="126" t="s">
        <v>141</v>
      </c>
      <c r="D932" s="127">
        <v>22375.0</v>
      </c>
      <c r="E932" s="128"/>
      <c r="F932" s="33"/>
      <c r="G932" s="33"/>
      <c r="H932" s="33"/>
      <c r="I932" s="33"/>
      <c r="J932" s="3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98">
        <v>421.0</v>
      </c>
      <c r="B933" s="125" t="s">
        <v>1078</v>
      </c>
      <c r="C933" s="126" t="s">
        <v>141</v>
      </c>
      <c r="D933" s="127">
        <v>11004.0</v>
      </c>
      <c r="E933" s="130"/>
      <c r="F933" s="33"/>
      <c r="G933" s="33"/>
      <c r="H933" s="33"/>
      <c r="I933" s="33"/>
      <c r="J933" s="3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98">
        <v>422.0</v>
      </c>
      <c r="B934" s="125" t="s">
        <v>1321</v>
      </c>
      <c r="C934" s="126" t="s">
        <v>141</v>
      </c>
      <c r="D934" s="127">
        <v>19703.0</v>
      </c>
      <c r="E934" s="128"/>
      <c r="F934" s="33"/>
      <c r="G934" s="33"/>
      <c r="H934" s="33"/>
      <c r="I934" s="33"/>
      <c r="J934" s="3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98">
        <v>423.0</v>
      </c>
      <c r="B935" s="125" t="s">
        <v>1322</v>
      </c>
      <c r="C935" s="131"/>
      <c r="D935" s="127">
        <v>20976.0</v>
      </c>
      <c r="E935" s="128"/>
      <c r="F935" s="33"/>
      <c r="G935" s="33"/>
      <c r="H935" s="33"/>
      <c r="I935" s="33"/>
      <c r="J935" s="3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98">
        <v>424.0</v>
      </c>
      <c r="B936" s="125" t="s">
        <v>1323</v>
      </c>
      <c r="C936" s="126" t="s">
        <v>141</v>
      </c>
      <c r="D936" s="127">
        <v>21716.0</v>
      </c>
      <c r="E936" s="128"/>
      <c r="F936" s="33"/>
      <c r="G936" s="33"/>
      <c r="H936" s="33"/>
      <c r="I936" s="33"/>
      <c r="J936" s="3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98">
        <v>425.0</v>
      </c>
      <c r="B937" s="125" t="s">
        <v>1324</v>
      </c>
      <c r="C937" s="126" t="s">
        <v>141</v>
      </c>
      <c r="D937" s="127">
        <v>16264.0</v>
      </c>
      <c r="E937" s="130"/>
      <c r="F937" s="33"/>
      <c r="G937" s="33"/>
      <c r="H937" s="33"/>
      <c r="I937" s="33"/>
      <c r="J937" s="3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98">
        <v>426.0</v>
      </c>
      <c r="B938" s="125" t="s">
        <v>965</v>
      </c>
      <c r="C938" s="131"/>
      <c r="D938" s="127">
        <v>18723.0</v>
      </c>
      <c r="E938" s="130"/>
      <c r="F938" s="33"/>
      <c r="G938" s="33"/>
      <c r="H938" s="33"/>
      <c r="I938" s="33"/>
      <c r="J938" s="3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98">
        <v>427.0</v>
      </c>
      <c r="B939" s="125" t="s">
        <v>969</v>
      </c>
      <c r="C939" s="131"/>
      <c r="D939" s="127">
        <v>14780.0</v>
      </c>
      <c r="E939" s="130"/>
      <c r="F939" s="33"/>
      <c r="G939" s="33"/>
      <c r="H939" s="33"/>
      <c r="I939" s="33"/>
      <c r="J939" s="3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98">
        <v>428.0</v>
      </c>
      <c r="B940" s="125" t="s">
        <v>1099</v>
      </c>
      <c r="C940" s="131"/>
      <c r="D940" s="127">
        <v>16600.0</v>
      </c>
      <c r="E940" s="130"/>
      <c r="F940" s="33"/>
      <c r="G940" s="33"/>
      <c r="H940" s="33"/>
      <c r="I940" s="33"/>
      <c r="J940" s="3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98">
        <v>429.0</v>
      </c>
      <c r="B941" s="125" t="s">
        <v>1136</v>
      </c>
      <c r="C941" s="131"/>
      <c r="D941" s="127">
        <v>18398.0</v>
      </c>
      <c r="E941" s="130"/>
      <c r="F941" s="33"/>
      <c r="G941" s="33"/>
      <c r="H941" s="33"/>
      <c r="I941" s="33"/>
      <c r="J941" s="3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98">
        <v>430.0</v>
      </c>
      <c r="B942" s="125" t="s">
        <v>1325</v>
      </c>
      <c r="C942" s="126" t="s">
        <v>141</v>
      </c>
      <c r="D942" s="127">
        <v>22474.0</v>
      </c>
      <c r="E942" s="128"/>
      <c r="F942" s="33"/>
      <c r="G942" s="33"/>
      <c r="H942" s="33"/>
      <c r="I942" s="33"/>
      <c r="J942" s="3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98">
        <v>431.0</v>
      </c>
      <c r="B943" s="125" t="s">
        <v>1326</v>
      </c>
      <c r="C943" s="126" t="s">
        <v>141</v>
      </c>
      <c r="D943" s="127">
        <v>12328.0</v>
      </c>
      <c r="E943" s="130"/>
      <c r="F943" s="33"/>
      <c r="G943" s="33"/>
      <c r="H943" s="33"/>
      <c r="I943" s="33"/>
      <c r="J943" s="3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98">
        <v>432.0</v>
      </c>
      <c r="B944" s="125" t="s">
        <v>1327</v>
      </c>
      <c r="C944" s="126" t="s">
        <v>141</v>
      </c>
      <c r="D944" s="127">
        <v>13313.0</v>
      </c>
      <c r="E944" s="130"/>
      <c r="F944" s="33"/>
      <c r="G944" s="33"/>
      <c r="H944" s="33"/>
      <c r="I944" s="33"/>
      <c r="J944" s="3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98">
        <v>433.0</v>
      </c>
      <c r="B945" s="125" t="s">
        <v>1328</v>
      </c>
      <c r="C945" s="131"/>
      <c r="D945" s="127">
        <v>22394.0</v>
      </c>
      <c r="E945" s="128"/>
      <c r="F945" s="33"/>
      <c r="G945" s="33"/>
      <c r="H945" s="33"/>
      <c r="I945" s="33"/>
      <c r="J945" s="3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98">
        <v>434.0</v>
      </c>
      <c r="B946" s="125" t="s">
        <v>1329</v>
      </c>
      <c r="C946" s="131"/>
      <c r="D946" s="127">
        <v>22043.0</v>
      </c>
      <c r="E946" s="128"/>
      <c r="F946" s="33"/>
      <c r="G946" s="33"/>
      <c r="H946" s="33"/>
      <c r="I946" s="33"/>
      <c r="J946" s="3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98">
        <v>435.0</v>
      </c>
      <c r="B947" s="125" t="s">
        <v>1330</v>
      </c>
      <c r="C947" s="126" t="s">
        <v>141</v>
      </c>
      <c r="D947" s="127">
        <v>22382.0</v>
      </c>
      <c r="E947" s="128"/>
      <c r="F947" s="33"/>
      <c r="G947" s="33"/>
      <c r="H947" s="33"/>
      <c r="I947" s="33"/>
      <c r="J947" s="3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98">
        <v>436.0</v>
      </c>
      <c r="B948" s="125" t="s">
        <v>1331</v>
      </c>
      <c r="C948" s="126" t="s">
        <v>141</v>
      </c>
      <c r="D948" s="127">
        <v>14682.0</v>
      </c>
      <c r="E948" s="130"/>
      <c r="F948" s="33"/>
      <c r="G948" s="33"/>
      <c r="H948" s="33"/>
      <c r="I948" s="33"/>
      <c r="J948" s="3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98">
        <v>437.0</v>
      </c>
      <c r="B949" s="125" t="s">
        <v>1332</v>
      </c>
      <c r="C949" s="126" t="s">
        <v>141</v>
      </c>
      <c r="D949" s="127">
        <v>13599.0</v>
      </c>
      <c r="E949" s="130"/>
      <c r="F949" s="33"/>
      <c r="G949" s="33"/>
      <c r="H949" s="33"/>
      <c r="I949" s="33"/>
      <c r="J949" s="3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98">
        <v>438.0</v>
      </c>
      <c r="B950" s="125" t="s">
        <v>1333</v>
      </c>
      <c r="C950" s="131"/>
      <c r="D950" s="127">
        <v>18870.0</v>
      </c>
      <c r="E950" s="130"/>
      <c r="F950" s="33"/>
      <c r="G950" s="33"/>
      <c r="H950" s="33"/>
      <c r="I950" s="33"/>
      <c r="J950" s="3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98">
        <v>439.0</v>
      </c>
      <c r="B951" s="125" t="s">
        <v>1213</v>
      </c>
      <c r="C951" s="131"/>
      <c r="D951" s="127">
        <v>22146.0</v>
      </c>
      <c r="E951" s="128"/>
      <c r="F951" s="33"/>
      <c r="G951" s="33"/>
      <c r="H951" s="33"/>
      <c r="I951" s="33"/>
      <c r="J951" s="3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98">
        <v>440.0</v>
      </c>
      <c r="B952" s="125" t="s">
        <v>1334</v>
      </c>
      <c r="C952" s="126" t="s">
        <v>141</v>
      </c>
      <c r="D952" s="127">
        <v>12451.0</v>
      </c>
      <c r="E952" s="130"/>
      <c r="F952" s="33"/>
      <c r="G952" s="33"/>
      <c r="H952" s="33"/>
      <c r="I952" s="33"/>
      <c r="J952" s="3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98">
        <v>441.0</v>
      </c>
      <c r="B953" s="125" t="s">
        <v>1335</v>
      </c>
      <c r="C953" s="126" t="s">
        <v>141</v>
      </c>
      <c r="D953" s="127">
        <v>14736.0</v>
      </c>
      <c r="E953" s="130"/>
      <c r="F953" s="33"/>
      <c r="G953" s="33"/>
      <c r="H953" s="33"/>
      <c r="I953" s="33"/>
      <c r="J953" s="3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98">
        <v>442.0</v>
      </c>
      <c r="B954" s="125" t="s">
        <v>1336</v>
      </c>
      <c r="C954" s="126" t="s">
        <v>141</v>
      </c>
      <c r="D954" s="127">
        <v>22376.0</v>
      </c>
      <c r="E954" s="128"/>
      <c r="F954" s="33"/>
      <c r="G954" s="33"/>
      <c r="H954" s="33"/>
      <c r="I954" s="33"/>
      <c r="J954" s="3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98">
        <v>443.0</v>
      </c>
      <c r="B955" s="125" t="s">
        <v>1337</v>
      </c>
      <c r="C955" s="131"/>
      <c r="D955" s="127">
        <v>22632.0</v>
      </c>
      <c r="E955" s="128"/>
      <c r="F955" s="33"/>
      <c r="G955" s="33"/>
      <c r="H955" s="33"/>
      <c r="I955" s="33"/>
      <c r="J955" s="3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98">
        <v>444.0</v>
      </c>
      <c r="B956" s="125" t="s">
        <v>1338</v>
      </c>
      <c r="C956" s="126" t="s">
        <v>141</v>
      </c>
      <c r="D956" s="127">
        <v>15948.0</v>
      </c>
      <c r="E956" s="130"/>
      <c r="F956" s="33"/>
      <c r="G956" s="33"/>
      <c r="H956" s="33"/>
      <c r="I956" s="33"/>
      <c r="J956" s="3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98">
        <v>445.0</v>
      </c>
      <c r="B957" s="125" t="s">
        <v>1339</v>
      </c>
      <c r="C957" s="126" t="s">
        <v>141</v>
      </c>
      <c r="D957" s="127">
        <v>21084.0</v>
      </c>
      <c r="E957" s="128"/>
      <c r="F957" s="33"/>
      <c r="G957" s="33"/>
      <c r="H957" s="33"/>
      <c r="I957" s="33"/>
      <c r="J957" s="3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98">
        <v>446.0</v>
      </c>
      <c r="B958" s="125" t="s">
        <v>1340</v>
      </c>
      <c r="C958" s="131"/>
      <c r="D958" s="127">
        <v>22381.0</v>
      </c>
      <c r="E958" s="128"/>
      <c r="F958" s="33"/>
      <c r="G958" s="33"/>
      <c r="H958" s="33"/>
      <c r="I958" s="33"/>
      <c r="J958" s="3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98">
        <v>447.0</v>
      </c>
      <c r="B959" s="125" t="s">
        <v>1138</v>
      </c>
      <c r="C959" s="126" t="s">
        <v>141</v>
      </c>
      <c r="D959" s="127">
        <v>21838.0</v>
      </c>
      <c r="E959" s="128"/>
      <c r="F959" s="33"/>
      <c r="G959" s="33"/>
      <c r="H959" s="33"/>
      <c r="I959" s="33"/>
      <c r="J959" s="3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98">
        <v>448.0</v>
      </c>
      <c r="B960" s="125" t="s">
        <v>1341</v>
      </c>
      <c r="C960" s="126" t="s">
        <v>141</v>
      </c>
      <c r="D960" s="127">
        <v>20641.0</v>
      </c>
      <c r="E960" s="128"/>
      <c r="F960" s="33"/>
      <c r="G960" s="33"/>
      <c r="H960" s="33"/>
      <c r="I960" s="33"/>
      <c r="J960" s="3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98">
        <v>449.0</v>
      </c>
      <c r="B961" s="125" t="s">
        <v>1342</v>
      </c>
      <c r="C961" s="131"/>
      <c r="D961" s="127">
        <v>20122.0</v>
      </c>
      <c r="E961" s="128"/>
      <c r="F961" s="33"/>
      <c r="G961" s="33"/>
      <c r="H961" s="33"/>
      <c r="I961" s="33"/>
      <c r="J961" s="3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98">
        <v>450.0</v>
      </c>
      <c r="B962" s="125" t="s">
        <v>1135</v>
      </c>
      <c r="C962" s="126" t="s">
        <v>141</v>
      </c>
      <c r="D962" s="127">
        <v>18957.0</v>
      </c>
      <c r="E962" s="128"/>
      <c r="F962" s="33"/>
      <c r="G962" s="33"/>
      <c r="H962" s="33"/>
      <c r="I962" s="33"/>
      <c r="J962" s="3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98">
        <v>451.0</v>
      </c>
      <c r="B963" s="125" t="s">
        <v>1343</v>
      </c>
      <c r="C963" s="131"/>
      <c r="D963" s="127">
        <v>19647.0</v>
      </c>
      <c r="E963" s="128"/>
      <c r="F963" s="33"/>
      <c r="G963" s="33"/>
      <c r="H963" s="33"/>
      <c r="I963" s="33"/>
      <c r="J963" s="3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98">
        <v>452.0</v>
      </c>
      <c r="B964" s="125" t="s">
        <v>1344</v>
      </c>
      <c r="C964" s="131"/>
      <c r="D964" s="127">
        <v>15467.0</v>
      </c>
      <c r="E964" s="130"/>
      <c r="F964" s="33"/>
      <c r="G964" s="33"/>
      <c r="H964" s="33"/>
      <c r="I964" s="33"/>
      <c r="J964" s="3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98">
        <v>453.0</v>
      </c>
      <c r="B965" s="125" t="s">
        <v>977</v>
      </c>
      <c r="C965" s="131"/>
      <c r="D965" s="127">
        <v>22093.0</v>
      </c>
      <c r="E965" s="128"/>
      <c r="F965" s="33"/>
      <c r="G965" s="33"/>
      <c r="H965" s="33"/>
      <c r="I965" s="33"/>
      <c r="J965" s="3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98">
        <v>454.0</v>
      </c>
      <c r="B966" s="125" t="s">
        <v>1195</v>
      </c>
      <c r="C966" s="131"/>
      <c r="D966" s="127">
        <v>14717.0</v>
      </c>
      <c r="E966" s="132"/>
      <c r="F966" s="33"/>
      <c r="G966" s="33"/>
      <c r="H966" s="33"/>
      <c r="I966" s="33"/>
      <c r="J966" s="3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98">
        <v>455.0</v>
      </c>
      <c r="B967" s="125" t="s">
        <v>1152</v>
      </c>
      <c r="C967" s="131"/>
      <c r="D967" s="127">
        <v>22035.0</v>
      </c>
      <c r="E967" s="128"/>
      <c r="F967" s="33"/>
      <c r="G967" s="33"/>
      <c r="H967" s="33"/>
      <c r="I967" s="33"/>
      <c r="J967" s="3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98">
        <v>456.0</v>
      </c>
      <c r="B968" s="125" t="s">
        <v>1207</v>
      </c>
      <c r="C968" s="126" t="s">
        <v>141</v>
      </c>
      <c r="D968" s="127">
        <v>19128.0</v>
      </c>
      <c r="E968" s="128"/>
      <c r="F968" s="33"/>
      <c r="G968" s="33"/>
      <c r="H968" s="33"/>
      <c r="I968" s="33"/>
      <c r="J968" s="3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98">
        <v>457.0</v>
      </c>
      <c r="B969" s="125" t="s">
        <v>1345</v>
      </c>
      <c r="C969" s="126" t="s">
        <v>141</v>
      </c>
      <c r="D969" s="127">
        <v>13074.0</v>
      </c>
      <c r="E969" s="130"/>
      <c r="F969" s="33"/>
      <c r="G969" s="33"/>
      <c r="H969" s="33"/>
      <c r="I969" s="33"/>
      <c r="J969" s="3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98">
        <v>458.0</v>
      </c>
      <c r="B970" s="125" t="s">
        <v>1346</v>
      </c>
      <c r="C970" s="131"/>
      <c r="D970" s="127">
        <v>16654.0</v>
      </c>
      <c r="E970" s="130"/>
      <c r="F970" s="33"/>
      <c r="G970" s="33"/>
      <c r="H970" s="33"/>
      <c r="I970" s="33"/>
      <c r="J970" s="3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33"/>
      <c r="B971" s="131"/>
      <c r="C971" s="131"/>
      <c r="D971" s="2"/>
      <c r="E971" s="128"/>
      <c r="F971" s="33"/>
      <c r="G971" s="33"/>
      <c r="H971" s="33"/>
      <c r="I971" s="33"/>
      <c r="J971" s="3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33"/>
      <c r="B972" s="131"/>
      <c r="C972" s="2"/>
      <c r="D972" s="2"/>
      <c r="E972" s="128"/>
      <c r="F972" s="33"/>
      <c r="G972" s="33"/>
      <c r="H972" s="33"/>
      <c r="I972" s="33"/>
      <c r="J972" s="3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33"/>
      <c r="B973" s="2"/>
      <c r="C973" s="2"/>
      <c r="D973" s="2"/>
      <c r="E973" s="33"/>
      <c r="F973" s="33"/>
      <c r="G973" s="33"/>
      <c r="H973" s="33"/>
      <c r="I973" s="33"/>
      <c r="J973" s="3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33"/>
      <c r="B974" s="2"/>
      <c r="C974" s="2"/>
      <c r="D974" s="2"/>
      <c r="E974" s="33"/>
      <c r="F974" s="33"/>
      <c r="G974" s="33"/>
      <c r="H974" s="33"/>
      <c r="I974" s="33"/>
      <c r="J974" s="3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33"/>
      <c r="B975" s="2"/>
      <c r="C975" s="2"/>
      <c r="D975" s="2"/>
      <c r="E975" s="33"/>
      <c r="F975" s="33"/>
      <c r="G975" s="33"/>
      <c r="H975" s="33"/>
      <c r="I975" s="33"/>
      <c r="J975" s="3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33"/>
      <c r="B976" s="2"/>
      <c r="C976" s="2"/>
      <c r="D976" s="2"/>
      <c r="E976" s="33"/>
      <c r="F976" s="33"/>
      <c r="G976" s="33"/>
      <c r="H976" s="33"/>
      <c r="I976" s="33"/>
      <c r="J976" s="3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33"/>
      <c r="B977" s="2"/>
      <c r="C977" s="2"/>
      <c r="D977" s="2"/>
      <c r="E977" s="33"/>
      <c r="F977" s="33"/>
      <c r="G977" s="33"/>
      <c r="H977" s="33"/>
      <c r="I977" s="33"/>
      <c r="J977" s="3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33"/>
      <c r="B978" s="2"/>
      <c r="C978" s="2"/>
      <c r="D978" s="2"/>
      <c r="E978" s="33"/>
      <c r="F978" s="33"/>
      <c r="G978" s="33"/>
      <c r="H978" s="33"/>
      <c r="I978" s="33"/>
      <c r="J978" s="3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33"/>
      <c r="B979" s="2"/>
      <c r="C979" s="2"/>
      <c r="D979" s="2"/>
      <c r="E979" s="33"/>
      <c r="F979" s="33"/>
      <c r="G979" s="33"/>
      <c r="H979" s="33"/>
      <c r="I979" s="33"/>
      <c r="J979" s="3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33"/>
      <c r="B980" s="2"/>
      <c r="C980" s="2"/>
      <c r="D980" s="2"/>
      <c r="E980" s="33"/>
      <c r="F980" s="33"/>
      <c r="G980" s="33"/>
      <c r="H980" s="33"/>
      <c r="I980" s="33"/>
      <c r="J980" s="3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33"/>
      <c r="B981" s="2"/>
      <c r="C981" s="2"/>
      <c r="D981" s="2"/>
      <c r="E981" s="33"/>
      <c r="F981" s="33"/>
      <c r="G981" s="33"/>
      <c r="H981" s="33"/>
      <c r="I981" s="33"/>
      <c r="J981" s="3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33"/>
      <c r="B982" s="2"/>
      <c r="C982" s="2"/>
      <c r="D982" s="2"/>
      <c r="E982" s="33"/>
      <c r="F982" s="33"/>
      <c r="G982" s="33"/>
      <c r="H982" s="33"/>
      <c r="I982" s="33"/>
      <c r="J982" s="3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33"/>
      <c r="B983" s="2"/>
      <c r="C983" s="2"/>
      <c r="D983" s="2"/>
      <c r="E983" s="33"/>
      <c r="F983" s="33"/>
      <c r="G983" s="33"/>
      <c r="H983" s="33"/>
      <c r="I983" s="33"/>
      <c r="J983" s="3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33"/>
      <c r="B984" s="2"/>
      <c r="C984" s="2"/>
      <c r="D984" s="2"/>
      <c r="E984" s="33"/>
      <c r="F984" s="33"/>
      <c r="G984" s="33"/>
      <c r="H984" s="33"/>
      <c r="I984" s="33"/>
      <c r="J984" s="3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33"/>
      <c r="B985" s="2"/>
      <c r="C985" s="2"/>
      <c r="D985" s="2"/>
      <c r="E985" s="33"/>
      <c r="F985" s="33"/>
      <c r="G985" s="33"/>
      <c r="H985" s="33"/>
      <c r="I985" s="33"/>
      <c r="J985" s="3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33"/>
      <c r="B986" s="2"/>
      <c r="C986" s="2"/>
      <c r="D986" s="2"/>
      <c r="E986" s="33"/>
      <c r="F986" s="33"/>
      <c r="G986" s="33"/>
      <c r="H986" s="33"/>
      <c r="I986" s="33"/>
      <c r="J986" s="3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33"/>
      <c r="B987" s="2"/>
      <c r="C987" s="2"/>
      <c r="D987" s="2"/>
      <c r="E987" s="33"/>
      <c r="F987" s="33"/>
      <c r="G987" s="33"/>
      <c r="H987" s="33"/>
      <c r="I987" s="33"/>
      <c r="J987" s="3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33"/>
      <c r="B988" s="2"/>
      <c r="C988" s="2"/>
      <c r="D988" s="2"/>
      <c r="E988" s="33"/>
      <c r="F988" s="33"/>
      <c r="G988" s="33"/>
      <c r="H988" s="33"/>
      <c r="I988" s="33"/>
      <c r="J988" s="3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33"/>
      <c r="B989" s="2"/>
      <c r="C989" s="2"/>
      <c r="D989" s="2"/>
      <c r="E989" s="33"/>
      <c r="F989" s="33"/>
      <c r="G989" s="33"/>
      <c r="H989" s="33"/>
      <c r="I989" s="33"/>
      <c r="J989" s="3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33"/>
      <c r="B990" s="2"/>
      <c r="C990" s="2"/>
      <c r="D990" s="2"/>
      <c r="E990" s="33"/>
      <c r="F990" s="33"/>
      <c r="G990" s="33"/>
      <c r="H990" s="33"/>
      <c r="I990" s="33"/>
      <c r="J990" s="3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33"/>
      <c r="B991" s="2"/>
      <c r="C991" s="2"/>
      <c r="D991" s="2"/>
      <c r="E991" s="33"/>
      <c r="F991" s="33"/>
      <c r="G991" s="33"/>
      <c r="H991" s="33"/>
      <c r="I991" s="33"/>
      <c r="J991" s="3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33"/>
      <c r="B992" s="2"/>
      <c r="C992" s="2"/>
      <c r="D992" s="2"/>
      <c r="E992" s="33"/>
      <c r="F992" s="33"/>
      <c r="G992" s="33"/>
      <c r="H992" s="33"/>
      <c r="I992" s="33"/>
      <c r="J992" s="3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33"/>
      <c r="B993" s="2"/>
      <c r="C993" s="2"/>
      <c r="D993" s="2"/>
      <c r="E993" s="33"/>
      <c r="F993" s="33"/>
      <c r="G993" s="33"/>
      <c r="H993" s="33"/>
      <c r="I993" s="33"/>
      <c r="J993" s="3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33"/>
      <c r="B994" s="2"/>
      <c r="C994" s="2"/>
      <c r="D994" s="2"/>
      <c r="E994" s="33"/>
      <c r="F994" s="33"/>
      <c r="G994" s="33"/>
      <c r="H994" s="33"/>
      <c r="I994" s="33"/>
      <c r="J994" s="3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33"/>
      <c r="B995" s="2"/>
      <c r="C995" s="2"/>
      <c r="D995" s="2"/>
      <c r="E995" s="33"/>
      <c r="F995" s="33"/>
      <c r="G995" s="33"/>
      <c r="H995" s="33"/>
      <c r="I995" s="33"/>
      <c r="J995" s="3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33"/>
      <c r="B996" s="2"/>
      <c r="C996" s="2"/>
      <c r="D996" s="2"/>
      <c r="E996" s="33"/>
      <c r="F996" s="33"/>
      <c r="G996" s="33"/>
      <c r="H996" s="33"/>
      <c r="I996" s="33"/>
      <c r="J996" s="3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33"/>
      <c r="B997" s="2"/>
      <c r="C997" s="2"/>
      <c r="D997" s="2"/>
      <c r="E997" s="33"/>
      <c r="F997" s="33"/>
      <c r="G997" s="33"/>
      <c r="H997" s="33"/>
      <c r="I997" s="33"/>
      <c r="J997" s="3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33"/>
      <c r="B998" s="2"/>
      <c r="C998" s="2"/>
      <c r="D998" s="2"/>
      <c r="E998" s="33"/>
      <c r="F998" s="33"/>
      <c r="G998" s="33"/>
      <c r="H998" s="33"/>
      <c r="I998" s="33"/>
      <c r="J998" s="3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33"/>
      <c r="B999" s="2"/>
      <c r="C999" s="2"/>
      <c r="D999" s="2"/>
      <c r="E999" s="33"/>
      <c r="F999" s="33"/>
      <c r="G999" s="33"/>
      <c r="H999" s="33"/>
      <c r="I999" s="33"/>
      <c r="J999" s="3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33"/>
      <c r="B1000" s="2"/>
      <c r="C1000" s="2"/>
      <c r="D1000" s="2"/>
      <c r="E1000" s="33"/>
      <c r="F1000" s="33"/>
      <c r="G1000" s="33"/>
      <c r="H1000" s="33"/>
      <c r="I1000" s="33"/>
      <c r="J1000" s="3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33"/>
      <c r="B1001" s="2"/>
      <c r="C1001" s="2"/>
      <c r="D1001" s="2"/>
      <c r="E1001" s="33"/>
      <c r="F1001" s="33"/>
      <c r="G1001" s="33"/>
      <c r="H1001" s="33"/>
      <c r="I1001" s="33"/>
      <c r="J1001" s="33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33"/>
      <c r="B1002" s="2"/>
      <c r="C1002" s="2"/>
      <c r="D1002" s="2"/>
      <c r="E1002" s="33"/>
      <c r="F1002" s="33"/>
      <c r="G1002" s="33"/>
      <c r="H1002" s="33"/>
      <c r="I1002" s="33"/>
      <c r="J1002" s="33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33"/>
      <c r="B1003" s="2"/>
      <c r="C1003" s="2"/>
      <c r="D1003" s="2"/>
      <c r="E1003" s="33"/>
      <c r="F1003" s="33"/>
      <c r="G1003" s="33"/>
      <c r="H1003" s="33"/>
      <c r="I1003" s="33"/>
      <c r="J1003" s="33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33"/>
      <c r="B1004" s="2"/>
      <c r="C1004" s="2"/>
      <c r="D1004" s="2"/>
      <c r="E1004" s="33"/>
      <c r="F1004" s="33"/>
      <c r="G1004" s="33"/>
      <c r="H1004" s="33"/>
      <c r="I1004" s="33"/>
      <c r="J1004" s="33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33"/>
      <c r="B1005" s="2"/>
      <c r="C1005" s="2"/>
      <c r="D1005" s="2"/>
      <c r="E1005" s="33"/>
      <c r="F1005" s="33"/>
      <c r="G1005" s="33"/>
      <c r="H1005" s="33"/>
      <c r="I1005" s="33"/>
      <c r="J1005" s="33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33"/>
      <c r="B1006" s="2"/>
      <c r="C1006" s="2"/>
      <c r="D1006" s="2"/>
      <c r="E1006" s="33"/>
      <c r="F1006" s="33"/>
      <c r="G1006" s="33"/>
      <c r="H1006" s="33"/>
      <c r="I1006" s="33"/>
      <c r="J1006" s="33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33"/>
      <c r="B1007" s="2"/>
      <c r="C1007" s="2"/>
      <c r="D1007" s="2"/>
      <c r="E1007" s="33"/>
      <c r="F1007" s="33"/>
      <c r="G1007" s="33"/>
      <c r="H1007" s="33"/>
      <c r="I1007" s="33"/>
      <c r="J1007" s="33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33"/>
      <c r="B1008" s="2"/>
      <c r="C1008" s="2"/>
      <c r="D1008" s="2"/>
      <c r="E1008" s="33"/>
      <c r="F1008" s="33"/>
      <c r="G1008" s="33"/>
      <c r="H1008" s="33"/>
      <c r="I1008" s="33"/>
      <c r="J1008" s="33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33"/>
      <c r="B1009" s="2"/>
      <c r="C1009" s="2"/>
      <c r="D1009" s="2"/>
      <c r="E1009" s="33"/>
      <c r="F1009" s="33"/>
      <c r="G1009" s="33"/>
      <c r="H1009" s="33"/>
      <c r="I1009" s="33"/>
      <c r="J1009" s="33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33"/>
      <c r="B1010" s="2"/>
      <c r="C1010" s="2"/>
      <c r="D1010" s="2"/>
      <c r="E1010" s="33"/>
      <c r="F1010" s="33"/>
      <c r="G1010" s="33"/>
      <c r="H1010" s="33"/>
      <c r="I1010" s="33"/>
      <c r="J1010" s="33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33"/>
      <c r="B1011" s="2"/>
      <c r="C1011" s="2"/>
      <c r="D1011" s="2"/>
      <c r="E1011" s="33"/>
      <c r="F1011" s="33"/>
      <c r="G1011" s="33"/>
      <c r="H1011" s="33"/>
      <c r="I1011" s="33"/>
      <c r="J1011" s="33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33"/>
      <c r="B1012" s="2"/>
      <c r="C1012" s="2"/>
      <c r="D1012" s="2"/>
      <c r="E1012" s="33"/>
      <c r="F1012" s="33"/>
      <c r="G1012" s="33"/>
      <c r="H1012" s="33"/>
      <c r="I1012" s="33"/>
      <c r="J1012" s="33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33"/>
      <c r="B1013" s="2"/>
      <c r="C1013" s="2"/>
      <c r="D1013" s="2"/>
      <c r="E1013" s="33"/>
      <c r="F1013" s="33"/>
      <c r="G1013" s="33"/>
      <c r="H1013" s="33"/>
      <c r="I1013" s="33"/>
      <c r="J1013" s="33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33"/>
      <c r="B1014" s="2"/>
      <c r="C1014" s="2"/>
      <c r="D1014" s="2"/>
      <c r="E1014" s="33"/>
      <c r="F1014" s="33"/>
      <c r="G1014" s="33"/>
      <c r="H1014" s="33"/>
      <c r="I1014" s="33"/>
      <c r="J1014" s="33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33"/>
      <c r="B1015" s="2"/>
      <c r="C1015" s="2"/>
      <c r="D1015" s="2"/>
      <c r="E1015" s="33"/>
      <c r="F1015" s="33"/>
      <c r="G1015" s="33"/>
      <c r="H1015" s="33"/>
      <c r="I1015" s="33"/>
      <c r="J1015" s="33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33"/>
      <c r="B1016" s="2"/>
      <c r="C1016" s="2"/>
      <c r="D1016" s="2"/>
      <c r="E1016" s="33"/>
      <c r="F1016" s="33"/>
      <c r="G1016" s="33"/>
      <c r="H1016" s="33"/>
      <c r="I1016" s="33"/>
      <c r="J1016" s="33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33"/>
      <c r="B1017" s="2"/>
      <c r="C1017" s="2"/>
      <c r="D1017" s="2"/>
      <c r="E1017" s="33"/>
      <c r="F1017" s="33"/>
      <c r="G1017" s="33"/>
      <c r="H1017" s="33"/>
      <c r="I1017" s="33"/>
      <c r="J1017" s="33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33"/>
      <c r="B1018" s="2"/>
      <c r="C1018" s="2"/>
      <c r="D1018" s="2"/>
      <c r="E1018" s="33"/>
      <c r="F1018" s="33"/>
      <c r="G1018" s="33"/>
      <c r="H1018" s="33"/>
      <c r="I1018" s="33"/>
      <c r="J1018" s="33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33"/>
      <c r="B1019" s="2"/>
      <c r="C1019" s="2"/>
      <c r="D1019" s="2"/>
      <c r="E1019" s="33"/>
      <c r="F1019" s="33"/>
      <c r="G1019" s="33"/>
      <c r="H1019" s="33"/>
      <c r="I1019" s="33"/>
      <c r="J1019" s="33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33"/>
      <c r="B1020" s="2"/>
      <c r="C1020" s="2"/>
      <c r="D1020" s="2"/>
      <c r="E1020" s="33"/>
      <c r="F1020" s="33"/>
      <c r="G1020" s="33"/>
      <c r="H1020" s="33"/>
      <c r="I1020" s="33"/>
      <c r="J1020" s="33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33"/>
      <c r="B1021" s="2"/>
      <c r="C1021" s="2"/>
      <c r="D1021" s="2"/>
      <c r="E1021" s="33"/>
      <c r="F1021" s="33"/>
      <c r="G1021" s="33"/>
      <c r="H1021" s="33"/>
      <c r="I1021" s="33"/>
      <c r="J1021" s="33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33"/>
      <c r="B1022" s="2"/>
      <c r="C1022" s="2"/>
      <c r="D1022" s="2"/>
      <c r="E1022" s="33"/>
      <c r="F1022" s="33"/>
      <c r="G1022" s="33"/>
      <c r="H1022" s="33"/>
      <c r="I1022" s="33"/>
      <c r="J1022" s="33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33"/>
      <c r="B1023" s="2"/>
      <c r="C1023" s="2"/>
      <c r="D1023" s="2"/>
      <c r="E1023" s="33"/>
      <c r="F1023" s="33"/>
      <c r="G1023" s="33"/>
      <c r="H1023" s="33"/>
      <c r="I1023" s="33"/>
      <c r="J1023" s="33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33"/>
      <c r="B1024" s="2"/>
      <c r="C1024" s="2"/>
      <c r="D1024" s="2"/>
      <c r="E1024" s="33"/>
      <c r="F1024" s="33"/>
      <c r="G1024" s="33"/>
      <c r="H1024" s="33"/>
      <c r="I1024" s="33"/>
      <c r="J1024" s="33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33"/>
      <c r="B1025" s="2"/>
      <c r="C1025" s="2"/>
      <c r="D1025" s="2"/>
      <c r="E1025" s="33"/>
      <c r="F1025" s="33"/>
      <c r="G1025" s="33"/>
      <c r="H1025" s="33"/>
      <c r="I1025" s="33"/>
      <c r="J1025" s="33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33"/>
      <c r="B1026" s="2"/>
      <c r="C1026" s="2"/>
      <c r="D1026" s="2"/>
      <c r="E1026" s="33"/>
      <c r="F1026" s="33"/>
      <c r="G1026" s="33"/>
      <c r="H1026" s="33"/>
      <c r="I1026" s="33"/>
      <c r="J1026" s="33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33"/>
      <c r="B1027" s="2"/>
      <c r="C1027" s="2"/>
      <c r="D1027" s="2"/>
      <c r="E1027" s="33"/>
      <c r="F1027" s="33"/>
      <c r="G1027" s="33"/>
      <c r="H1027" s="33"/>
      <c r="I1027" s="33"/>
      <c r="J1027" s="33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33"/>
      <c r="B1028" s="2"/>
      <c r="C1028" s="2"/>
      <c r="D1028" s="2"/>
      <c r="E1028" s="33"/>
      <c r="F1028" s="33"/>
      <c r="G1028" s="33"/>
      <c r="H1028" s="33"/>
      <c r="I1028" s="33"/>
      <c r="J1028" s="33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33"/>
      <c r="B1029" s="2"/>
      <c r="C1029" s="2"/>
      <c r="D1029" s="2"/>
      <c r="E1029" s="33"/>
      <c r="F1029" s="33"/>
      <c r="G1029" s="33"/>
      <c r="H1029" s="33"/>
      <c r="I1029" s="33"/>
      <c r="J1029" s="33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33"/>
      <c r="B1030" s="2"/>
      <c r="C1030" s="2"/>
      <c r="D1030" s="2"/>
      <c r="E1030" s="33"/>
      <c r="F1030" s="33"/>
      <c r="G1030" s="33"/>
      <c r="H1030" s="33"/>
      <c r="I1030" s="33"/>
      <c r="J1030" s="33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33"/>
      <c r="B1031" s="2"/>
      <c r="C1031" s="2"/>
      <c r="D1031" s="2"/>
      <c r="E1031" s="33"/>
      <c r="F1031" s="33"/>
      <c r="G1031" s="33"/>
      <c r="H1031" s="33"/>
      <c r="I1031" s="33"/>
      <c r="J1031" s="33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33"/>
      <c r="B1032" s="2"/>
      <c r="C1032" s="2"/>
      <c r="D1032" s="2"/>
      <c r="E1032" s="33"/>
      <c r="F1032" s="33"/>
      <c r="G1032" s="33"/>
      <c r="H1032" s="33"/>
      <c r="I1032" s="33"/>
      <c r="J1032" s="33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33"/>
      <c r="B1033" s="2"/>
      <c r="C1033" s="2"/>
      <c r="D1033" s="2"/>
      <c r="E1033" s="33"/>
      <c r="F1033" s="33"/>
      <c r="G1033" s="33"/>
      <c r="H1033" s="33"/>
      <c r="I1033" s="33"/>
      <c r="J1033" s="33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33"/>
      <c r="B1034" s="2"/>
      <c r="C1034" s="2"/>
      <c r="D1034" s="2"/>
      <c r="E1034" s="33"/>
      <c r="F1034" s="33"/>
      <c r="G1034" s="33"/>
      <c r="H1034" s="33"/>
      <c r="I1034" s="33"/>
      <c r="J1034" s="33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33"/>
      <c r="B1035" s="2"/>
      <c r="C1035" s="2"/>
      <c r="D1035" s="2"/>
      <c r="E1035" s="33"/>
      <c r="F1035" s="33"/>
      <c r="G1035" s="33"/>
      <c r="H1035" s="33"/>
      <c r="I1035" s="33"/>
      <c r="J1035" s="33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33"/>
      <c r="B1036" s="2"/>
      <c r="C1036" s="2"/>
      <c r="D1036" s="2"/>
      <c r="E1036" s="33"/>
      <c r="F1036" s="33"/>
      <c r="G1036" s="33"/>
      <c r="H1036" s="33"/>
      <c r="I1036" s="33"/>
      <c r="J1036" s="33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33"/>
      <c r="B1037" s="2"/>
      <c r="C1037" s="2"/>
      <c r="D1037" s="2"/>
      <c r="E1037" s="33"/>
      <c r="F1037" s="33"/>
      <c r="G1037" s="33"/>
      <c r="H1037" s="33"/>
      <c r="I1037" s="33"/>
      <c r="J1037" s="33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33"/>
      <c r="B1038" s="2"/>
      <c r="C1038" s="2"/>
      <c r="D1038" s="2"/>
      <c r="E1038" s="33"/>
      <c r="F1038" s="33"/>
      <c r="G1038" s="33"/>
      <c r="H1038" s="33"/>
      <c r="I1038" s="33"/>
      <c r="J1038" s="33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33"/>
      <c r="B1039" s="2"/>
      <c r="C1039" s="2"/>
      <c r="D1039" s="2"/>
      <c r="E1039" s="33"/>
      <c r="F1039" s="33"/>
      <c r="G1039" s="33"/>
      <c r="H1039" s="33"/>
      <c r="I1039" s="33"/>
      <c r="J1039" s="33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33"/>
      <c r="B1040" s="2"/>
      <c r="C1040" s="2"/>
      <c r="D1040" s="2"/>
      <c r="E1040" s="33"/>
      <c r="F1040" s="33"/>
      <c r="G1040" s="33"/>
      <c r="H1040" s="33"/>
      <c r="I1040" s="33"/>
      <c r="J1040" s="33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33"/>
      <c r="B1041" s="2"/>
      <c r="C1041" s="2"/>
      <c r="D1041" s="2"/>
      <c r="E1041" s="33"/>
      <c r="F1041" s="33"/>
      <c r="G1041" s="33"/>
      <c r="H1041" s="33"/>
      <c r="I1041" s="33"/>
      <c r="J1041" s="33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33"/>
      <c r="B1042" s="2"/>
      <c r="C1042" s="2"/>
      <c r="D1042" s="2"/>
      <c r="E1042" s="33"/>
      <c r="F1042" s="33"/>
      <c r="G1042" s="33"/>
      <c r="H1042" s="33"/>
      <c r="I1042" s="33"/>
      <c r="J1042" s="33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33"/>
      <c r="B1043" s="2"/>
      <c r="C1043" s="2"/>
      <c r="D1043" s="2"/>
      <c r="E1043" s="33"/>
      <c r="F1043" s="33"/>
      <c r="G1043" s="33"/>
      <c r="H1043" s="33"/>
      <c r="I1043" s="33"/>
      <c r="J1043" s="33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33"/>
      <c r="B1044" s="2"/>
      <c r="C1044" s="2"/>
      <c r="D1044" s="2"/>
      <c r="E1044" s="33"/>
      <c r="F1044" s="33"/>
      <c r="G1044" s="33"/>
      <c r="H1044" s="33"/>
      <c r="I1044" s="33"/>
      <c r="J1044" s="33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33"/>
      <c r="B1045" s="2"/>
      <c r="C1045" s="2"/>
      <c r="D1045" s="2"/>
      <c r="E1045" s="33"/>
      <c r="F1045" s="33"/>
      <c r="G1045" s="33"/>
      <c r="H1045" s="33"/>
      <c r="I1045" s="33"/>
      <c r="J1045" s="33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33"/>
      <c r="B1046" s="2"/>
      <c r="C1046" s="2"/>
      <c r="D1046" s="2"/>
      <c r="E1046" s="33"/>
      <c r="F1046" s="33"/>
      <c r="G1046" s="33"/>
      <c r="H1046" s="33"/>
      <c r="I1046" s="33"/>
      <c r="J1046" s="33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33"/>
      <c r="B1047" s="2"/>
      <c r="C1047" s="2"/>
      <c r="D1047" s="2"/>
      <c r="E1047" s="33"/>
      <c r="F1047" s="33"/>
      <c r="G1047" s="33"/>
      <c r="H1047" s="33"/>
      <c r="I1047" s="33"/>
      <c r="J1047" s="33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33"/>
      <c r="B1048" s="2"/>
      <c r="C1048" s="2"/>
      <c r="D1048" s="2"/>
      <c r="E1048" s="33"/>
      <c r="F1048" s="33"/>
      <c r="G1048" s="33"/>
      <c r="H1048" s="33"/>
      <c r="I1048" s="33"/>
      <c r="J1048" s="33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33"/>
      <c r="B1049" s="2"/>
      <c r="C1049" s="2"/>
      <c r="D1049" s="2"/>
      <c r="E1049" s="33"/>
      <c r="F1049" s="33"/>
      <c r="G1049" s="33"/>
      <c r="H1049" s="33"/>
      <c r="I1049" s="33"/>
      <c r="J1049" s="33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33"/>
      <c r="B1050" s="2"/>
      <c r="C1050" s="2"/>
      <c r="D1050" s="2"/>
      <c r="E1050" s="33"/>
      <c r="F1050" s="33"/>
      <c r="G1050" s="33"/>
      <c r="H1050" s="33"/>
      <c r="I1050" s="33"/>
      <c r="J1050" s="33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33"/>
      <c r="B1051" s="2"/>
      <c r="C1051" s="2"/>
      <c r="D1051" s="2"/>
      <c r="E1051" s="33"/>
      <c r="F1051" s="33"/>
      <c r="G1051" s="33"/>
      <c r="H1051" s="33"/>
      <c r="I1051" s="33"/>
      <c r="J1051" s="33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33"/>
      <c r="B1052" s="2"/>
      <c r="C1052" s="2"/>
      <c r="D1052" s="2"/>
      <c r="E1052" s="33"/>
      <c r="F1052" s="33"/>
      <c r="G1052" s="33"/>
      <c r="H1052" s="33"/>
      <c r="I1052" s="33"/>
      <c r="J1052" s="33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33"/>
      <c r="B1053" s="2"/>
      <c r="C1053" s="2"/>
      <c r="D1053" s="2"/>
      <c r="E1053" s="33"/>
      <c r="F1053" s="33"/>
      <c r="G1053" s="33"/>
      <c r="H1053" s="33"/>
      <c r="I1053" s="33"/>
      <c r="J1053" s="33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33"/>
      <c r="B1054" s="2"/>
      <c r="C1054" s="2"/>
      <c r="D1054" s="2"/>
      <c r="E1054" s="33"/>
      <c r="F1054" s="33"/>
      <c r="G1054" s="33"/>
      <c r="H1054" s="33"/>
      <c r="I1054" s="33"/>
      <c r="J1054" s="33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33"/>
      <c r="B1055" s="2"/>
      <c r="C1055" s="2"/>
      <c r="D1055" s="2"/>
      <c r="E1055" s="33"/>
      <c r="F1055" s="33"/>
      <c r="G1055" s="33"/>
      <c r="H1055" s="33"/>
      <c r="I1055" s="33"/>
      <c r="J1055" s="33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33"/>
      <c r="B1056" s="2"/>
      <c r="C1056" s="2"/>
      <c r="D1056" s="2"/>
      <c r="E1056" s="33"/>
      <c r="F1056" s="33"/>
      <c r="G1056" s="33"/>
      <c r="H1056" s="33"/>
      <c r="I1056" s="33"/>
      <c r="J1056" s="33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33"/>
      <c r="B1057" s="2"/>
      <c r="C1057" s="2"/>
      <c r="D1057" s="2"/>
      <c r="E1057" s="33"/>
      <c r="F1057" s="33"/>
      <c r="G1057" s="33"/>
      <c r="H1057" s="33"/>
      <c r="I1057" s="33"/>
      <c r="J1057" s="33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33"/>
      <c r="B1058" s="2"/>
      <c r="C1058" s="2"/>
      <c r="D1058" s="2"/>
      <c r="E1058" s="33"/>
      <c r="F1058" s="33"/>
      <c r="G1058" s="33"/>
      <c r="H1058" s="33"/>
      <c r="I1058" s="33"/>
      <c r="J1058" s="33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33"/>
      <c r="B1059" s="2"/>
      <c r="C1059" s="2"/>
      <c r="D1059" s="2"/>
      <c r="E1059" s="33"/>
      <c r="F1059" s="33"/>
      <c r="G1059" s="33"/>
      <c r="H1059" s="33"/>
      <c r="I1059" s="33"/>
      <c r="J1059" s="33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33"/>
      <c r="B1060" s="2"/>
      <c r="C1060" s="2"/>
      <c r="D1060" s="2"/>
      <c r="E1060" s="33"/>
      <c r="F1060" s="33"/>
      <c r="G1060" s="33"/>
      <c r="H1060" s="33"/>
      <c r="I1060" s="33"/>
      <c r="J1060" s="33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33"/>
      <c r="B1061" s="2"/>
      <c r="C1061" s="2"/>
      <c r="D1061" s="2"/>
      <c r="E1061" s="33"/>
      <c r="F1061" s="33"/>
      <c r="G1061" s="33"/>
      <c r="H1061" s="33"/>
      <c r="I1061" s="33"/>
      <c r="J1061" s="33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33"/>
      <c r="B1062" s="2"/>
      <c r="C1062" s="2"/>
      <c r="D1062" s="2"/>
      <c r="E1062" s="33"/>
      <c r="F1062" s="33"/>
      <c r="G1062" s="33"/>
      <c r="H1062" s="33"/>
      <c r="I1062" s="33"/>
      <c r="J1062" s="33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33"/>
      <c r="B1063" s="2"/>
      <c r="C1063" s="2"/>
      <c r="D1063" s="2"/>
      <c r="E1063" s="33"/>
      <c r="F1063" s="33"/>
      <c r="G1063" s="33"/>
      <c r="H1063" s="33"/>
      <c r="I1063" s="33"/>
      <c r="J1063" s="33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33"/>
      <c r="B1064" s="2"/>
      <c r="C1064" s="2"/>
      <c r="D1064" s="2"/>
      <c r="E1064" s="33"/>
      <c r="F1064" s="33"/>
      <c r="G1064" s="33"/>
      <c r="H1064" s="33"/>
      <c r="I1064" s="33"/>
      <c r="J1064" s="33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33"/>
      <c r="B1065" s="2"/>
      <c r="C1065" s="2"/>
      <c r="D1065" s="2"/>
      <c r="E1065" s="33"/>
      <c r="F1065" s="33"/>
      <c r="G1065" s="33"/>
      <c r="H1065" s="33"/>
      <c r="I1065" s="33"/>
      <c r="J1065" s="33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33"/>
      <c r="B1066" s="2"/>
      <c r="C1066" s="2"/>
      <c r="D1066" s="2"/>
      <c r="E1066" s="33"/>
      <c r="F1066" s="33"/>
      <c r="G1066" s="33"/>
      <c r="H1066" s="33"/>
      <c r="I1066" s="33"/>
      <c r="J1066" s="33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33"/>
      <c r="B1067" s="2"/>
      <c r="C1067" s="2"/>
      <c r="D1067" s="2"/>
      <c r="E1067" s="33"/>
      <c r="F1067" s="33"/>
      <c r="G1067" s="33"/>
      <c r="H1067" s="33"/>
      <c r="I1067" s="33"/>
      <c r="J1067" s="33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33"/>
      <c r="B1068" s="2"/>
      <c r="C1068" s="2"/>
      <c r="D1068" s="2"/>
      <c r="E1068" s="33"/>
      <c r="F1068" s="33"/>
      <c r="G1068" s="33"/>
      <c r="H1068" s="33"/>
      <c r="I1068" s="33"/>
      <c r="J1068" s="33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33"/>
      <c r="B1069" s="2"/>
      <c r="C1069" s="2"/>
      <c r="D1069" s="2"/>
      <c r="E1069" s="33"/>
      <c r="F1069" s="33"/>
      <c r="G1069" s="33"/>
      <c r="H1069" s="33"/>
      <c r="I1069" s="33"/>
      <c r="J1069" s="33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33"/>
      <c r="B1070" s="2"/>
      <c r="C1070" s="2"/>
      <c r="D1070" s="2"/>
      <c r="E1070" s="33"/>
      <c r="F1070" s="33"/>
      <c r="G1070" s="33"/>
      <c r="H1070" s="33"/>
      <c r="I1070" s="33"/>
      <c r="J1070" s="33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33"/>
      <c r="B1071" s="2"/>
      <c r="C1071" s="2"/>
      <c r="D1071" s="2"/>
      <c r="E1071" s="33"/>
      <c r="F1071" s="33"/>
      <c r="G1071" s="33"/>
      <c r="H1071" s="33"/>
      <c r="I1071" s="33"/>
      <c r="J1071" s="33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33"/>
      <c r="B1072" s="2"/>
      <c r="C1072" s="2"/>
      <c r="D1072" s="2"/>
      <c r="E1072" s="33"/>
      <c r="F1072" s="33"/>
      <c r="G1072" s="33"/>
      <c r="H1072" s="33"/>
      <c r="I1072" s="33"/>
      <c r="J1072" s="33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33"/>
      <c r="B1073" s="2"/>
      <c r="C1073" s="2"/>
      <c r="D1073" s="2"/>
      <c r="E1073" s="33"/>
      <c r="F1073" s="33"/>
      <c r="G1073" s="33"/>
      <c r="H1073" s="33"/>
      <c r="I1073" s="33"/>
      <c r="J1073" s="33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33"/>
      <c r="B1074" s="2"/>
      <c r="C1074" s="2"/>
      <c r="D1074" s="2"/>
      <c r="E1074" s="33"/>
      <c r="F1074" s="33"/>
      <c r="G1074" s="33"/>
      <c r="H1074" s="33"/>
      <c r="I1074" s="33"/>
      <c r="J1074" s="33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33"/>
      <c r="B1075" s="2"/>
      <c r="C1075" s="2"/>
      <c r="D1075" s="2"/>
      <c r="E1075" s="33"/>
      <c r="F1075" s="33"/>
      <c r="G1075" s="33"/>
      <c r="H1075" s="33"/>
      <c r="I1075" s="33"/>
      <c r="J1075" s="33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33"/>
      <c r="B1076" s="2"/>
      <c r="C1076" s="2"/>
      <c r="D1076" s="2"/>
      <c r="E1076" s="33"/>
      <c r="F1076" s="33"/>
      <c r="G1076" s="33"/>
      <c r="H1076" s="33"/>
      <c r="I1076" s="33"/>
      <c r="J1076" s="33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33"/>
      <c r="B1077" s="2"/>
      <c r="C1077" s="2"/>
      <c r="D1077" s="2"/>
      <c r="E1077" s="33"/>
      <c r="F1077" s="33"/>
      <c r="G1077" s="33"/>
      <c r="H1077" s="33"/>
      <c r="I1077" s="33"/>
      <c r="J1077" s="33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33"/>
      <c r="B1078" s="2"/>
      <c r="C1078" s="2"/>
      <c r="D1078" s="2"/>
      <c r="E1078" s="33"/>
      <c r="F1078" s="33"/>
      <c r="G1078" s="33"/>
      <c r="H1078" s="33"/>
      <c r="I1078" s="33"/>
      <c r="J1078" s="33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33"/>
      <c r="B1079" s="2"/>
      <c r="C1079" s="2"/>
      <c r="D1079" s="2"/>
      <c r="E1079" s="33"/>
      <c r="F1079" s="33"/>
      <c r="G1079" s="33"/>
      <c r="H1079" s="33"/>
      <c r="I1079" s="33"/>
      <c r="J1079" s="33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33"/>
      <c r="B1080" s="2"/>
      <c r="C1080" s="2"/>
      <c r="D1080" s="2"/>
      <c r="E1080" s="33"/>
      <c r="F1080" s="33"/>
      <c r="G1080" s="33"/>
      <c r="H1080" s="33"/>
      <c r="I1080" s="33"/>
      <c r="J1080" s="33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33"/>
      <c r="B1081" s="2"/>
      <c r="C1081" s="2"/>
      <c r="D1081" s="2"/>
      <c r="E1081" s="33"/>
      <c r="F1081" s="33"/>
      <c r="G1081" s="33"/>
      <c r="H1081" s="33"/>
      <c r="I1081" s="33"/>
      <c r="J1081" s="33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33"/>
      <c r="B1082" s="2"/>
      <c r="C1082" s="2"/>
      <c r="D1082" s="2"/>
      <c r="E1082" s="33"/>
      <c r="F1082" s="33"/>
      <c r="G1082" s="33"/>
      <c r="H1082" s="33"/>
      <c r="I1082" s="33"/>
      <c r="J1082" s="33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33"/>
      <c r="B1083" s="2"/>
      <c r="C1083" s="2"/>
      <c r="D1083" s="2"/>
      <c r="E1083" s="33"/>
      <c r="F1083" s="33"/>
      <c r="G1083" s="33"/>
      <c r="H1083" s="33"/>
      <c r="I1083" s="33"/>
      <c r="J1083" s="33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33"/>
      <c r="B1084" s="2"/>
      <c r="C1084" s="2"/>
      <c r="D1084" s="2"/>
      <c r="E1084" s="33"/>
      <c r="F1084" s="33"/>
      <c r="G1084" s="33"/>
      <c r="H1084" s="33"/>
      <c r="I1084" s="33"/>
      <c r="J1084" s="33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33"/>
      <c r="B1085" s="2"/>
      <c r="C1085" s="2"/>
      <c r="D1085" s="2"/>
      <c r="E1085" s="33"/>
      <c r="F1085" s="33"/>
      <c r="G1085" s="33"/>
      <c r="H1085" s="33"/>
      <c r="I1085" s="33"/>
      <c r="J1085" s="33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33"/>
      <c r="B1086" s="2"/>
      <c r="C1086" s="2"/>
      <c r="D1086" s="2"/>
      <c r="E1086" s="33"/>
      <c r="F1086" s="33"/>
      <c r="G1086" s="33"/>
      <c r="H1086" s="33"/>
      <c r="I1086" s="33"/>
      <c r="J1086" s="33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33"/>
      <c r="B1087" s="2"/>
      <c r="C1087" s="2"/>
      <c r="D1087" s="2"/>
      <c r="E1087" s="33"/>
      <c r="F1087" s="33"/>
      <c r="G1087" s="33"/>
      <c r="H1087" s="33"/>
      <c r="I1087" s="33"/>
      <c r="J1087" s="33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33"/>
      <c r="B1088" s="2"/>
      <c r="C1088" s="2"/>
      <c r="D1088" s="2"/>
      <c r="E1088" s="33"/>
      <c r="F1088" s="33"/>
      <c r="G1088" s="33"/>
      <c r="H1088" s="33"/>
      <c r="I1088" s="33"/>
      <c r="J1088" s="33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33"/>
      <c r="B1089" s="2"/>
      <c r="C1089" s="2"/>
      <c r="D1089" s="2"/>
      <c r="E1089" s="33"/>
      <c r="F1089" s="33"/>
      <c r="G1089" s="33"/>
      <c r="H1089" s="33"/>
      <c r="I1089" s="33"/>
      <c r="J1089" s="33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33"/>
      <c r="B1090" s="2"/>
      <c r="C1090" s="2"/>
      <c r="D1090" s="2"/>
      <c r="E1090" s="33"/>
      <c r="F1090" s="33"/>
      <c r="G1090" s="33"/>
      <c r="H1090" s="33"/>
      <c r="I1090" s="33"/>
      <c r="J1090" s="33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33"/>
      <c r="B1091" s="2"/>
      <c r="C1091" s="2"/>
      <c r="D1091" s="2"/>
      <c r="E1091" s="33"/>
      <c r="F1091" s="33"/>
      <c r="G1091" s="33"/>
      <c r="H1091" s="33"/>
      <c r="I1091" s="33"/>
      <c r="J1091" s="33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33"/>
      <c r="B1092" s="2"/>
      <c r="C1092" s="2"/>
      <c r="D1092" s="2"/>
      <c r="E1092" s="33"/>
      <c r="F1092" s="33"/>
      <c r="G1092" s="33"/>
      <c r="H1092" s="33"/>
      <c r="I1092" s="33"/>
      <c r="J1092" s="33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33"/>
      <c r="B1093" s="2"/>
      <c r="C1093" s="2"/>
      <c r="D1093" s="2"/>
      <c r="E1093" s="33"/>
      <c r="F1093" s="33"/>
      <c r="G1093" s="33"/>
      <c r="H1093" s="33"/>
      <c r="I1093" s="33"/>
      <c r="J1093" s="33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33"/>
      <c r="B1094" s="2"/>
      <c r="C1094" s="2"/>
      <c r="D1094" s="2"/>
      <c r="E1094" s="33"/>
      <c r="F1094" s="33"/>
      <c r="G1094" s="33"/>
      <c r="H1094" s="33"/>
      <c r="I1094" s="33"/>
      <c r="J1094" s="33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33"/>
      <c r="B1095" s="2"/>
      <c r="C1095" s="2"/>
      <c r="D1095" s="2"/>
      <c r="E1095" s="33"/>
      <c r="F1095" s="33"/>
      <c r="G1095" s="33"/>
      <c r="H1095" s="33"/>
      <c r="I1095" s="33"/>
      <c r="J1095" s="33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33"/>
      <c r="B1096" s="2"/>
      <c r="C1096" s="2"/>
      <c r="D1096" s="2"/>
      <c r="E1096" s="33"/>
      <c r="F1096" s="33"/>
      <c r="G1096" s="33"/>
      <c r="H1096" s="33"/>
      <c r="I1096" s="33"/>
      <c r="J1096" s="33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33"/>
      <c r="B1097" s="2"/>
      <c r="C1097" s="2"/>
      <c r="D1097" s="2"/>
      <c r="E1097" s="33"/>
      <c r="F1097" s="33"/>
      <c r="G1097" s="33"/>
      <c r="H1097" s="33"/>
      <c r="I1097" s="33"/>
      <c r="J1097" s="33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33"/>
      <c r="B1098" s="2"/>
      <c r="C1098" s="2"/>
      <c r="D1098" s="2"/>
      <c r="E1098" s="33"/>
      <c r="F1098" s="33"/>
      <c r="G1098" s="33"/>
      <c r="H1098" s="33"/>
      <c r="I1098" s="33"/>
      <c r="J1098" s="33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33"/>
      <c r="B1099" s="2"/>
      <c r="C1099" s="2"/>
      <c r="D1099" s="2"/>
      <c r="E1099" s="33"/>
      <c r="F1099" s="33"/>
      <c r="G1099" s="33"/>
      <c r="H1099" s="33"/>
      <c r="I1099" s="33"/>
      <c r="J1099" s="33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33"/>
      <c r="B1100" s="2"/>
      <c r="C1100" s="2"/>
      <c r="D1100" s="2"/>
      <c r="E1100" s="33"/>
      <c r="F1100" s="33"/>
      <c r="G1100" s="33"/>
      <c r="H1100" s="33"/>
      <c r="I1100" s="33"/>
      <c r="J1100" s="33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33"/>
      <c r="B1101" s="2"/>
      <c r="C1101" s="2"/>
      <c r="D1101" s="2"/>
      <c r="E1101" s="33"/>
      <c r="F1101" s="33"/>
      <c r="G1101" s="33"/>
      <c r="H1101" s="33"/>
      <c r="I1101" s="33"/>
      <c r="J1101" s="33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33"/>
      <c r="B1102" s="2"/>
      <c r="C1102" s="2"/>
      <c r="D1102" s="2"/>
      <c r="E1102" s="33"/>
      <c r="F1102" s="33"/>
      <c r="G1102" s="33"/>
      <c r="H1102" s="33"/>
      <c r="I1102" s="33"/>
      <c r="J1102" s="33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33"/>
      <c r="B1103" s="2"/>
      <c r="C1103" s="2"/>
      <c r="D1103" s="2"/>
      <c r="E1103" s="33"/>
      <c r="F1103" s="33"/>
      <c r="G1103" s="33"/>
      <c r="H1103" s="33"/>
      <c r="I1103" s="33"/>
      <c r="J1103" s="33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33"/>
      <c r="B1104" s="2"/>
      <c r="C1104" s="2"/>
      <c r="D1104" s="2"/>
      <c r="E1104" s="33"/>
      <c r="F1104" s="33"/>
      <c r="G1104" s="33"/>
      <c r="H1104" s="33"/>
      <c r="I1104" s="33"/>
      <c r="J1104" s="33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33"/>
      <c r="B1105" s="2"/>
      <c r="C1105" s="2"/>
      <c r="D1105" s="2"/>
      <c r="E1105" s="33"/>
      <c r="F1105" s="33"/>
      <c r="G1105" s="33"/>
      <c r="H1105" s="33"/>
      <c r="I1105" s="33"/>
      <c r="J1105" s="33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33"/>
      <c r="B1106" s="2"/>
      <c r="C1106" s="2"/>
      <c r="D1106" s="2"/>
      <c r="E1106" s="33"/>
      <c r="F1106" s="33"/>
      <c r="G1106" s="33"/>
      <c r="H1106" s="33"/>
      <c r="I1106" s="33"/>
      <c r="J1106" s="33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33"/>
      <c r="B1107" s="2"/>
      <c r="C1107" s="2"/>
      <c r="D1107" s="2"/>
      <c r="E1107" s="33"/>
      <c r="F1107" s="33"/>
      <c r="G1107" s="33"/>
      <c r="H1107" s="33"/>
      <c r="I1107" s="33"/>
      <c r="J1107" s="33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33"/>
      <c r="B1108" s="2"/>
      <c r="C1108" s="2"/>
      <c r="D1108" s="2"/>
      <c r="E1108" s="33"/>
      <c r="F1108" s="33"/>
      <c r="G1108" s="33"/>
      <c r="H1108" s="33"/>
      <c r="I1108" s="33"/>
      <c r="J1108" s="33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33"/>
      <c r="B1109" s="2"/>
      <c r="C1109" s="2"/>
      <c r="D1109" s="2"/>
      <c r="E1109" s="33"/>
      <c r="F1109" s="33"/>
      <c r="G1109" s="33"/>
      <c r="H1109" s="33"/>
      <c r="I1109" s="33"/>
      <c r="J1109" s="33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33"/>
      <c r="B1110" s="2"/>
      <c r="C1110" s="2"/>
      <c r="D1110" s="2"/>
      <c r="E1110" s="33"/>
      <c r="F1110" s="33"/>
      <c r="G1110" s="33"/>
      <c r="H1110" s="33"/>
      <c r="I1110" s="33"/>
      <c r="J1110" s="33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33"/>
      <c r="B1111" s="2"/>
      <c r="C1111" s="2"/>
      <c r="D1111" s="2"/>
      <c r="E1111" s="33"/>
      <c r="F1111" s="33"/>
      <c r="G1111" s="33"/>
      <c r="H1111" s="33"/>
      <c r="I1111" s="33"/>
      <c r="J1111" s="33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33"/>
      <c r="B1112" s="2"/>
      <c r="C1112" s="2"/>
      <c r="D1112" s="2"/>
      <c r="E1112" s="33"/>
      <c r="F1112" s="33"/>
      <c r="G1112" s="33"/>
      <c r="H1112" s="33"/>
      <c r="I1112" s="33"/>
      <c r="J1112" s="33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33"/>
      <c r="B1113" s="2"/>
      <c r="C1113" s="2"/>
      <c r="D1113" s="2"/>
      <c r="E1113" s="33"/>
      <c r="F1113" s="33"/>
      <c r="G1113" s="33"/>
      <c r="H1113" s="33"/>
      <c r="I1113" s="33"/>
      <c r="J1113" s="33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33"/>
      <c r="B1114" s="2"/>
      <c r="C1114" s="2"/>
      <c r="D1114" s="2"/>
      <c r="E1114" s="33"/>
      <c r="F1114" s="33"/>
      <c r="G1114" s="33"/>
      <c r="H1114" s="33"/>
      <c r="I1114" s="33"/>
      <c r="J1114" s="33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33"/>
      <c r="B1115" s="2"/>
      <c r="C1115" s="2"/>
      <c r="D1115" s="2"/>
      <c r="E1115" s="33"/>
      <c r="F1115" s="33"/>
      <c r="G1115" s="33"/>
      <c r="H1115" s="33"/>
      <c r="I1115" s="33"/>
      <c r="J1115" s="33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33"/>
      <c r="B1116" s="2"/>
      <c r="C1116" s="2"/>
      <c r="D1116" s="2"/>
      <c r="E1116" s="33"/>
      <c r="F1116" s="33"/>
      <c r="G1116" s="33"/>
      <c r="H1116" s="33"/>
      <c r="I1116" s="33"/>
      <c r="J1116" s="33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33"/>
      <c r="B1117" s="2"/>
      <c r="C1117" s="2"/>
      <c r="D1117" s="2"/>
      <c r="E1117" s="33"/>
      <c r="F1117" s="33"/>
      <c r="G1117" s="33"/>
      <c r="H1117" s="33"/>
      <c r="I1117" s="33"/>
      <c r="J1117" s="33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33"/>
      <c r="B1118" s="2"/>
      <c r="C1118" s="2"/>
      <c r="D1118" s="2"/>
      <c r="E1118" s="33"/>
      <c r="F1118" s="33"/>
      <c r="G1118" s="33"/>
      <c r="H1118" s="33"/>
      <c r="I1118" s="33"/>
      <c r="J1118" s="33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33"/>
      <c r="B1119" s="2"/>
      <c r="C1119" s="2"/>
      <c r="D1119" s="2"/>
      <c r="E1119" s="33"/>
      <c r="F1119" s="33"/>
      <c r="G1119" s="33"/>
      <c r="H1119" s="33"/>
      <c r="I1119" s="33"/>
      <c r="J1119" s="33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33"/>
      <c r="B1120" s="2"/>
      <c r="C1120" s="2"/>
      <c r="D1120" s="2"/>
      <c r="E1120" s="33"/>
      <c r="F1120" s="33"/>
      <c r="G1120" s="33"/>
      <c r="H1120" s="33"/>
      <c r="I1120" s="33"/>
      <c r="J1120" s="33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33"/>
      <c r="B1121" s="2"/>
      <c r="C1121" s="2"/>
      <c r="D1121" s="2"/>
      <c r="E1121" s="33"/>
      <c r="F1121" s="33"/>
      <c r="G1121" s="33"/>
      <c r="H1121" s="33"/>
      <c r="I1121" s="33"/>
      <c r="J1121" s="33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33"/>
      <c r="B1122" s="2"/>
      <c r="C1122" s="2"/>
      <c r="D1122" s="2"/>
      <c r="E1122" s="33"/>
      <c r="F1122" s="33"/>
      <c r="G1122" s="33"/>
      <c r="H1122" s="33"/>
      <c r="I1122" s="33"/>
      <c r="J1122" s="33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33"/>
      <c r="B1123" s="2"/>
      <c r="C1123" s="2"/>
      <c r="D1123" s="2"/>
      <c r="E1123" s="33"/>
      <c r="F1123" s="33"/>
      <c r="G1123" s="33"/>
      <c r="H1123" s="33"/>
      <c r="I1123" s="33"/>
      <c r="J1123" s="33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33"/>
      <c r="B1124" s="2"/>
      <c r="C1124" s="2"/>
      <c r="D1124" s="2"/>
      <c r="E1124" s="33"/>
      <c r="F1124" s="33"/>
      <c r="G1124" s="33"/>
      <c r="H1124" s="33"/>
      <c r="I1124" s="33"/>
      <c r="J1124" s="33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33"/>
      <c r="B1125" s="2"/>
      <c r="C1125" s="2"/>
      <c r="D1125" s="2"/>
      <c r="E1125" s="33"/>
      <c r="F1125" s="33"/>
      <c r="G1125" s="33"/>
      <c r="H1125" s="33"/>
      <c r="I1125" s="33"/>
      <c r="J1125" s="33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33"/>
      <c r="B1126" s="2"/>
      <c r="C1126" s="2"/>
      <c r="D1126" s="2"/>
      <c r="E1126" s="33"/>
      <c r="F1126" s="33"/>
      <c r="G1126" s="33"/>
      <c r="H1126" s="33"/>
      <c r="I1126" s="33"/>
      <c r="J1126" s="33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33"/>
      <c r="B1127" s="2"/>
      <c r="C1127" s="2"/>
      <c r="D1127" s="2"/>
      <c r="E1127" s="33"/>
      <c r="F1127" s="33"/>
      <c r="G1127" s="33"/>
      <c r="H1127" s="33"/>
      <c r="I1127" s="33"/>
      <c r="J1127" s="33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33"/>
      <c r="B1128" s="2"/>
      <c r="C1128" s="2"/>
      <c r="D1128" s="2"/>
      <c r="E1128" s="33"/>
      <c r="F1128" s="33"/>
      <c r="G1128" s="33"/>
      <c r="H1128" s="33"/>
      <c r="I1128" s="33"/>
      <c r="J1128" s="33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33"/>
      <c r="B1129" s="2"/>
      <c r="C1129" s="2"/>
      <c r="D1129" s="2"/>
      <c r="E1129" s="33"/>
      <c r="F1129" s="33"/>
      <c r="G1129" s="33"/>
      <c r="H1129" s="33"/>
      <c r="I1129" s="33"/>
      <c r="J1129" s="33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33"/>
      <c r="B1130" s="2"/>
      <c r="C1130" s="2"/>
      <c r="D1130" s="2"/>
      <c r="E1130" s="33"/>
      <c r="F1130" s="33"/>
      <c r="G1130" s="33"/>
      <c r="H1130" s="33"/>
      <c r="I1130" s="33"/>
      <c r="J1130" s="33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33"/>
      <c r="B1131" s="2"/>
      <c r="C1131" s="2"/>
      <c r="D1131" s="2"/>
      <c r="E1131" s="33"/>
      <c r="F1131" s="33"/>
      <c r="G1131" s="33"/>
      <c r="H1131" s="33"/>
      <c r="I1131" s="33"/>
      <c r="J1131" s="33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33"/>
      <c r="B1132" s="2"/>
      <c r="C1132" s="2"/>
      <c r="D1132" s="2"/>
      <c r="E1132" s="33"/>
      <c r="F1132" s="33"/>
      <c r="G1132" s="33"/>
      <c r="H1132" s="33"/>
      <c r="I1132" s="33"/>
      <c r="J1132" s="33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33"/>
      <c r="B1133" s="2"/>
      <c r="C1133" s="2"/>
      <c r="D1133" s="2"/>
      <c r="E1133" s="33"/>
      <c r="F1133" s="33"/>
      <c r="G1133" s="33"/>
      <c r="H1133" s="33"/>
      <c r="I1133" s="33"/>
      <c r="J1133" s="33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33"/>
      <c r="B1134" s="2"/>
      <c r="C1134" s="2"/>
      <c r="D1134" s="2"/>
      <c r="E1134" s="33"/>
      <c r="F1134" s="33"/>
      <c r="G1134" s="33"/>
      <c r="H1134" s="33"/>
      <c r="I1134" s="33"/>
      <c r="J1134" s="33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33"/>
      <c r="B1135" s="2"/>
      <c r="C1135" s="2"/>
      <c r="D1135" s="2"/>
      <c r="E1135" s="33"/>
      <c r="F1135" s="33"/>
      <c r="G1135" s="33"/>
      <c r="H1135" s="33"/>
      <c r="I1135" s="33"/>
      <c r="J1135" s="33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33"/>
      <c r="B1136" s="2"/>
      <c r="C1136" s="2"/>
      <c r="D1136" s="2"/>
      <c r="E1136" s="33"/>
      <c r="F1136" s="33"/>
      <c r="G1136" s="33"/>
      <c r="H1136" s="33"/>
      <c r="I1136" s="33"/>
      <c r="J1136" s="33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33"/>
      <c r="B1137" s="2"/>
      <c r="C1137" s="2"/>
      <c r="D1137" s="2"/>
      <c r="E1137" s="33"/>
      <c r="F1137" s="33"/>
      <c r="G1137" s="33"/>
      <c r="H1137" s="33"/>
      <c r="I1137" s="33"/>
      <c r="J1137" s="33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33"/>
      <c r="B1138" s="2"/>
      <c r="C1138" s="2"/>
      <c r="D1138" s="2"/>
      <c r="E1138" s="33"/>
      <c r="F1138" s="33"/>
      <c r="G1138" s="33"/>
      <c r="H1138" s="33"/>
      <c r="I1138" s="33"/>
      <c r="J1138" s="33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33"/>
      <c r="B1139" s="2"/>
      <c r="C1139" s="2"/>
      <c r="D1139" s="2"/>
      <c r="E1139" s="33"/>
      <c r="F1139" s="33"/>
      <c r="G1139" s="33"/>
      <c r="H1139" s="33"/>
      <c r="I1139" s="33"/>
      <c r="J1139" s="33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33"/>
      <c r="B1140" s="2"/>
      <c r="C1140" s="2"/>
      <c r="D1140" s="2"/>
      <c r="E1140" s="33"/>
      <c r="F1140" s="33"/>
      <c r="G1140" s="33"/>
      <c r="H1140" s="33"/>
      <c r="I1140" s="33"/>
      <c r="J1140" s="33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33"/>
      <c r="B1141" s="2"/>
      <c r="C1141" s="2"/>
      <c r="D1141" s="2"/>
      <c r="E1141" s="33"/>
      <c r="F1141" s="33"/>
      <c r="G1141" s="33"/>
      <c r="H1141" s="33"/>
      <c r="I1141" s="33"/>
      <c r="J1141" s="33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33"/>
      <c r="B1142" s="2"/>
      <c r="C1142" s="2"/>
      <c r="D1142" s="2"/>
      <c r="E1142" s="33"/>
      <c r="F1142" s="33"/>
      <c r="G1142" s="33"/>
      <c r="H1142" s="33"/>
      <c r="I1142" s="33"/>
      <c r="J1142" s="33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33"/>
      <c r="B1143" s="2"/>
      <c r="C1143" s="2"/>
      <c r="D1143" s="2"/>
      <c r="E1143" s="33"/>
      <c r="F1143" s="33"/>
      <c r="G1143" s="33"/>
      <c r="H1143" s="33"/>
      <c r="I1143" s="33"/>
      <c r="J1143" s="33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33"/>
      <c r="B1144" s="2"/>
      <c r="C1144" s="2"/>
      <c r="D1144" s="2"/>
      <c r="E1144" s="33"/>
      <c r="F1144" s="33"/>
      <c r="G1144" s="33"/>
      <c r="H1144" s="33"/>
      <c r="I1144" s="33"/>
      <c r="J1144" s="33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33"/>
      <c r="B1145" s="2"/>
      <c r="C1145" s="2"/>
      <c r="D1145" s="2"/>
      <c r="E1145" s="33"/>
      <c r="F1145" s="33"/>
      <c r="G1145" s="33"/>
      <c r="H1145" s="33"/>
      <c r="I1145" s="33"/>
      <c r="J1145" s="33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33"/>
      <c r="B1146" s="2"/>
      <c r="C1146" s="2"/>
      <c r="D1146" s="2"/>
      <c r="E1146" s="33"/>
      <c r="F1146" s="33"/>
      <c r="G1146" s="33"/>
      <c r="H1146" s="33"/>
      <c r="I1146" s="33"/>
      <c r="J1146" s="33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33"/>
      <c r="B1147" s="2"/>
      <c r="C1147" s="2"/>
      <c r="D1147" s="2"/>
      <c r="E1147" s="33"/>
      <c r="F1147" s="33"/>
      <c r="G1147" s="33"/>
      <c r="H1147" s="33"/>
      <c r="I1147" s="33"/>
      <c r="J1147" s="33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33"/>
      <c r="B1148" s="2"/>
      <c r="C1148" s="2"/>
      <c r="D1148" s="2"/>
      <c r="E1148" s="33"/>
      <c r="F1148" s="33"/>
      <c r="G1148" s="33"/>
      <c r="H1148" s="33"/>
      <c r="I1148" s="33"/>
      <c r="J1148" s="33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33"/>
      <c r="B1149" s="2"/>
      <c r="C1149" s="2"/>
      <c r="D1149" s="2"/>
      <c r="E1149" s="33"/>
      <c r="F1149" s="33"/>
      <c r="G1149" s="33"/>
      <c r="H1149" s="33"/>
      <c r="I1149" s="33"/>
      <c r="J1149" s="33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33"/>
      <c r="B1150" s="2"/>
      <c r="C1150" s="2"/>
      <c r="D1150" s="2"/>
      <c r="E1150" s="33"/>
      <c r="F1150" s="33"/>
      <c r="G1150" s="33"/>
      <c r="H1150" s="33"/>
      <c r="I1150" s="33"/>
      <c r="J1150" s="33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33"/>
      <c r="B1151" s="2"/>
      <c r="C1151" s="2"/>
      <c r="D1151" s="2"/>
      <c r="E1151" s="33"/>
      <c r="F1151" s="33"/>
      <c r="G1151" s="33"/>
      <c r="H1151" s="33"/>
      <c r="I1151" s="33"/>
      <c r="J1151" s="33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33"/>
      <c r="B1152" s="2"/>
      <c r="C1152" s="2"/>
      <c r="D1152" s="2"/>
      <c r="E1152" s="33"/>
      <c r="F1152" s="33"/>
      <c r="G1152" s="33"/>
      <c r="H1152" s="33"/>
      <c r="I1152" s="33"/>
      <c r="J1152" s="33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33"/>
      <c r="B1153" s="2"/>
      <c r="C1153" s="2"/>
      <c r="D1153" s="2"/>
      <c r="E1153" s="33"/>
      <c r="F1153" s="33"/>
      <c r="G1153" s="33"/>
      <c r="H1153" s="33"/>
      <c r="I1153" s="33"/>
      <c r="J1153" s="33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33"/>
      <c r="B1154" s="2"/>
      <c r="C1154" s="2"/>
      <c r="D1154" s="2"/>
      <c r="E1154" s="33"/>
      <c r="F1154" s="33"/>
      <c r="G1154" s="33"/>
      <c r="H1154" s="33"/>
      <c r="I1154" s="33"/>
      <c r="J1154" s="33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33"/>
      <c r="B1155" s="2"/>
      <c r="C1155" s="2"/>
      <c r="D1155" s="2"/>
      <c r="E1155" s="33"/>
      <c r="F1155" s="33"/>
      <c r="G1155" s="33"/>
      <c r="H1155" s="33"/>
      <c r="I1155" s="33"/>
      <c r="J1155" s="33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33"/>
      <c r="B1156" s="2"/>
      <c r="C1156" s="2"/>
      <c r="D1156" s="2"/>
      <c r="E1156" s="33"/>
      <c r="F1156" s="33"/>
      <c r="G1156" s="33"/>
      <c r="H1156" s="33"/>
      <c r="I1156" s="33"/>
      <c r="J1156" s="33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33"/>
      <c r="B1157" s="2"/>
      <c r="C1157" s="2"/>
      <c r="D1157" s="2"/>
      <c r="E1157" s="33"/>
      <c r="F1157" s="33"/>
      <c r="G1157" s="33"/>
      <c r="H1157" s="33"/>
      <c r="I1157" s="33"/>
      <c r="J1157" s="33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33"/>
      <c r="B1158" s="2"/>
      <c r="C1158" s="2"/>
      <c r="D1158" s="2"/>
      <c r="E1158" s="33"/>
      <c r="F1158" s="33"/>
      <c r="G1158" s="33"/>
      <c r="H1158" s="33"/>
      <c r="I1158" s="33"/>
      <c r="J1158" s="33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33"/>
      <c r="B1159" s="2"/>
      <c r="C1159" s="2"/>
      <c r="D1159" s="2"/>
      <c r="E1159" s="33"/>
      <c r="F1159" s="33"/>
      <c r="G1159" s="33"/>
      <c r="H1159" s="33"/>
      <c r="I1159" s="33"/>
      <c r="J1159" s="33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33"/>
      <c r="B1160" s="2"/>
      <c r="C1160" s="2"/>
      <c r="D1160" s="2"/>
      <c r="E1160" s="33"/>
      <c r="F1160" s="33"/>
      <c r="G1160" s="33"/>
      <c r="H1160" s="33"/>
      <c r="I1160" s="33"/>
      <c r="J1160" s="33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33"/>
      <c r="B1161" s="2"/>
      <c r="C1161" s="2"/>
      <c r="D1161" s="2"/>
      <c r="E1161" s="33"/>
      <c r="F1161" s="33"/>
      <c r="G1161" s="33"/>
      <c r="H1161" s="33"/>
      <c r="I1161" s="33"/>
      <c r="J1161" s="33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33"/>
      <c r="B1162" s="2"/>
      <c r="C1162" s="2"/>
      <c r="D1162" s="2"/>
      <c r="E1162" s="33"/>
      <c r="F1162" s="33"/>
      <c r="G1162" s="33"/>
      <c r="H1162" s="33"/>
      <c r="I1162" s="33"/>
      <c r="J1162" s="33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33"/>
      <c r="B1163" s="2"/>
      <c r="C1163" s="2"/>
      <c r="D1163" s="2"/>
      <c r="E1163" s="33"/>
      <c r="F1163" s="33"/>
      <c r="G1163" s="33"/>
      <c r="H1163" s="33"/>
      <c r="I1163" s="33"/>
      <c r="J1163" s="33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33"/>
      <c r="B1164" s="2"/>
      <c r="C1164" s="2"/>
      <c r="D1164" s="2"/>
      <c r="E1164" s="33"/>
      <c r="F1164" s="33"/>
      <c r="G1164" s="33"/>
      <c r="H1164" s="33"/>
      <c r="I1164" s="33"/>
      <c r="J1164" s="33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33"/>
      <c r="B1165" s="2"/>
      <c r="C1165" s="2"/>
      <c r="D1165" s="2"/>
      <c r="E1165" s="33"/>
      <c r="F1165" s="33"/>
      <c r="G1165" s="33"/>
      <c r="H1165" s="33"/>
      <c r="I1165" s="33"/>
      <c r="J1165" s="33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33"/>
      <c r="B1166" s="2"/>
      <c r="C1166" s="2"/>
      <c r="D1166" s="2"/>
      <c r="E1166" s="33"/>
      <c r="F1166" s="33"/>
      <c r="G1166" s="33"/>
      <c r="H1166" s="33"/>
      <c r="I1166" s="33"/>
      <c r="J1166" s="33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33"/>
      <c r="B1167" s="2"/>
      <c r="C1167" s="2"/>
      <c r="D1167" s="2"/>
      <c r="E1167" s="33"/>
      <c r="F1167" s="33"/>
      <c r="G1167" s="33"/>
      <c r="H1167" s="33"/>
      <c r="I1167" s="33"/>
      <c r="J1167" s="33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33"/>
      <c r="B1168" s="2"/>
      <c r="C1168" s="2"/>
      <c r="D1168" s="2"/>
      <c r="E1168" s="33"/>
      <c r="F1168" s="33"/>
      <c r="G1168" s="33"/>
      <c r="H1168" s="33"/>
      <c r="I1168" s="33"/>
      <c r="J1168" s="33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33"/>
      <c r="B1169" s="2"/>
      <c r="C1169" s="2"/>
      <c r="D1169" s="2"/>
      <c r="E1169" s="33"/>
      <c r="F1169" s="33"/>
      <c r="G1169" s="33"/>
      <c r="H1169" s="33"/>
      <c r="I1169" s="33"/>
      <c r="J1169" s="33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33"/>
      <c r="B1170" s="2"/>
      <c r="C1170" s="2"/>
      <c r="D1170" s="2"/>
      <c r="E1170" s="33"/>
      <c r="F1170" s="33"/>
      <c r="G1170" s="33"/>
      <c r="H1170" s="33"/>
      <c r="I1170" s="33"/>
      <c r="J1170" s="33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33"/>
      <c r="B1171" s="2"/>
      <c r="C1171" s="2"/>
      <c r="D1171" s="2"/>
      <c r="E1171" s="33"/>
      <c r="F1171" s="33"/>
      <c r="G1171" s="33"/>
      <c r="H1171" s="33"/>
      <c r="I1171" s="33"/>
      <c r="J1171" s="33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33"/>
      <c r="B1172" s="2"/>
      <c r="C1172" s="2"/>
      <c r="D1172" s="2"/>
      <c r="E1172" s="33"/>
      <c r="F1172" s="33"/>
      <c r="G1172" s="33"/>
      <c r="H1172" s="33"/>
      <c r="I1172" s="33"/>
      <c r="J1172" s="33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33"/>
      <c r="B1173" s="2"/>
      <c r="C1173" s="2"/>
      <c r="D1173" s="2"/>
      <c r="E1173" s="33"/>
      <c r="F1173" s="33"/>
      <c r="G1173" s="33"/>
      <c r="H1173" s="33"/>
      <c r="I1173" s="33"/>
      <c r="J1173" s="33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33"/>
      <c r="B1174" s="2"/>
      <c r="C1174" s="2"/>
      <c r="D1174" s="2"/>
      <c r="E1174" s="33"/>
      <c r="F1174" s="33"/>
      <c r="G1174" s="33"/>
      <c r="H1174" s="33"/>
      <c r="I1174" s="33"/>
      <c r="J1174" s="33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33"/>
      <c r="B1175" s="2"/>
      <c r="C1175" s="2"/>
      <c r="D1175" s="2"/>
      <c r="E1175" s="33"/>
      <c r="F1175" s="33"/>
      <c r="G1175" s="33"/>
      <c r="H1175" s="33"/>
      <c r="I1175" s="33"/>
      <c r="J1175" s="33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33"/>
      <c r="B1176" s="2"/>
      <c r="C1176" s="2"/>
      <c r="D1176" s="2"/>
      <c r="E1176" s="33"/>
      <c r="F1176" s="33"/>
      <c r="G1176" s="33"/>
      <c r="H1176" s="33"/>
      <c r="I1176" s="33"/>
      <c r="J1176" s="33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33"/>
      <c r="B1177" s="2"/>
      <c r="C1177" s="2"/>
      <c r="D1177" s="2"/>
      <c r="E1177" s="33"/>
      <c r="F1177" s="33"/>
      <c r="G1177" s="33"/>
      <c r="H1177" s="33"/>
      <c r="I1177" s="33"/>
      <c r="J1177" s="33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33"/>
      <c r="B1178" s="2"/>
      <c r="C1178" s="2"/>
      <c r="D1178" s="2"/>
      <c r="E1178" s="33"/>
      <c r="F1178" s="33"/>
      <c r="G1178" s="33"/>
      <c r="H1178" s="33"/>
      <c r="I1178" s="33"/>
      <c r="J1178" s="33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33"/>
      <c r="B1179" s="2"/>
      <c r="C1179" s="2"/>
      <c r="D1179" s="2"/>
      <c r="E1179" s="33"/>
      <c r="F1179" s="33"/>
      <c r="G1179" s="33"/>
      <c r="H1179" s="33"/>
      <c r="I1179" s="33"/>
      <c r="J1179" s="33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33"/>
      <c r="B1180" s="2"/>
      <c r="C1180" s="2"/>
      <c r="D1180" s="2"/>
      <c r="E1180" s="33"/>
      <c r="F1180" s="33"/>
      <c r="G1180" s="33"/>
      <c r="H1180" s="33"/>
      <c r="I1180" s="33"/>
      <c r="J1180" s="33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33"/>
      <c r="B1181" s="2"/>
      <c r="C1181" s="2"/>
      <c r="D1181" s="2"/>
      <c r="E1181" s="33"/>
      <c r="F1181" s="33"/>
      <c r="G1181" s="33"/>
      <c r="H1181" s="33"/>
      <c r="I1181" s="33"/>
      <c r="J1181" s="33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33"/>
      <c r="B1182" s="2"/>
      <c r="C1182" s="2"/>
      <c r="D1182" s="2"/>
      <c r="E1182" s="33"/>
      <c r="F1182" s="33"/>
      <c r="G1182" s="33"/>
      <c r="H1182" s="33"/>
      <c r="I1182" s="33"/>
      <c r="J1182" s="33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33"/>
      <c r="B1183" s="2"/>
      <c r="C1183" s="2"/>
      <c r="D1183" s="2"/>
      <c r="E1183" s="33"/>
      <c r="F1183" s="33"/>
      <c r="G1183" s="33"/>
      <c r="H1183" s="33"/>
      <c r="I1183" s="33"/>
      <c r="J1183" s="33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33"/>
      <c r="B1184" s="2"/>
      <c r="C1184" s="2"/>
      <c r="D1184" s="2"/>
      <c r="E1184" s="33"/>
      <c r="F1184" s="33"/>
      <c r="G1184" s="33"/>
      <c r="H1184" s="33"/>
      <c r="I1184" s="33"/>
      <c r="J1184" s="33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33"/>
      <c r="B1185" s="2"/>
      <c r="C1185" s="2"/>
      <c r="D1185" s="2"/>
      <c r="E1185" s="33"/>
      <c r="F1185" s="33"/>
      <c r="G1185" s="33"/>
      <c r="H1185" s="33"/>
      <c r="I1185" s="33"/>
      <c r="J1185" s="33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33"/>
      <c r="B1186" s="2"/>
      <c r="C1186" s="2"/>
      <c r="D1186" s="2"/>
      <c r="E1186" s="33"/>
      <c r="F1186" s="33"/>
      <c r="G1186" s="33"/>
      <c r="H1186" s="33"/>
      <c r="I1186" s="33"/>
      <c r="J1186" s="33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33"/>
      <c r="B1187" s="2"/>
      <c r="C1187" s="2"/>
      <c r="D1187" s="2"/>
      <c r="E1187" s="33"/>
      <c r="F1187" s="33"/>
      <c r="G1187" s="33"/>
      <c r="H1187" s="33"/>
      <c r="I1187" s="33"/>
      <c r="J1187" s="33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33"/>
      <c r="B1188" s="2"/>
      <c r="C1188" s="2"/>
      <c r="D1188" s="2"/>
      <c r="E1188" s="33"/>
      <c r="F1188" s="33"/>
      <c r="G1188" s="33"/>
      <c r="H1188" s="33"/>
      <c r="I1188" s="33"/>
      <c r="J1188" s="33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33"/>
      <c r="B1189" s="2"/>
      <c r="C1189" s="2"/>
      <c r="D1189" s="2"/>
      <c r="E1189" s="33"/>
      <c r="F1189" s="33"/>
      <c r="G1189" s="33"/>
      <c r="H1189" s="33"/>
      <c r="I1189" s="33"/>
      <c r="J1189" s="33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33"/>
      <c r="B1190" s="2"/>
      <c r="C1190" s="2"/>
      <c r="D1190" s="2"/>
      <c r="E1190" s="33"/>
      <c r="F1190" s="33"/>
      <c r="G1190" s="33"/>
      <c r="H1190" s="33"/>
      <c r="I1190" s="33"/>
      <c r="J1190" s="33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33"/>
      <c r="B1191" s="2"/>
      <c r="C1191" s="2"/>
      <c r="D1191" s="2"/>
      <c r="E1191" s="33"/>
      <c r="F1191" s="33"/>
      <c r="G1191" s="33"/>
      <c r="H1191" s="33"/>
      <c r="I1191" s="33"/>
      <c r="J1191" s="33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33"/>
      <c r="B1192" s="2"/>
      <c r="C1192" s="2"/>
      <c r="D1192" s="2"/>
      <c r="E1192" s="33"/>
      <c r="F1192" s="33"/>
      <c r="G1192" s="33"/>
      <c r="H1192" s="33"/>
      <c r="I1192" s="33"/>
      <c r="J1192" s="33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33"/>
      <c r="B1193" s="2"/>
      <c r="C1193" s="2"/>
      <c r="D1193" s="2"/>
      <c r="E1193" s="33"/>
      <c r="F1193" s="33"/>
      <c r="G1193" s="33"/>
      <c r="H1193" s="33"/>
      <c r="I1193" s="33"/>
      <c r="J1193" s="33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33"/>
      <c r="B1194" s="2"/>
      <c r="C1194" s="2"/>
      <c r="D1194" s="2"/>
      <c r="E1194" s="33"/>
      <c r="F1194" s="33"/>
      <c r="G1194" s="33"/>
      <c r="H1194" s="33"/>
      <c r="I1194" s="33"/>
      <c r="J1194" s="33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33"/>
      <c r="B1195" s="2"/>
      <c r="C1195" s="2"/>
      <c r="D1195" s="2"/>
      <c r="E1195" s="33"/>
      <c r="F1195" s="33"/>
      <c r="G1195" s="33"/>
      <c r="H1195" s="33"/>
      <c r="I1195" s="33"/>
      <c r="J1195" s="33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33"/>
      <c r="B1196" s="2"/>
      <c r="C1196" s="2"/>
      <c r="D1196" s="2"/>
      <c r="E1196" s="33"/>
      <c r="F1196" s="33"/>
      <c r="G1196" s="33"/>
      <c r="H1196" s="33"/>
      <c r="I1196" s="33"/>
      <c r="J1196" s="33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33"/>
      <c r="B1197" s="2"/>
      <c r="C1197" s="2"/>
      <c r="D1197" s="2"/>
      <c r="E1197" s="33"/>
      <c r="F1197" s="33"/>
      <c r="G1197" s="33"/>
      <c r="H1197" s="33"/>
      <c r="I1197" s="33"/>
      <c r="J1197" s="33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33"/>
      <c r="B1198" s="2"/>
      <c r="C1198" s="2"/>
      <c r="D1198" s="2"/>
      <c r="E1198" s="33"/>
      <c r="F1198" s="33"/>
      <c r="G1198" s="33"/>
      <c r="H1198" s="33"/>
      <c r="I1198" s="33"/>
      <c r="J1198" s="33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33"/>
      <c r="B1199" s="2"/>
      <c r="C1199" s="2"/>
      <c r="D1199" s="2"/>
      <c r="E1199" s="33"/>
      <c r="F1199" s="33"/>
      <c r="G1199" s="33"/>
      <c r="H1199" s="33"/>
      <c r="I1199" s="33"/>
      <c r="J1199" s="33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33"/>
      <c r="B1200" s="2"/>
      <c r="C1200" s="2"/>
      <c r="D1200" s="2"/>
      <c r="E1200" s="33"/>
      <c r="F1200" s="33"/>
      <c r="G1200" s="33"/>
      <c r="H1200" s="33"/>
      <c r="I1200" s="33"/>
      <c r="J1200" s="33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33"/>
      <c r="B1201" s="2"/>
      <c r="C1201" s="2"/>
      <c r="D1201" s="2"/>
      <c r="E1201" s="33"/>
      <c r="F1201" s="33"/>
      <c r="G1201" s="33"/>
      <c r="H1201" s="33"/>
      <c r="I1201" s="33"/>
      <c r="J1201" s="33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33"/>
      <c r="B1202" s="2"/>
      <c r="C1202" s="2"/>
      <c r="D1202" s="2"/>
      <c r="E1202" s="33"/>
      <c r="F1202" s="33"/>
      <c r="G1202" s="33"/>
      <c r="H1202" s="33"/>
      <c r="I1202" s="33"/>
      <c r="J1202" s="33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33"/>
      <c r="B1203" s="2"/>
      <c r="C1203" s="2"/>
      <c r="D1203" s="2"/>
      <c r="E1203" s="33"/>
      <c r="F1203" s="33"/>
      <c r="G1203" s="33"/>
      <c r="H1203" s="33"/>
      <c r="I1203" s="33"/>
      <c r="J1203" s="33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33"/>
      <c r="B1204" s="2"/>
      <c r="C1204" s="2"/>
      <c r="D1204" s="2"/>
      <c r="E1204" s="33"/>
      <c r="F1204" s="33"/>
      <c r="G1204" s="33"/>
      <c r="H1204" s="33"/>
      <c r="I1204" s="33"/>
      <c r="J1204" s="33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33"/>
      <c r="B1205" s="2"/>
      <c r="C1205" s="2"/>
      <c r="D1205" s="2"/>
      <c r="E1205" s="33"/>
      <c r="F1205" s="33"/>
      <c r="G1205" s="33"/>
      <c r="H1205" s="33"/>
      <c r="I1205" s="33"/>
      <c r="J1205" s="33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33"/>
      <c r="B1206" s="2"/>
      <c r="C1206" s="2"/>
      <c r="D1206" s="2"/>
      <c r="E1206" s="33"/>
      <c r="F1206" s="33"/>
      <c r="G1206" s="33"/>
      <c r="H1206" s="33"/>
      <c r="I1206" s="33"/>
      <c r="J1206" s="33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33"/>
      <c r="B1207" s="2"/>
      <c r="C1207" s="2"/>
      <c r="D1207" s="2"/>
      <c r="E1207" s="33"/>
      <c r="F1207" s="33"/>
      <c r="G1207" s="33"/>
      <c r="H1207" s="33"/>
      <c r="I1207" s="33"/>
      <c r="J1207" s="33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33"/>
      <c r="B1208" s="2"/>
      <c r="C1208" s="2"/>
      <c r="D1208" s="2"/>
      <c r="E1208" s="33"/>
      <c r="F1208" s="33"/>
      <c r="G1208" s="33"/>
      <c r="H1208" s="33"/>
      <c r="I1208" s="33"/>
      <c r="J1208" s="33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33"/>
      <c r="B1209" s="2"/>
      <c r="C1209" s="2"/>
      <c r="D1209" s="2"/>
      <c r="E1209" s="33"/>
      <c r="F1209" s="33"/>
      <c r="G1209" s="33"/>
      <c r="H1209" s="33"/>
      <c r="I1209" s="33"/>
      <c r="J1209" s="33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33"/>
      <c r="B1210" s="2"/>
      <c r="C1210" s="2"/>
      <c r="D1210" s="2"/>
      <c r="E1210" s="33"/>
      <c r="F1210" s="33"/>
      <c r="G1210" s="33"/>
      <c r="H1210" s="33"/>
      <c r="I1210" s="33"/>
      <c r="J1210" s="33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33"/>
      <c r="B1211" s="2"/>
      <c r="C1211" s="2"/>
      <c r="D1211" s="2"/>
      <c r="E1211" s="33"/>
      <c r="F1211" s="33"/>
      <c r="G1211" s="33"/>
      <c r="H1211" s="33"/>
      <c r="I1211" s="33"/>
      <c r="J1211" s="33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33"/>
      <c r="B1212" s="2"/>
      <c r="C1212" s="2"/>
      <c r="D1212" s="2"/>
      <c r="E1212" s="33"/>
      <c r="F1212" s="33"/>
      <c r="G1212" s="33"/>
      <c r="H1212" s="33"/>
      <c r="I1212" s="33"/>
      <c r="J1212" s="33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33"/>
      <c r="B1213" s="2"/>
      <c r="C1213" s="2"/>
      <c r="D1213" s="2"/>
      <c r="E1213" s="33"/>
      <c r="F1213" s="33"/>
      <c r="G1213" s="33"/>
      <c r="H1213" s="33"/>
      <c r="I1213" s="33"/>
      <c r="J1213" s="33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33"/>
      <c r="B1214" s="2"/>
      <c r="C1214" s="2"/>
      <c r="D1214" s="2"/>
      <c r="E1214" s="33"/>
      <c r="F1214" s="33"/>
      <c r="G1214" s="33"/>
      <c r="H1214" s="33"/>
      <c r="I1214" s="33"/>
      <c r="J1214" s="33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33"/>
      <c r="B1215" s="2"/>
      <c r="C1215" s="2"/>
      <c r="D1215" s="2"/>
      <c r="E1215" s="33"/>
      <c r="F1215" s="33"/>
      <c r="G1215" s="33"/>
      <c r="H1215" s="33"/>
      <c r="I1215" s="33"/>
      <c r="J1215" s="33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33"/>
      <c r="B1216" s="2"/>
      <c r="C1216" s="2"/>
      <c r="D1216" s="2"/>
      <c r="E1216" s="33"/>
      <c r="F1216" s="33"/>
      <c r="G1216" s="33"/>
      <c r="H1216" s="33"/>
      <c r="I1216" s="33"/>
      <c r="J1216" s="33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33"/>
      <c r="B1217" s="2"/>
      <c r="C1217" s="2"/>
      <c r="D1217" s="2"/>
      <c r="E1217" s="33"/>
      <c r="F1217" s="33"/>
      <c r="G1217" s="33"/>
      <c r="H1217" s="33"/>
      <c r="I1217" s="33"/>
      <c r="J1217" s="33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33"/>
      <c r="B1218" s="2"/>
      <c r="C1218" s="2"/>
      <c r="D1218" s="2"/>
      <c r="E1218" s="33"/>
      <c r="F1218" s="33"/>
      <c r="G1218" s="33"/>
      <c r="H1218" s="33"/>
      <c r="I1218" s="33"/>
      <c r="J1218" s="33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33"/>
      <c r="B1219" s="2"/>
      <c r="C1219" s="2"/>
      <c r="D1219" s="2"/>
      <c r="E1219" s="33"/>
      <c r="F1219" s="33"/>
      <c r="G1219" s="33"/>
      <c r="H1219" s="33"/>
      <c r="I1219" s="33"/>
      <c r="J1219" s="33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33"/>
      <c r="B1220" s="2"/>
      <c r="C1220" s="2"/>
      <c r="D1220" s="2"/>
      <c r="E1220" s="33"/>
      <c r="F1220" s="33"/>
      <c r="G1220" s="33"/>
      <c r="H1220" s="33"/>
      <c r="I1220" s="33"/>
      <c r="J1220" s="33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33"/>
      <c r="B1221" s="2"/>
      <c r="C1221" s="2"/>
      <c r="D1221" s="2"/>
      <c r="E1221" s="33"/>
      <c r="F1221" s="33"/>
      <c r="G1221" s="33"/>
      <c r="H1221" s="33"/>
      <c r="I1221" s="33"/>
      <c r="J1221" s="33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33"/>
      <c r="B1222" s="2"/>
      <c r="C1222" s="2"/>
      <c r="D1222" s="2"/>
      <c r="E1222" s="33"/>
      <c r="F1222" s="33"/>
      <c r="G1222" s="33"/>
      <c r="H1222" s="33"/>
      <c r="I1222" s="33"/>
      <c r="J1222" s="33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33"/>
      <c r="B1223" s="2"/>
      <c r="C1223" s="2"/>
      <c r="D1223" s="2"/>
      <c r="E1223" s="33"/>
      <c r="F1223" s="33"/>
      <c r="G1223" s="33"/>
      <c r="H1223" s="33"/>
      <c r="I1223" s="33"/>
      <c r="J1223" s="33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33"/>
      <c r="B1224" s="2"/>
      <c r="C1224" s="2"/>
      <c r="D1224" s="2"/>
      <c r="E1224" s="33"/>
      <c r="F1224" s="33"/>
      <c r="G1224" s="33"/>
      <c r="H1224" s="33"/>
      <c r="I1224" s="33"/>
      <c r="J1224" s="33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33"/>
      <c r="B1225" s="2"/>
      <c r="C1225" s="2"/>
      <c r="D1225" s="2"/>
      <c r="E1225" s="33"/>
      <c r="F1225" s="33"/>
      <c r="G1225" s="33"/>
      <c r="H1225" s="33"/>
      <c r="I1225" s="33"/>
      <c r="J1225" s="33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33"/>
      <c r="B1226" s="2"/>
      <c r="C1226" s="2"/>
      <c r="D1226" s="2"/>
      <c r="E1226" s="33"/>
      <c r="F1226" s="33"/>
      <c r="G1226" s="33"/>
      <c r="H1226" s="33"/>
      <c r="I1226" s="33"/>
      <c r="J1226" s="33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33"/>
      <c r="B1227" s="2"/>
      <c r="C1227" s="2"/>
      <c r="D1227" s="2"/>
      <c r="E1227" s="33"/>
      <c r="F1227" s="33"/>
      <c r="G1227" s="33"/>
      <c r="H1227" s="33"/>
      <c r="I1227" s="33"/>
      <c r="J1227" s="33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33"/>
      <c r="B1228" s="2"/>
      <c r="C1228" s="2"/>
      <c r="D1228" s="2"/>
      <c r="E1228" s="33"/>
      <c r="F1228" s="33"/>
      <c r="G1228" s="33"/>
      <c r="H1228" s="33"/>
      <c r="I1228" s="33"/>
      <c r="J1228" s="33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33"/>
      <c r="B1229" s="2"/>
      <c r="C1229" s="2"/>
      <c r="D1229" s="2"/>
      <c r="E1229" s="33"/>
      <c r="F1229" s="33"/>
      <c r="G1229" s="33"/>
      <c r="H1229" s="33"/>
      <c r="I1229" s="33"/>
      <c r="J1229" s="33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33"/>
      <c r="B1230" s="2"/>
      <c r="C1230" s="2"/>
      <c r="D1230" s="2"/>
      <c r="E1230" s="33"/>
      <c r="F1230" s="33"/>
      <c r="G1230" s="33"/>
      <c r="H1230" s="33"/>
      <c r="I1230" s="33"/>
      <c r="J1230" s="33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33"/>
      <c r="B1231" s="2"/>
      <c r="C1231" s="2"/>
      <c r="D1231" s="2"/>
      <c r="E1231" s="33"/>
      <c r="F1231" s="33"/>
      <c r="G1231" s="33"/>
      <c r="H1231" s="33"/>
      <c r="I1231" s="33"/>
      <c r="J1231" s="33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33"/>
      <c r="B1232" s="2"/>
      <c r="C1232" s="2"/>
      <c r="D1232" s="2"/>
      <c r="E1232" s="33"/>
      <c r="F1232" s="33"/>
      <c r="G1232" s="33"/>
      <c r="H1232" s="33"/>
      <c r="I1232" s="33"/>
      <c r="J1232" s="33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33"/>
      <c r="B1233" s="2"/>
      <c r="C1233" s="2"/>
      <c r="D1233" s="2"/>
      <c r="E1233" s="33"/>
      <c r="F1233" s="33"/>
      <c r="G1233" s="33"/>
      <c r="H1233" s="33"/>
      <c r="I1233" s="33"/>
      <c r="J1233" s="33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33"/>
      <c r="B1234" s="2"/>
      <c r="C1234" s="2"/>
      <c r="D1234" s="2"/>
      <c r="E1234" s="33"/>
      <c r="F1234" s="33"/>
      <c r="G1234" s="33"/>
      <c r="H1234" s="33"/>
      <c r="I1234" s="33"/>
      <c r="J1234" s="33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33"/>
      <c r="B1235" s="2"/>
      <c r="C1235" s="2"/>
      <c r="D1235" s="2"/>
      <c r="E1235" s="33"/>
      <c r="F1235" s="33"/>
      <c r="G1235" s="33"/>
      <c r="H1235" s="33"/>
      <c r="I1235" s="33"/>
      <c r="J1235" s="33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33"/>
      <c r="B1236" s="2"/>
      <c r="C1236" s="2"/>
      <c r="D1236" s="2"/>
      <c r="E1236" s="33"/>
      <c r="F1236" s="33"/>
      <c r="G1236" s="33"/>
      <c r="H1236" s="33"/>
      <c r="I1236" s="33"/>
      <c r="J1236" s="33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33"/>
      <c r="B1237" s="2"/>
      <c r="C1237" s="2"/>
      <c r="D1237" s="2"/>
      <c r="E1237" s="33"/>
      <c r="F1237" s="33"/>
      <c r="G1237" s="33"/>
      <c r="H1237" s="33"/>
      <c r="I1237" s="33"/>
      <c r="J1237" s="33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33"/>
      <c r="B1238" s="2"/>
      <c r="C1238" s="2"/>
      <c r="D1238" s="2"/>
      <c r="E1238" s="33"/>
      <c r="F1238" s="33"/>
      <c r="G1238" s="33"/>
      <c r="H1238" s="33"/>
      <c r="I1238" s="33"/>
      <c r="J1238" s="33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33"/>
      <c r="B1239" s="2"/>
      <c r="C1239" s="2"/>
      <c r="D1239" s="2"/>
      <c r="E1239" s="33"/>
      <c r="F1239" s="33"/>
      <c r="G1239" s="33"/>
      <c r="H1239" s="33"/>
      <c r="I1239" s="33"/>
      <c r="J1239" s="33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33"/>
      <c r="B1240" s="2"/>
      <c r="C1240" s="2"/>
      <c r="D1240" s="2"/>
      <c r="E1240" s="33"/>
      <c r="F1240" s="33"/>
      <c r="G1240" s="33"/>
      <c r="H1240" s="33"/>
      <c r="I1240" s="33"/>
      <c r="J1240" s="33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33"/>
      <c r="B1241" s="2"/>
      <c r="C1241" s="2"/>
      <c r="D1241" s="2"/>
      <c r="E1241" s="33"/>
      <c r="F1241" s="33"/>
      <c r="G1241" s="33"/>
      <c r="H1241" s="33"/>
      <c r="I1241" s="33"/>
      <c r="J1241" s="33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33"/>
      <c r="B1242" s="2"/>
      <c r="C1242" s="2"/>
      <c r="D1242" s="2"/>
      <c r="E1242" s="33"/>
      <c r="F1242" s="33"/>
      <c r="G1242" s="33"/>
      <c r="H1242" s="33"/>
      <c r="I1242" s="33"/>
      <c r="J1242" s="33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33"/>
      <c r="B1243" s="2"/>
      <c r="C1243" s="2"/>
      <c r="D1243" s="2"/>
      <c r="E1243" s="33"/>
      <c r="F1243" s="33"/>
      <c r="G1243" s="33"/>
      <c r="H1243" s="33"/>
      <c r="I1243" s="33"/>
      <c r="J1243" s="33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33"/>
      <c r="B1244" s="2"/>
      <c r="C1244" s="2"/>
      <c r="D1244" s="2"/>
      <c r="E1244" s="33"/>
      <c r="F1244" s="33"/>
      <c r="G1244" s="33"/>
      <c r="H1244" s="33"/>
      <c r="I1244" s="33"/>
      <c r="J1244" s="33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33"/>
      <c r="B1245" s="2"/>
      <c r="C1245" s="2"/>
      <c r="D1245" s="2"/>
      <c r="E1245" s="33"/>
      <c r="F1245" s="33"/>
      <c r="G1245" s="33"/>
      <c r="H1245" s="33"/>
      <c r="I1245" s="33"/>
      <c r="J1245" s="33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33"/>
      <c r="B1246" s="2"/>
      <c r="C1246" s="2"/>
      <c r="D1246" s="2"/>
      <c r="E1246" s="33"/>
      <c r="F1246" s="33"/>
      <c r="G1246" s="33"/>
      <c r="H1246" s="33"/>
      <c r="I1246" s="33"/>
      <c r="J1246" s="33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33"/>
      <c r="B1247" s="2"/>
      <c r="C1247" s="2"/>
      <c r="D1247" s="2"/>
      <c r="E1247" s="33"/>
      <c r="F1247" s="33"/>
      <c r="G1247" s="33"/>
      <c r="H1247" s="33"/>
      <c r="I1247" s="33"/>
      <c r="J1247" s="33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33"/>
      <c r="B1248" s="2"/>
      <c r="C1248" s="2"/>
      <c r="D1248" s="2"/>
      <c r="E1248" s="33"/>
      <c r="F1248" s="33"/>
      <c r="G1248" s="33"/>
      <c r="H1248" s="33"/>
      <c r="I1248" s="33"/>
      <c r="J1248" s="33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33"/>
      <c r="B1249" s="2"/>
      <c r="C1249" s="2"/>
      <c r="D1249" s="2"/>
      <c r="E1249" s="33"/>
      <c r="F1249" s="33"/>
      <c r="G1249" s="33"/>
      <c r="H1249" s="33"/>
      <c r="I1249" s="33"/>
      <c r="J1249" s="33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33"/>
      <c r="B1250" s="2"/>
      <c r="C1250" s="2"/>
      <c r="D1250" s="2"/>
      <c r="E1250" s="33"/>
      <c r="F1250" s="33"/>
      <c r="G1250" s="33"/>
      <c r="H1250" s="33"/>
      <c r="I1250" s="33"/>
      <c r="J1250" s="33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33"/>
      <c r="B1251" s="2"/>
      <c r="C1251" s="2"/>
      <c r="D1251" s="2"/>
      <c r="E1251" s="33"/>
      <c r="F1251" s="33"/>
      <c r="G1251" s="33"/>
      <c r="H1251" s="33"/>
      <c r="I1251" s="33"/>
      <c r="J1251" s="33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33"/>
      <c r="B1252" s="2"/>
      <c r="C1252" s="2"/>
      <c r="D1252" s="2"/>
      <c r="E1252" s="33"/>
      <c r="F1252" s="33"/>
      <c r="G1252" s="33"/>
      <c r="H1252" s="33"/>
      <c r="I1252" s="33"/>
      <c r="J1252" s="33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33"/>
      <c r="B1253" s="2"/>
      <c r="C1253" s="2"/>
      <c r="D1253" s="2"/>
      <c r="E1253" s="33"/>
      <c r="F1253" s="33"/>
      <c r="G1253" s="33"/>
      <c r="H1253" s="33"/>
      <c r="I1253" s="33"/>
      <c r="J1253" s="33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33"/>
      <c r="B1254" s="2"/>
      <c r="C1254" s="2"/>
      <c r="D1254" s="2"/>
      <c r="E1254" s="33"/>
      <c r="F1254" s="33"/>
      <c r="G1254" s="33"/>
      <c r="H1254" s="33"/>
      <c r="I1254" s="33"/>
      <c r="J1254" s="33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33"/>
      <c r="B1255" s="2"/>
      <c r="C1255" s="2"/>
      <c r="D1255" s="2"/>
      <c r="E1255" s="33"/>
      <c r="F1255" s="33"/>
      <c r="G1255" s="33"/>
      <c r="H1255" s="33"/>
      <c r="I1255" s="33"/>
      <c r="J1255" s="33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33"/>
      <c r="B1256" s="2"/>
      <c r="C1256" s="2"/>
      <c r="D1256" s="2"/>
      <c r="E1256" s="33"/>
      <c r="F1256" s="33"/>
      <c r="G1256" s="33"/>
      <c r="H1256" s="33"/>
      <c r="I1256" s="33"/>
      <c r="J1256" s="33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33"/>
      <c r="B1257" s="2"/>
      <c r="C1257" s="2"/>
      <c r="D1257" s="2"/>
      <c r="E1257" s="33"/>
      <c r="F1257" s="33"/>
      <c r="G1257" s="33"/>
      <c r="H1257" s="33"/>
      <c r="I1257" s="33"/>
      <c r="J1257" s="33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33"/>
      <c r="B1258" s="2"/>
      <c r="C1258" s="2"/>
      <c r="D1258" s="2"/>
      <c r="E1258" s="33"/>
      <c r="F1258" s="33"/>
      <c r="G1258" s="33"/>
      <c r="H1258" s="33"/>
      <c r="I1258" s="33"/>
      <c r="J1258" s="33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33"/>
      <c r="B1259" s="2"/>
      <c r="C1259" s="2"/>
      <c r="D1259" s="2"/>
      <c r="E1259" s="33"/>
      <c r="F1259" s="33"/>
      <c r="G1259" s="33"/>
      <c r="H1259" s="33"/>
      <c r="I1259" s="33"/>
      <c r="J1259" s="33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33"/>
      <c r="B1260" s="2"/>
      <c r="C1260" s="2"/>
      <c r="D1260" s="2"/>
      <c r="E1260" s="33"/>
      <c r="F1260" s="33"/>
      <c r="G1260" s="33"/>
      <c r="H1260" s="33"/>
      <c r="I1260" s="33"/>
      <c r="J1260" s="33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33"/>
      <c r="B1261" s="2"/>
      <c r="C1261" s="2"/>
      <c r="D1261" s="2"/>
      <c r="E1261" s="33"/>
      <c r="F1261" s="33"/>
      <c r="G1261" s="33"/>
      <c r="H1261" s="33"/>
      <c r="I1261" s="33"/>
      <c r="J1261" s="33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33"/>
      <c r="B1262" s="2"/>
      <c r="C1262" s="2"/>
      <c r="D1262" s="2"/>
      <c r="E1262" s="33"/>
      <c r="F1262" s="33"/>
      <c r="G1262" s="33"/>
      <c r="H1262" s="33"/>
      <c r="I1262" s="33"/>
      <c r="J1262" s="33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33"/>
      <c r="B1263" s="2"/>
      <c r="C1263" s="2"/>
      <c r="D1263" s="2"/>
      <c r="E1263" s="33"/>
      <c r="F1263" s="33"/>
      <c r="G1263" s="33"/>
      <c r="H1263" s="33"/>
      <c r="I1263" s="33"/>
      <c r="J1263" s="33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33"/>
      <c r="B1264" s="2"/>
      <c r="C1264" s="2"/>
      <c r="D1264" s="2"/>
      <c r="E1264" s="33"/>
      <c r="F1264" s="33"/>
      <c r="G1264" s="33"/>
      <c r="H1264" s="33"/>
      <c r="I1264" s="33"/>
      <c r="J1264" s="33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33"/>
      <c r="B1265" s="2"/>
      <c r="C1265" s="2"/>
      <c r="D1265" s="2"/>
      <c r="E1265" s="33"/>
      <c r="F1265" s="33"/>
      <c r="G1265" s="33"/>
      <c r="H1265" s="33"/>
      <c r="I1265" s="33"/>
      <c r="J1265" s="33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33"/>
      <c r="B1266" s="2"/>
      <c r="C1266" s="2"/>
      <c r="D1266" s="2"/>
      <c r="E1266" s="33"/>
      <c r="F1266" s="33"/>
      <c r="G1266" s="33"/>
      <c r="H1266" s="33"/>
      <c r="I1266" s="33"/>
      <c r="J1266" s="33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33"/>
      <c r="B1267" s="2"/>
      <c r="C1267" s="2"/>
      <c r="D1267" s="2"/>
      <c r="E1267" s="33"/>
      <c r="F1267" s="33"/>
      <c r="G1267" s="33"/>
      <c r="H1267" s="33"/>
      <c r="I1267" s="33"/>
      <c r="J1267" s="33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33"/>
      <c r="B1268" s="2"/>
      <c r="C1268" s="2"/>
      <c r="D1268" s="2"/>
      <c r="E1268" s="33"/>
      <c r="F1268" s="33"/>
      <c r="G1268" s="33"/>
      <c r="H1268" s="33"/>
      <c r="I1268" s="33"/>
      <c r="J1268" s="33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33"/>
      <c r="B1269" s="2"/>
      <c r="C1269" s="2"/>
      <c r="D1269" s="2"/>
      <c r="E1269" s="33"/>
      <c r="F1269" s="33"/>
      <c r="G1269" s="33"/>
      <c r="H1269" s="33"/>
      <c r="I1269" s="33"/>
      <c r="J1269" s="33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33"/>
      <c r="B1270" s="2"/>
      <c r="C1270" s="2"/>
      <c r="D1270" s="2"/>
      <c r="E1270" s="33"/>
      <c r="F1270" s="33"/>
      <c r="G1270" s="33"/>
      <c r="H1270" s="33"/>
      <c r="I1270" s="33"/>
      <c r="J1270" s="33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33"/>
      <c r="B1271" s="2"/>
      <c r="C1271" s="2"/>
      <c r="D1271" s="2"/>
      <c r="E1271" s="33"/>
      <c r="F1271" s="33"/>
      <c r="G1271" s="33"/>
      <c r="H1271" s="33"/>
      <c r="I1271" s="33"/>
      <c r="J1271" s="33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33"/>
      <c r="B1272" s="2"/>
      <c r="C1272" s="2"/>
      <c r="D1272" s="2"/>
      <c r="E1272" s="33"/>
      <c r="F1272" s="33"/>
      <c r="G1272" s="33"/>
      <c r="H1272" s="33"/>
      <c r="I1272" s="33"/>
      <c r="J1272" s="33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33"/>
      <c r="B1273" s="2"/>
      <c r="C1273" s="2"/>
      <c r="D1273" s="2"/>
      <c r="E1273" s="33"/>
      <c r="F1273" s="33"/>
      <c r="G1273" s="33"/>
      <c r="H1273" s="33"/>
      <c r="I1273" s="33"/>
      <c r="J1273" s="33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33"/>
      <c r="B1274" s="2"/>
      <c r="C1274" s="2"/>
      <c r="D1274" s="2"/>
      <c r="E1274" s="33"/>
      <c r="F1274" s="33"/>
      <c r="G1274" s="33"/>
      <c r="H1274" s="33"/>
      <c r="I1274" s="33"/>
      <c r="J1274" s="33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33"/>
      <c r="B1275" s="2"/>
      <c r="C1275" s="2"/>
      <c r="D1275" s="2"/>
      <c r="E1275" s="33"/>
      <c r="F1275" s="33"/>
      <c r="G1275" s="33"/>
      <c r="H1275" s="33"/>
      <c r="I1275" s="33"/>
      <c r="J1275" s="33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33"/>
      <c r="B1276" s="2"/>
      <c r="C1276" s="2"/>
      <c r="D1276" s="2"/>
      <c r="E1276" s="33"/>
      <c r="F1276" s="33"/>
      <c r="G1276" s="33"/>
      <c r="H1276" s="33"/>
      <c r="I1276" s="33"/>
      <c r="J1276" s="33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33"/>
      <c r="B1277" s="2"/>
      <c r="C1277" s="2"/>
      <c r="D1277" s="2"/>
      <c r="E1277" s="33"/>
      <c r="F1277" s="33"/>
      <c r="G1277" s="33"/>
      <c r="H1277" s="33"/>
      <c r="I1277" s="33"/>
      <c r="J1277" s="33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33"/>
      <c r="B1278" s="2"/>
      <c r="C1278" s="2"/>
      <c r="D1278" s="2"/>
      <c r="E1278" s="33"/>
      <c r="F1278" s="33"/>
      <c r="G1278" s="33"/>
      <c r="H1278" s="33"/>
      <c r="I1278" s="33"/>
      <c r="J1278" s="33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33"/>
      <c r="B1279" s="2"/>
      <c r="C1279" s="2"/>
      <c r="D1279" s="2"/>
      <c r="E1279" s="33"/>
      <c r="F1279" s="33"/>
      <c r="G1279" s="33"/>
      <c r="H1279" s="33"/>
      <c r="I1279" s="33"/>
      <c r="J1279" s="33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33"/>
      <c r="B1280" s="2"/>
      <c r="C1280" s="2"/>
      <c r="D1280" s="2"/>
      <c r="E1280" s="33"/>
      <c r="F1280" s="33"/>
      <c r="G1280" s="33"/>
      <c r="H1280" s="33"/>
      <c r="I1280" s="33"/>
      <c r="J1280" s="33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33"/>
      <c r="B1281" s="2"/>
      <c r="C1281" s="2"/>
      <c r="D1281" s="2"/>
      <c r="E1281" s="33"/>
      <c r="F1281" s="33"/>
      <c r="G1281" s="33"/>
      <c r="H1281" s="33"/>
      <c r="I1281" s="33"/>
      <c r="J1281" s="33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33"/>
      <c r="B1282" s="2"/>
      <c r="C1282" s="2"/>
      <c r="D1282" s="2"/>
      <c r="E1282" s="33"/>
      <c r="F1282" s="33"/>
      <c r="G1282" s="33"/>
      <c r="H1282" s="33"/>
      <c r="I1282" s="33"/>
      <c r="J1282" s="33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33"/>
      <c r="B1283" s="2"/>
      <c r="C1283" s="2"/>
      <c r="D1283" s="2"/>
      <c r="E1283" s="33"/>
      <c r="F1283" s="33"/>
      <c r="G1283" s="33"/>
      <c r="H1283" s="33"/>
      <c r="I1283" s="33"/>
      <c r="J1283" s="33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33"/>
      <c r="B1284" s="2"/>
      <c r="C1284" s="2"/>
      <c r="D1284" s="2"/>
      <c r="E1284" s="33"/>
      <c r="F1284" s="33"/>
      <c r="G1284" s="33"/>
      <c r="H1284" s="33"/>
      <c r="I1284" s="33"/>
      <c r="J1284" s="33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33"/>
      <c r="B1285" s="2"/>
      <c r="C1285" s="2"/>
      <c r="D1285" s="2"/>
      <c r="E1285" s="33"/>
      <c r="F1285" s="33"/>
      <c r="G1285" s="33"/>
      <c r="H1285" s="33"/>
      <c r="I1285" s="33"/>
      <c r="J1285" s="33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33"/>
      <c r="B1286" s="2"/>
      <c r="C1286" s="2"/>
      <c r="D1286" s="2"/>
      <c r="E1286" s="33"/>
      <c r="F1286" s="33"/>
      <c r="G1286" s="33"/>
      <c r="H1286" s="33"/>
      <c r="I1286" s="33"/>
      <c r="J1286" s="33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33"/>
      <c r="B1287" s="2"/>
      <c r="C1287" s="2"/>
      <c r="D1287" s="2"/>
      <c r="E1287" s="33"/>
      <c r="F1287" s="33"/>
      <c r="G1287" s="33"/>
      <c r="H1287" s="33"/>
      <c r="I1287" s="33"/>
      <c r="J1287" s="33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33"/>
      <c r="B1288" s="2"/>
      <c r="C1288" s="2"/>
      <c r="D1288" s="2"/>
      <c r="E1288" s="33"/>
      <c r="F1288" s="33"/>
      <c r="G1288" s="33"/>
      <c r="H1288" s="33"/>
      <c r="I1288" s="33"/>
      <c r="J1288" s="33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33"/>
      <c r="B1289" s="2"/>
      <c r="C1289" s="2"/>
      <c r="D1289" s="2"/>
      <c r="E1289" s="33"/>
      <c r="F1289" s="33"/>
      <c r="G1289" s="33"/>
      <c r="H1289" s="33"/>
      <c r="I1289" s="33"/>
      <c r="J1289" s="33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33"/>
      <c r="B1290" s="2"/>
      <c r="C1290" s="2"/>
      <c r="D1290" s="2"/>
      <c r="E1290" s="33"/>
      <c r="F1290" s="33"/>
      <c r="G1290" s="33"/>
      <c r="H1290" s="33"/>
      <c r="I1290" s="33"/>
      <c r="J1290" s="33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33"/>
      <c r="B1291" s="2"/>
      <c r="C1291" s="2"/>
      <c r="D1291" s="2"/>
      <c r="E1291" s="33"/>
      <c r="F1291" s="33"/>
      <c r="G1291" s="33"/>
      <c r="H1291" s="33"/>
      <c r="I1291" s="33"/>
      <c r="J1291" s="33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33"/>
      <c r="B1292" s="2"/>
      <c r="C1292" s="2"/>
      <c r="D1292" s="2"/>
      <c r="E1292" s="33"/>
      <c r="F1292" s="33"/>
      <c r="G1292" s="33"/>
      <c r="H1292" s="33"/>
      <c r="I1292" s="33"/>
      <c r="J1292" s="33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33"/>
      <c r="B1293" s="2"/>
      <c r="C1293" s="2"/>
      <c r="D1293" s="2"/>
      <c r="E1293" s="33"/>
      <c r="F1293" s="33"/>
      <c r="G1293" s="33"/>
      <c r="H1293" s="33"/>
      <c r="I1293" s="33"/>
      <c r="J1293" s="33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33"/>
      <c r="B1294" s="2"/>
      <c r="C1294" s="2"/>
      <c r="D1294" s="2"/>
      <c r="E1294" s="33"/>
      <c r="F1294" s="33"/>
      <c r="G1294" s="33"/>
      <c r="H1294" s="33"/>
      <c r="I1294" s="33"/>
      <c r="J1294" s="33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33"/>
      <c r="B1295" s="2"/>
      <c r="C1295" s="2"/>
      <c r="D1295" s="2"/>
      <c r="E1295" s="33"/>
      <c r="F1295" s="33"/>
      <c r="G1295" s="33"/>
      <c r="H1295" s="33"/>
      <c r="I1295" s="33"/>
      <c r="J1295" s="33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33"/>
      <c r="B1296" s="2"/>
      <c r="C1296" s="2"/>
      <c r="D1296" s="2"/>
      <c r="E1296" s="33"/>
      <c r="F1296" s="33"/>
      <c r="G1296" s="33"/>
      <c r="H1296" s="33"/>
      <c r="I1296" s="33"/>
      <c r="J1296" s="33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33"/>
      <c r="B1297" s="2"/>
      <c r="C1297" s="2"/>
      <c r="D1297" s="2"/>
      <c r="E1297" s="33"/>
      <c r="F1297" s="33"/>
      <c r="G1297" s="33"/>
      <c r="H1297" s="33"/>
      <c r="I1297" s="33"/>
      <c r="J1297" s="33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33"/>
      <c r="B1298" s="2"/>
      <c r="C1298" s="2"/>
      <c r="D1298" s="2"/>
      <c r="E1298" s="33"/>
      <c r="F1298" s="33"/>
      <c r="G1298" s="33"/>
      <c r="H1298" s="33"/>
      <c r="I1298" s="33"/>
      <c r="J1298" s="33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33"/>
      <c r="B1299" s="2"/>
      <c r="C1299" s="2"/>
      <c r="D1299" s="2"/>
      <c r="E1299" s="33"/>
      <c r="F1299" s="33"/>
      <c r="G1299" s="33"/>
      <c r="H1299" s="33"/>
      <c r="I1299" s="33"/>
      <c r="J1299" s="33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33"/>
      <c r="B1300" s="2"/>
      <c r="C1300" s="2"/>
      <c r="D1300" s="2"/>
      <c r="E1300" s="33"/>
      <c r="F1300" s="33"/>
      <c r="G1300" s="33"/>
      <c r="H1300" s="33"/>
      <c r="I1300" s="33"/>
      <c r="J1300" s="33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33"/>
      <c r="B1301" s="2"/>
      <c r="C1301" s="2"/>
      <c r="D1301" s="2"/>
      <c r="E1301" s="33"/>
      <c r="F1301" s="33"/>
      <c r="G1301" s="33"/>
      <c r="H1301" s="33"/>
      <c r="I1301" s="33"/>
      <c r="J1301" s="33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33"/>
      <c r="B1302" s="2"/>
      <c r="C1302" s="2"/>
      <c r="D1302" s="2"/>
      <c r="E1302" s="33"/>
      <c r="F1302" s="33"/>
      <c r="G1302" s="33"/>
      <c r="H1302" s="33"/>
      <c r="I1302" s="33"/>
      <c r="J1302" s="33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33"/>
      <c r="B1303" s="2"/>
      <c r="C1303" s="2"/>
      <c r="D1303" s="2"/>
      <c r="E1303" s="33"/>
      <c r="F1303" s="33"/>
      <c r="G1303" s="33"/>
      <c r="H1303" s="33"/>
      <c r="I1303" s="33"/>
      <c r="J1303" s="33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33"/>
      <c r="B1304" s="2"/>
      <c r="C1304" s="2"/>
      <c r="D1304" s="2"/>
      <c r="E1304" s="33"/>
      <c r="F1304" s="33"/>
      <c r="G1304" s="33"/>
      <c r="H1304" s="33"/>
      <c r="I1304" s="33"/>
      <c r="J1304" s="33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33"/>
      <c r="B1305" s="2"/>
      <c r="C1305" s="2"/>
      <c r="D1305" s="2"/>
      <c r="E1305" s="33"/>
      <c r="F1305" s="33"/>
      <c r="G1305" s="33"/>
      <c r="H1305" s="33"/>
      <c r="I1305" s="33"/>
      <c r="J1305" s="33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33"/>
      <c r="B1306" s="2"/>
      <c r="C1306" s="2"/>
      <c r="D1306" s="2"/>
      <c r="E1306" s="33"/>
      <c r="F1306" s="33"/>
      <c r="G1306" s="33"/>
      <c r="H1306" s="33"/>
      <c r="I1306" s="33"/>
      <c r="J1306" s="33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33"/>
      <c r="B1307" s="2"/>
      <c r="C1307" s="2"/>
      <c r="D1307" s="2"/>
      <c r="E1307" s="33"/>
      <c r="F1307" s="33"/>
      <c r="G1307" s="33"/>
      <c r="H1307" s="33"/>
      <c r="I1307" s="33"/>
      <c r="J1307" s="33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33"/>
      <c r="B1308" s="2"/>
      <c r="C1308" s="2"/>
      <c r="D1308" s="2"/>
      <c r="E1308" s="33"/>
      <c r="F1308" s="33"/>
      <c r="G1308" s="33"/>
      <c r="H1308" s="33"/>
      <c r="I1308" s="33"/>
      <c r="J1308" s="33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33"/>
      <c r="B1309" s="2"/>
      <c r="C1309" s="2"/>
      <c r="D1309" s="2"/>
      <c r="E1309" s="33"/>
      <c r="F1309" s="33"/>
      <c r="G1309" s="33"/>
      <c r="H1309" s="33"/>
      <c r="I1309" s="33"/>
      <c r="J1309" s="33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33"/>
      <c r="B1310" s="2"/>
      <c r="C1310" s="2"/>
      <c r="D1310" s="2"/>
      <c r="E1310" s="33"/>
      <c r="F1310" s="33"/>
      <c r="G1310" s="33"/>
      <c r="H1310" s="33"/>
      <c r="I1310" s="33"/>
      <c r="J1310" s="33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33"/>
      <c r="B1311" s="2"/>
      <c r="C1311" s="2"/>
      <c r="D1311" s="2"/>
      <c r="E1311" s="33"/>
      <c r="F1311" s="33"/>
      <c r="G1311" s="33"/>
      <c r="H1311" s="33"/>
      <c r="I1311" s="33"/>
      <c r="J1311" s="33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33"/>
      <c r="B1312" s="2"/>
      <c r="C1312" s="2"/>
      <c r="D1312" s="2"/>
      <c r="E1312" s="33"/>
      <c r="F1312" s="33"/>
      <c r="G1312" s="33"/>
      <c r="H1312" s="33"/>
      <c r="I1312" s="33"/>
      <c r="J1312" s="33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33"/>
      <c r="B1313" s="2"/>
      <c r="C1313" s="2"/>
      <c r="D1313" s="2"/>
      <c r="E1313" s="33"/>
      <c r="F1313" s="33"/>
      <c r="G1313" s="33"/>
      <c r="H1313" s="33"/>
      <c r="I1313" s="33"/>
      <c r="J1313" s="33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33"/>
      <c r="B1314" s="2"/>
      <c r="C1314" s="2"/>
      <c r="D1314" s="2"/>
      <c r="E1314" s="33"/>
      <c r="F1314" s="33"/>
      <c r="G1314" s="33"/>
      <c r="H1314" s="33"/>
      <c r="I1314" s="33"/>
      <c r="J1314" s="33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33"/>
      <c r="B1315" s="2"/>
      <c r="C1315" s="2"/>
      <c r="D1315" s="2"/>
      <c r="E1315" s="33"/>
      <c r="F1315" s="33"/>
      <c r="G1315" s="33"/>
      <c r="H1315" s="33"/>
      <c r="I1315" s="33"/>
      <c r="J1315" s="33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33"/>
      <c r="B1316" s="2"/>
      <c r="C1316" s="2"/>
      <c r="D1316" s="2"/>
      <c r="E1316" s="33"/>
      <c r="F1316" s="33"/>
      <c r="G1316" s="33"/>
      <c r="H1316" s="33"/>
      <c r="I1316" s="33"/>
      <c r="J1316" s="33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33"/>
      <c r="B1317" s="2"/>
      <c r="C1317" s="2"/>
      <c r="D1317" s="2"/>
      <c r="E1317" s="33"/>
      <c r="F1317" s="33"/>
      <c r="G1317" s="33"/>
      <c r="H1317" s="33"/>
      <c r="I1317" s="33"/>
      <c r="J1317" s="33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33"/>
      <c r="B1318" s="2"/>
      <c r="C1318" s="2"/>
      <c r="D1318" s="2"/>
      <c r="E1318" s="33"/>
      <c r="F1318" s="33"/>
      <c r="G1318" s="33"/>
      <c r="H1318" s="33"/>
      <c r="I1318" s="33"/>
      <c r="J1318" s="33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33"/>
      <c r="B1319" s="2"/>
      <c r="C1319" s="2"/>
      <c r="D1319" s="2"/>
      <c r="E1319" s="33"/>
      <c r="F1319" s="33"/>
      <c r="G1319" s="33"/>
      <c r="H1319" s="33"/>
      <c r="I1319" s="33"/>
      <c r="J1319" s="33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33"/>
      <c r="B1320" s="2"/>
      <c r="C1320" s="2"/>
      <c r="D1320" s="2"/>
      <c r="E1320" s="33"/>
      <c r="F1320" s="33"/>
      <c r="G1320" s="33"/>
      <c r="H1320" s="33"/>
      <c r="I1320" s="33"/>
      <c r="J1320" s="33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33"/>
      <c r="B1321" s="2"/>
      <c r="C1321" s="2"/>
      <c r="D1321" s="2"/>
      <c r="E1321" s="33"/>
      <c r="F1321" s="33"/>
      <c r="G1321" s="33"/>
      <c r="H1321" s="33"/>
      <c r="I1321" s="33"/>
      <c r="J1321" s="33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33"/>
      <c r="B1322" s="2"/>
      <c r="C1322" s="2"/>
      <c r="D1322" s="2"/>
      <c r="E1322" s="33"/>
      <c r="F1322" s="33"/>
      <c r="G1322" s="33"/>
      <c r="H1322" s="33"/>
      <c r="I1322" s="33"/>
      <c r="J1322" s="33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33"/>
      <c r="B1323" s="2"/>
      <c r="C1323" s="2"/>
      <c r="D1323" s="2"/>
      <c r="E1323" s="33"/>
      <c r="F1323" s="33"/>
      <c r="G1323" s="33"/>
      <c r="H1323" s="33"/>
      <c r="I1323" s="33"/>
      <c r="J1323" s="33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33"/>
      <c r="B1324" s="2"/>
      <c r="C1324" s="2"/>
      <c r="D1324" s="2"/>
      <c r="E1324" s="33"/>
      <c r="F1324" s="33"/>
      <c r="G1324" s="33"/>
      <c r="H1324" s="33"/>
      <c r="I1324" s="33"/>
      <c r="J1324" s="33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33"/>
      <c r="B1325" s="2"/>
      <c r="C1325" s="2"/>
      <c r="D1325" s="2"/>
      <c r="E1325" s="33"/>
      <c r="F1325" s="33"/>
      <c r="G1325" s="33"/>
      <c r="H1325" s="33"/>
      <c r="I1325" s="33"/>
      <c r="J1325" s="33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33"/>
      <c r="B1326" s="2"/>
      <c r="C1326" s="2"/>
      <c r="D1326" s="2"/>
      <c r="E1326" s="33"/>
      <c r="F1326" s="33"/>
      <c r="G1326" s="33"/>
      <c r="H1326" s="33"/>
      <c r="I1326" s="33"/>
      <c r="J1326" s="33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33"/>
      <c r="B1327" s="2"/>
      <c r="C1327" s="2"/>
      <c r="D1327" s="2"/>
      <c r="E1327" s="33"/>
      <c r="F1327" s="33"/>
      <c r="G1327" s="33"/>
      <c r="H1327" s="33"/>
      <c r="I1327" s="33"/>
      <c r="J1327" s="33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33"/>
      <c r="B1328" s="2"/>
      <c r="C1328" s="2"/>
      <c r="D1328" s="2"/>
      <c r="E1328" s="33"/>
      <c r="F1328" s="33"/>
      <c r="G1328" s="33"/>
      <c r="H1328" s="33"/>
      <c r="I1328" s="33"/>
      <c r="J1328" s="33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33"/>
      <c r="B1329" s="2"/>
      <c r="C1329" s="2"/>
      <c r="D1329" s="2"/>
      <c r="E1329" s="33"/>
      <c r="F1329" s="33"/>
      <c r="G1329" s="33"/>
      <c r="H1329" s="33"/>
      <c r="I1329" s="33"/>
      <c r="J1329" s="33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33"/>
      <c r="B1330" s="2"/>
      <c r="C1330" s="2"/>
      <c r="D1330" s="2"/>
      <c r="E1330" s="33"/>
      <c r="F1330" s="33"/>
      <c r="G1330" s="33"/>
      <c r="H1330" s="33"/>
      <c r="I1330" s="33"/>
      <c r="J1330" s="33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33"/>
      <c r="B1331" s="2"/>
      <c r="C1331" s="2"/>
      <c r="D1331" s="2"/>
      <c r="E1331" s="33"/>
      <c r="F1331" s="33"/>
      <c r="G1331" s="33"/>
      <c r="H1331" s="33"/>
      <c r="I1331" s="33"/>
      <c r="J1331" s="33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33"/>
      <c r="B1332" s="2"/>
      <c r="C1332" s="2"/>
      <c r="D1332" s="2"/>
      <c r="E1332" s="33"/>
      <c r="F1332" s="33"/>
      <c r="G1332" s="33"/>
      <c r="H1332" s="33"/>
      <c r="I1332" s="33"/>
      <c r="J1332" s="33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33"/>
      <c r="B1333" s="2"/>
      <c r="C1333" s="2"/>
      <c r="D1333" s="2"/>
      <c r="E1333" s="33"/>
      <c r="F1333" s="33"/>
      <c r="G1333" s="33"/>
      <c r="H1333" s="33"/>
      <c r="I1333" s="33"/>
      <c r="J1333" s="33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33"/>
      <c r="B1334" s="2"/>
      <c r="C1334" s="2"/>
      <c r="D1334" s="2"/>
      <c r="E1334" s="33"/>
      <c r="F1334" s="33"/>
      <c r="G1334" s="33"/>
      <c r="H1334" s="33"/>
      <c r="I1334" s="33"/>
      <c r="J1334" s="33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33"/>
      <c r="B1335" s="2"/>
      <c r="C1335" s="2"/>
      <c r="D1335" s="2"/>
      <c r="E1335" s="33"/>
      <c r="F1335" s="33"/>
      <c r="G1335" s="33"/>
      <c r="H1335" s="33"/>
      <c r="I1335" s="33"/>
      <c r="J1335" s="33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33"/>
      <c r="B1336" s="2"/>
      <c r="C1336" s="2"/>
      <c r="D1336" s="2"/>
      <c r="E1336" s="33"/>
      <c r="F1336" s="33"/>
      <c r="G1336" s="33"/>
      <c r="H1336" s="33"/>
      <c r="I1336" s="33"/>
      <c r="J1336" s="33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33"/>
      <c r="B1337" s="2"/>
      <c r="C1337" s="2"/>
      <c r="D1337" s="2"/>
      <c r="E1337" s="33"/>
      <c r="F1337" s="33"/>
      <c r="G1337" s="33"/>
      <c r="H1337" s="33"/>
      <c r="I1337" s="33"/>
      <c r="J1337" s="33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33"/>
      <c r="B1338" s="2"/>
      <c r="C1338" s="2"/>
      <c r="D1338" s="2"/>
      <c r="E1338" s="33"/>
      <c r="F1338" s="33"/>
      <c r="G1338" s="33"/>
      <c r="H1338" s="33"/>
      <c r="I1338" s="33"/>
      <c r="J1338" s="33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33"/>
      <c r="B1339" s="2"/>
      <c r="C1339" s="2"/>
      <c r="D1339" s="2"/>
      <c r="E1339" s="33"/>
      <c r="F1339" s="33"/>
      <c r="G1339" s="33"/>
      <c r="H1339" s="33"/>
      <c r="I1339" s="33"/>
      <c r="J1339" s="33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33"/>
      <c r="B1340" s="2"/>
      <c r="C1340" s="2"/>
      <c r="D1340" s="2"/>
      <c r="E1340" s="33"/>
      <c r="F1340" s="33"/>
      <c r="G1340" s="33"/>
      <c r="H1340" s="33"/>
      <c r="I1340" s="33"/>
      <c r="J1340" s="33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33"/>
      <c r="B1341" s="2"/>
      <c r="C1341" s="2"/>
      <c r="D1341" s="2"/>
      <c r="E1341" s="33"/>
      <c r="F1341" s="33"/>
      <c r="G1341" s="33"/>
      <c r="H1341" s="33"/>
      <c r="I1341" s="33"/>
      <c r="J1341" s="33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33"/>
      <c r="B1342" s="2"/>
      <c r="C1342" s="2"/>
      <c r="D1342" s="2"/>
      <c r="E1342" s="33"/>
      <c r="F1342" s="33"/>
      <c r="G1342" s="33"/>
      <c r="H1342" s="33"/>
      <c r="I1342" s="33"/>
      <c r="J1342" s="33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33"/>
      <c r="B1343" s="2"/>
      <c r="C1343" s="2"/>
      <c r="D1343" s="2"/>
      <c r="E1343" s="33"/>
      <c r="F1343" s="33"/>
      <c r="G1343" s="33"/>
      <c r="H1343" s="33"/>
      <c r="I1343" s="33"/>
      <c r="J1343" s="33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33"/>
      <c r="B1344" s="2"/>
      <c r="C1344" s="2"/>
      <c r="D1344" s="2"/>
      <c r="E1344" s="33"/>
      <c r="F1344" s="33"/>
      <c r="G1344" s="33"/>
      <c r="H1344" s="33"/>
      <c r="I1344" s="33"/>
      <c r="J1344" s="33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33"/>
      <c r="B1345" s="2"/>
      <c r="C1345" s="2"/>
      <c r="D1345" s="2"/>
      <c r="E1345" s="33"/>
      <c r="F1345" s="33"/>
      <c r="G1345" s="33"/>
      <c r="H1345" s="33"/>
      <c r="I1345" s="33"/>
      <c r="J1345" s="33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33"/>
      <c r="B1346" s="2"/>
      <c r="C1346" s="2"/>
      <c r="D1346" s="2"/>
      <c r="E1346" s="33"/>
      <c r="F1346" s="33"/>
      <c r="G1346" s="33"/>
      <c r="H1346" s="33"/>
      <c r="I1346" s="33"/>
      <c r="J1346" s="33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33"/>
      <c r="B1347" s="2"/>
      <c r="C1347" s="2"/>
      <c r="D1347" s="2"/>
      <c r="E1347" s="33"/>
      <c r="F1347" s="33"/>
      <c r="G1347" s="33"/>
      <c r="H1347" s="33"/>
      <c r="I1347" s="33"/>
      <c r="J1347" s="33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33"/>
      <c r="B1348" s="2"/>
      <c r="C1348" s="2"/>
      <c r="D1348" s="2"/>
      <c r="E1348" s="33"/>
      <c r="F1348" s="33"/>
      <c r="G1348" s="33"/>
      <c r="H1348" s="33"/>
      <c r="I1348" s="33"/>
      <c r="J1348" s="33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33"/>
      <c r="B1349" s="2"/>
      <c r="C1349" s="2"/>
      <c r="D1349" s="2"/>
      <c r="E1349" s="33"/>
      <c r="F1349" s="33"/>
      <c r="G1349" s="33"/>
      <c r="H1349" s="33"/>
      <c r="I1349" s="33"/>
      <c r="J1349" s="33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33"/>
      <c r="B1350" s="2"/>
      <c r="C1350" s="2"/>
      <c r="D1350" s="2"/>
      <c r="E1350" s="33"/>
      <c r="F1350" s="33"/>
      <c r="G1350" s="33"/>
      <c r="H1350" s="33"/>
      <c r="I1350" s="33"/>
      <c r="J1350" s="33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33"/>
      <c r="B1351" s="2"/>
      <c r="C1351" s="2"/>
      <c r="D1351" s="2"/>
      <c r="E1351" s="33"/>
      <c r="F1351" s="33"/>
      <c r="G1351" s="33"/>
      <c r="H1351" s="33"/>
      <c r="I1351" s="33"/>
      <c r="J1351" s="33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33"/>
      <c r="B1352" s="2"/>
      <c r="C1352" s="2"/>
      <c r="D1352" s="2"/>
      <c r="E1352" s="33"/>
      <c r="F1352" s="33"/>
      <c r="G1352" s="33"/>
      <c r="H1352" s="33"/>
      <c r="I1352" s="33"/>
      <c r="J1352" s="33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33"/>
      <c r="B1353" s="2"/>
      <c r="C1353" s="2"/>
      <c r="D1353" s="2"/>
      <c r="E1353" s="33"/>
      <c r="F1353" s="33"/>
      <c r="G1353" s="33"/>
      <c r="H1353" s="33"/>
      <c r="I1353" s="33"/>
      <c r="J1353" s="33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33"/>
      <c r="B1354" s="2"/>
      <c r="C1354" s="2"/>
      <c r="D1354" s="2"/>
      <c r="E1354" s="33"/>
      <c r="F1354" s="33"/>
      <c r="G1354" s="33"/>
      <c r="H1354" s="33"/>
      <c r="I1354" s="33"/>
      <c r="J1354" s="33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33"/>
      <c r="B1355" s="2"/>
      <c r="C1355" s="2"/>
      <c r="D1355" s="2"/>
      <c r="E1355" s="33"/>
      <c r="F1355" s="33"/>
      <c r="G1355" s="33"/>
      <c r="H1355" s="33"/>
      <c r="I1355" s="33"/>
      <c r="J1355" s="33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33"/>
      <c r="B1356" s="2"/>
      <c r="C1356" s="2"/>
      <c r="D1356" s="2"/>
      <c r="E1356" s="33"/>
      <c r="F1356" s="33"/>
      <c r="G1356" s="33"/>
      <c r="H1356" s="33"/>
      <c r="I1356" s="33"/>
      <c r="J1356" s="33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33"/>
      <c r="B1357" s="2"/>
      <c r="C1357" s="2"/>
      <c r="D1357" s="2"/>
      <c r="E1357" s="33"/>
      <c r="F1357" s="33"/>
      <c r="G1357" s="33"/>
      <c r="H1357" s="33"/>
      <c r="I1357" s="33"/>
      <c r="J1357" s="33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33"/>
      <c r="B1358" s="2"/>
      <c r="C1358" s="2"/>
      <c r="D1358" s="2"/>
      <c r="E1358" s="33"/>
      <c r="F1358" s="33"/>
      <c r="G1358" s="33"/>
      <c r="H1358" s="33"/>
      <c r="I1358" s="33"/>
      <c r="J1358" s="33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33"/>
      <c r="B1359" s="2"/>
      <c r="C1359" s="2"/>
      <c r="D1359" s="2"/>
      <c r="E1359" s="33"/>
      <c r="F1359" s="33"/>
      <c r="G1359" s="33"/>
      <c r="H1359" s="33"/>
      <c r="I1359" s="33"/>
      <c r="J1359" s="33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33"/>
      <c r="B1360" s="2"/>
      <c r="C1360" s="2"/>
      <c r="D1360" s="2"/>
      <c r="E1360" s="33"/>
      <c r="F1360" s="33"/>
      <c r="G1360" s="33"/>
      <c r="H1360" s="33"/>
      <c r="I1360" s="33"/>
      <c r="J1360" s="33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33"/>
      <c r="B1361" s="2"/>
      <c r="C1361" s="2"/>
      <c r="D1361" s="2"/>
      <c r="E1361" s="33"/>
      <c r="F1361" s="33"/>
      <c r="G1361" s="33"/>
      <c r="H1361" s="33"/>
      <c r="I1361" s="33"/>
      <c r="J1361" s="33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33"/>
      <c r="B1362" s="2"/>
      <c r="C1362" s="2"/>
      <c r="D1362" s="2"/>
      <c r="E1362" s="33"/>
      <c r="F1362" s="33"/>
      <c r="G1362" s="33"/>
      <c r="H1362" s="33"/>
      <c r="I1362" s="33"/>
      <c r="J1362" s="33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33"/>
      <c r="B1363" s="2"/>
      <c r="C1363" s="2"/>
      <c r="D1363" s="2"/>
      <c r="E1363" s="33"/>
      <c r="F1363" s="33"/>
      <c r="G1363" s="33"/>
      <c r="H1363" s="33"/>
      <c r="I1363" s="33"/>
      <c r="J1363" s="33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33"/>
      <c r="B1364" s="2"/>
      <c r="C1364" s="2"/>
      <c r="D1364" s="2"/>
      <c r="E1364" s="33"/>
      <c r="F1364" s="33"/>
      <c r="G1364" s="33"/>
      <c r="H1364" s="33"/>
      <c r="I1364" s="33"/>
      <c r="J1364" s="33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33"/>
      <c r="B1365" s="2"/>
      <c r="C1365" s="2"/>
      <c r="D1365" s="2"/>
      <c r="E1365" s="33"/>
      <c r="F1365" s="33"/>
      <c r="G1365" s="33"/>
      <c r="H1365" s="33"/>
      <c r="I1365" s="33"/>
      <c r="J1365" s="33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33"/>
      <c r="B1366" s="2"/>
      <c r="C1366" s="2"/>
      <c r="D1366" s="2"/>
      <c r="E1366" s="33"/>
      <c r="F1366" s="33"/>
      <c r="G1366" s="33"/>
      <c r="H1366" s="33"/>
      <c r="I1366" s="33"/>
      <c r="J1366" s="33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33"/>
      <c r="B1367" s="2"/>
      <c r="C1367" s="2"/>
      <c r="D1367" s="2"/>
      <c r="E1367" s="33"/>
      <c r="F1367" s="33"/>
      <c r="G1367" s="33"/>
      <c r="H1367" s="33"/>
      <c r="I1367" s="33"/>
      <c r="J1367" s="33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33"/>
      <c r="B1368" s="2"/>
      <c r="C1368" s="2"/>
      <c r="D1368" s="2"/>
      <c r="E1368" s="33"/>
      <c r="F1368" s="33"/>
      <c r="G1368" s="33"/>
      <c r="H1368" s="33"/>
      <c r="I1368" s="33"/>
      <c r="J1368" s="33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33"/>
      <c r="B1369" s="2"/>
      <c r="C1369" s="2"/>
      <c r="D1369" s="2"/>
      <c r="E1369" s="33"/>
      <c r="F1369" s="33"/>
      <c r="G1369" s="33"/>
      <c r="H1369" s="33"/>
      <c r="I1369" s="33"/>
      <c r="J1369" s="33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33"/>
      <c r="B1370" s="2"/>
      <c r="C1370" s="2"/>
      <c r="D1370" s="2"/>
      <c r="E1370" s="33"/>
      <c r="F1370" s="33"/>
      <c r="G1370" s="33"/>
      <c r="H1370" s="33"/>
      <c r="I1370" s="33"/>
      <c r="J1370" s="33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33"/>
      <c r="B1371" s="2"/>
      <c r="C1371" s="2"/>
      <c r="D1371" s="2"/>
      <c r="E1371" s="33"/>
      <c r="F1371" s="33"/>
      <c r="G1371" s="33"/>
      <c r="H1371" s="33"/>
      <c r="I1371" s="33"/>
      <c r="J1371" s="33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33"/>
      <c r="B1372" s="2"/>
      <c r="C1372" s="2"/>
      <c r="D1372" s="2"/>
      <c r="E1372" s="33"/>
      <c r="F1372" s="33"/>
      <c r="G1372" s="33"/>
      <c r="H1372" s="33"/>
      <c r="I1372" s="33"/>
      <c r="J1372" s="33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33"/>
      <c r="B1373" s="2"/>
      <c r="C1373" s="2"/>
      <c r="D1373" s="2"/>
      <c r="E1373" s="33"/>
      <c r="F1373" s="33"/>
      <c r="G1373" s="33"/>
      <c r="H1373" s="33"/>
      <c r="I1373" s="33"/>
      <c r="J1373" s="33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33"/>
      <c r="B1374" s="2"/>
      <c r="C1374" s="2"/>
      <c r="D1374" s="2"/>
      <c r="E1374" s="33"/>
      <c r="F1374" s="33"/>
      <c r="G1374" s="33"/>
      <c r="H1374" s="33"/>
      <c r="I1374" s="33"/>
      <c r="J1374" s="33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33"/>
      <c r="B1375" s="2"/>
      <c r="C1375" s="2"/>
      <c r="D1375" s="2"/>
      <c r="E1375" s="33"/>
      <c r="F1375" s="33"/>
      <c r="G1375" s="33"/>
      <c r="H1375" s="33"/>
      <c r="I1375" s="33"/>
      <c r="J1375" s="33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33"/>
      <c r="B1376" s="2"/>
      <c r="C1376" s="2"/>
      <c r="D1376" s="2"/>
      <c r="E1376" s="33"/>
      <c r="F1376" s="33"/>
      <c r="G1376" s="33"/>
      <c r="H1376" s="33"/>
      <c r="I1376" s="33"/>
      <c r="J1376" s="33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33"/>
      <c r="B1377" s="2"/>
      <c r="C1377" s="2"/>
      <c r="D1377" s="2"/>
      <c r="E1377" s="33"/>
      <c r="F1377" s="33"/>
      <c r="G1377" s="33"/>
      <c r="H1377" s="33"/>
      <c r="I1377" s="33"/>
      <c r="J1377" s="33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33"/>
      <c r="B1378" s="2"/>
      <c r="C1378" s="2"/>
      <c r="D1378" s="2"/>
      <c r="E1378" s="33"/>
      <c r="F1378" s="33"/>
      <c r="G1378" s="33"/>
      <c r="H1378" s="33"/>
      <c r="I1378" s="33"/>
      <c r="J1378" s="33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33"/>
      <c r="B1379" s="2"/>
      <c r="C1379" s="2"/>
      <c r="D1379" s="2"/>
      <c r="E1379" s="33"/>
      <c r="F1379" s="33"/>
      <c r="G1379" s="33"/>
      <c r="H1379" s="33"/>
      <c r="I1379" s="33"/>
      <c r="J1379" s="33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33"/>
      <c r="B1380" s="2"/>
      <c r="C1380" s="2"/>
      <c r="D1380" s="2"/>
      <c r="E1380" s="33"/>
      <c r="F1380" s="33"/>
      <c r="G1380" s="33"/>
      <c r="H1380" s="33"/>
      <c r="I1380" s="33"/>
      <c r="J1380" s="33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33"/>
      <c r="B1381" s="2"/>
      <c r="C1381" s="2"/>
      <c r="D1381" s="2"/>
      <c r="E1381" s="33"/>
      <c r="F1381" s="33"/>
      <c r="G1381" s="33"/>
      <c r="H1381" s="33"/>
      <c r="I1381" s="33"/>
      <c r="J1381" s="33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33"/>
      <c r="B1382" s="2"/>
      <c r="C1382" s="2"/>
      <c r="D1382" s="2"/>
      <c r="E1382" s="33"/>
      <c r="F1382" s="33"/>
      <c r="G1382" s="33"/>
      <c r="H1382" s="33"/>
      <c r="I1382" s="33"/>
      <c r="J1382" s="33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33"/>
      <c r="B1383" s="2"/>
      <c r="C1383" s="2"/>
      <c r="D1383" s="2"/>
      <c r="E1383" s="33"/>
      <c r="F1383" s="33"/>
      <c r="G1383" s="33"/>
      <c r="H1383" s="33"/>
      <c r="I1383" s="33"/>
      <c r="J1383" s="33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33"/>
      <c r="B1384" s="2"/>
      <c r="C1384" s="2"/>
      <c r="D1384" s="2"/>
      <c r="E1384" s="33"/>
      <c r="F1384" s="33"/>
      <c r="G1384" s="33"/>
      <c r="H1384" s="33"/>
      <c r="I1384" s="33"/>
      <c r="J1384" s="33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>
      <c r="A1385" s="33"/>
      <c r="B1385" s="2"/>
      <c r="C1385" s="2"/>
      <c r="D1385" s="2"/>
      <c r="E1385" s="33"/>
      <c r="F1385" s="33"/>
      <c r="G1385" s="33"/>
      <c r="H1385" s="33"/>
      <c r="I1385" s="33"/>
      <c r="J1385" s="33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>
      <c r="A1386" s="33"/>
      <c r="B1386" s="2"/>
      <c r="C1386" s="2"/>
      <c r="D1386" s="2"/>
      <c r="E1386" s="33"/>
      <c r="F1386" s="33"/>
      <c r="G1386" s="33"/>
      <c r="H1386" s="33"/>
      <c r="I1386" s="33"/>
      <c r="J1386" s="33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>
      <c r="A1387" s="33"/>
      <c r="B1387" s="2"/>
      <c r="C1387" s="2"/>
      <c r="D1387" s="2"/>
      <c r="E1387" s="33"/>
      <c r="F1387" s="33"/>
      <c r="G1387" s="33"/>
      <c r="H1387" s="33"/>
      <c r="I1387" s="33"/>
      <c r="J1387" s="33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>
      <c r="A1388" s="33"/>
      <c r="B1388" s="2"/>
      <c r="C1388" s="2"/>
      <c r="D1388" s="2"/>
      <c r="E1388" s="33"/>
      <c r="F1388" s="33"/>
      <c r="G1388" s="33"/>
      <c r="H1388" s="33"/>
      <c r="I1388" s="33"/>
      <c r="J1388" s="33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>
      <c r="A1389" s="33"/>
      <c r="B1389" s="2"/>
      <c r="C1389" s="2"/>
      <c r="D1389" s="2"/>
      <c r="E1389" s="33"/>
      <c r="F1389" s="33"/>
      <c r="G1389" s="33"/>
      <c r="H1389" s="33"/>
      <c r="I1389" s="33"/>
      <c r="J1389" s="33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>
      <c r="A1390" s="33"/>
      <c r="B1390" s="2"/>
      <c r="C1390" s="2"/>
      <c r="D1390" s="2"/>
      <c r="E1390" s="33"/>
      <c r="F1390" s="33"/>
      <c r="G1390" s="33"/>
      <c r="H1390" s="33"/>
      <c r="I1390" s="33"/>
      <c r="J1390" s="33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>
      <c r="A1391" s="33"/>
      <c r="B1391" s="2"/>
      <c r="C1391" s="2"/>
      <c r="D1391" s="2"/>
      <c r="E1391" s="33"/>
      <c r="F1391" s="33"/>
      <c r="G1391" s="33"/>
      <c r="H1391" s="33"/>
      <c r="I1391" s="33"/>
      <c r="J1391" s="33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>
      <c r="A1392" s="33"/>
      <c r="B1392" s="2"/>
      <c r="C1392" s="2"/>
      <c r="D1392" s="2"/>
      <c r="E1392" s="33"/>
      <c r="F1392" s="33"/>
      <c r="G1392" s="33"/>
      <c r="H1392" s="33"/>
      <c r="I1392" s="33"/>
      <c r="J1392" s="33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>
      <c r="A1393" s="33"/>
      <c r="B1393" s="2"/>
      <c r="C1393" s="2"/>
      <c r="D1393" s="2"/>
      <c r="E1393" s="33"/>
      <c r="F1393" s="33"/>
      <c r="G1393" s="33"/>
      <c r="H1393" s="33"/>
      <c r="I1393" s="33"/>
      <c r="J1393" s="33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>
      <c r="A1394" s="33"/>
      <c r="B1394" s="2"/>
      <c r="C1394" s="2"/>
      <c r="D1394" s="2"/>
      <c r="E1394" s="33"/>
      <c r="F1394" s="33"/>
      <c r="G1394" s="33"/>
      <c r="H1394" s="33"/>
      <c r="I1394" s="33"/>
      <c r="J1394" s="33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>
      <c r="A1395" s="33"/>
      <c r="B1395" s="2"/>
      <c r="C1395" s="2"/>
      <c r="D1395" s="2"/>
      <c r="E1395" s="33"/>
      <c r="F1395" s="33"/>
      <c r="G1395" s="33"/>
      <c r="H1395" s="33"/>
      <c r="I1395" s="33"/>
      <c r="J1395" s="33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>
      <c r="A1396" s="33"/>
      <c r="B1396" s="2"/>
      <c r="C1396" s="2"/>
      <c r="D1396" s="2"/>
      <c r="E1396" s="33"/>
      <c r="F1396" s="33"/>
      <c r="G1396" s="33"/>
      <c r="H1396" s="33"/>
      <c r="I1396" s="33"/>
      <c r="J1396" s="33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>
      <c r="A1397" s="33"/>
      <c r="B1397" s="2"/>
      <c r="C1397" s="2"/>
      <c r="D1397" s="2"/>
      <c r="E1397" s="33"/>
      <c r="F1397" s="33"/>
      <c r="G1397" s="33"/>
      <c r="H1397" s="33"/>
      <c r="I1397" s="33"/>
      <c r="J1397" s="33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>
      <c r="A1398" s="33"/>
      <c r="B1398" s="2"/>
      <c r="C1398" s="2"/>
      <c r="D1398" s="2"/>
      <c r="E1398" s="33"/>
      <c r="F1398" s="33"/>
      <c r="G1398" s="33"/>
      <c r="H1398" s="33"/>
      <c r="I1398" s="33"/>
      <c r="J1398" s="33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>
      <c r="A1399" s="33"/>
      <c r="B1399" s="2"/>
      <c r="C1399" s="2"/>
      <c r="D1399" s="2"/>
      <c r="E1399" s="33"/>
      <c r="F1399" s="33"/>
      <c r="G1399" s="33"/>
      <c r="H1399" s="33"/>
      <c r="I1399" s="33"/>
      <c r="J1399" s="33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>
      <c r="A1400" s="33"/>
      <c r="B1400" s="2"/>
      <c r="C1400" s="2"/>
      <c r="D1400" s="2"/>
      <c r="E1400" s="33"/>
      <c r="F1400" s="33"/>
      <c r="G1400" s="33"/>
      <c r="H1400" s="33"/>
      <c r="I1400" s="33"/>
      <c r="J1400" s="33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>
      <c r="A1401" s="33"/>
      <c r="B1401" s="2"/>
      <c r="C1401" s="2"/>
      <c r="D1401" s="2"/>
      <c r="E1401" s="33"/>
      <c r="F1401" s="33"/>
      <c r="G1401" s="33"/>
      <c r="H1401" s="33"/>
      <c r="I1401" s="33"/>
      <c r="J1401" s="33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>
      <c r="A1402" s="33"/>
      <c r="B1402" s="2"/>
      <c r="C1402" s="2"/>
      <c r="D1402" s="2"/>
      <c r="E1402" s="33"/>
      <c r="F1402" s="33"/>
      <c r="G1402" s="33"/>
      <c r="H1402" s="33"/>
      <c r="I1402" s="33"/>
      <c r="J1402" s="33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>
      <c r="A1403" s="33"/>
      <c r="B1403" s="2"/>
      <c r="C1403" s="2"/>
      <c r="D1403" s="2"/>
      <c r="E1403" s="33"/>
      <c r="F1403" s="33"/>
      <c r="G1403" s="33"/>
      <c r="H1403" s="33"/>
      <c r="I1403" s="33"/>
      <c r="J1403" s="33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>
      <c r="A1404" s="33"/>
      <c r="B1404" s="2"/>
      <c r="C1404" s="2"/>
      <c r="D1404" s="2"/>
      <c r="E1404" s="33"/>
      <c r="F1404" s="33"/>
      <c r="G1404" s="33"/>
      <c r="H1404" s="33"/>
      <c r="I1404" s="33"/>
      <c r="J1404" s="33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>
      <c r="A1405" s="33"/>
      <c r="B1405" s="2"/>
      <c r="C1405" s="2"/>
      <c r="D1405" s="2"/>
      <c r="E1405" s="33"/>
      <c r="F1405" s="33"/>
      <c r="G1405" s="33"/>
      <c r="H1405" s="33"/>
      <c r="I1405" s="33"/>
      <c r="J1405" s="33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>
      <c r="A1406" s="33"/>
      <c r="B1406" s="2"/>
      <c r="C1406" s="2"/>
      <c r="D1406" s="2"/>
      <c r="E1406" s="33"/>
      <c r="F1406" s="33"/>
      <c r="G1406" s="33"/>
      <c r="H1406" s="33"/>
      <c r="I1406" s="33"/>
      <c r="J1406" s="33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>
      <c r="A1407" s="33"/>
      <c r="B1407" s="2"/>
      <c r="C1407" s="2"/>
      <c r="D1407" s="2"/>
      <c r="E1407" s="33"/>
      <c r="F1407" s="33"/>
      <c r="G1407" s="33"/>
      <c r="H1407" s="33"/>
      <c r="I1407" s="33"/>
      <c r="J1407" s="33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>
      <c r="A1408" s="33"/>
      <c r="B1408" s="2"/>
      <c r="C1408" s="2"/>
      <c r="D1408" s="2"/>
      <c r="E1408" s="33"/>
      <c r="F1408" s="33"/>
      <c r="G1408" s="33"/>
      <c r="H1408" s="33"/>
      <c r="I1408" s="33"/>
      <c r="J1408" s="33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>
      <c r="A1409" s="33"/>
      <c r="B1409" s="2"/>
      <c r="C1409" s="2"/>
      <c r="D1409" s="2"/>
      <c r="E1409" s="33"/>
      <c r="F1409" s="33"/>
      <c r="G1409" s="33"/>
      <c r="H1409" s="33"/>
      <c r="I1409" s="33"/>
      <c r="J1409" s="33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>
      <c r="A1410" s="33"/>
      <c r="B1410" s="2"/>
      <c r="C1410" s="2"/>
      <c r="D1410" s="2"/>
      <c r="E1410" s="33"/>
      <c r="F1410" s="33"/>
      <c r="G1410" s="33"/>
      <c r="H1410" s="33"/>
      <c r="I1410" s="33"/>
      <c r="J1410" s="33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>
      <c r="A1411" s="33"/>
      <c r="B1411" s="2"/>
      <c r="C1411" s="2"/>
      <c r="D1411" s="2"/>
      <c r="E1411" s="33"/>
      <c r="F1411" s="33"/>
      <c r="G1411" s="33"/>
      <c r="H1411" s="33"/>
      <c r="I1411" s="33"/>
      <c r="J1411" s="33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>
      <c r="A1412" s="33"/>
      <c r="B1412" s="2"/>
      <c r="C1412" s="2"/>
      <c r="D1412" s="2"/>
      <c r="E1412" s="33"/>
      <c r="F1412" s="33"/>
      <c r="G1412" s="33"/>
      <c r="H1412" s="33"/>
      <c r="I1412" s="33"/>
      <c r="J1412" s="33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>
      <c r="A1413" s="33"/>
      <c r="B1413" s="2"/>
      <c r="C1413" s="2"/>
      <c r="D1413" s="2"/>
      <c r="E1413" s="33"/>
      <c r="F1413" s="33"/>
      <c r="G1413" s="33"/>
      <c r="H1413" s="33"/>
      <c r="I1413" s="33"/>
      <c r="J1413" s="33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>
      <c r="A1414" s="33"/>
      <c r="B1414" s="2"/>
      <c r="C1414" s="2"/>
      <c r="D1414" s="2"/>
      <c r="E1414" s="33"/>
      <c r="F1414" s="33"/>
      <c r="G1414" s="33"/>
      <c r="H1414" s="33"/>
      <c r="I1414" s="33"/>
      <c r="J1414" s="33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>
      <c r="A1415" s="33"/>
      <c r="B1415" s="2"/>
      <c r="C1415" s="2"/>
      <c r="D1415" s="2"/>
      <c r="E1415" s="33"/>
      <c r="F1415" s="33"/>
      <c r="G1415" s="33"/>
      <c r="H1415" s="33"/>
      <c r="I1415" s="33"/>
      <c r="J1415" s="33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>
      <c r="A1416" s="33"/>
      <c r="B1416" s="2"/>
      <c r="C1416" s="2"/>
      <c r="D1416" s="2"/>
      <c r="E1416" s="33"/>
      <c r="F1416" s="33"/>
      <c r="G1416" s="33"/>
      <c r="H1416" s="33"/>
      <c r="I1416" s="33"/>
      <c r="J1416" s="33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>
      <c r="A1417" s="33"/>
      <c r="B1417" s="2"/>
      <c r="C1417" s="2"/>
      <c r="D1417" s="2"/>
      <c r="E1417" s="33"/>
      <c r="F1417" s="33"/>
      <c r="G1417" s="33"/>
      <c r="H1417" s="33"/>
      <c r="I1417" s="33"/>
      <c r="J1417" s="33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>
      <c r="A1418" s="33"/>
      <c r="B1418" s="2"/>
      <c r="C1418" s="2"/>
      <c r="D1418" s="2"/>
      <c r="E1418" s="33"/>
      <c r="F1418" s="33"/>
      <c r="G1418" s="33"/>
      <c r="H1418" s="33"/>
      <c r="I1418" s="33"/>
      <c r="J1418" s="33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>
      <c r="A1419" s="33"/>
      <c r="B1419" s="2"/>
      <c r="C1419" s="2"/>
      <c r="D1419" s="2"/>
      <c r="E1419" s="33"/>
      <c r="F1419" s="33"/>
      <c r="G1419" s="33"/>
      <c r="H1419" s="33"/>
      <c r="I1419" s="33"/>
      <c r="J1419" s="33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>
      <c r="A1420" s="33"/>
      <c r="B1420" s="2"/>
      <c r="C1420" s="2"/>
      <c r="D1420" s="2"/>
      <c r="E1420" s="33"/>
      <c r="F1420" s="33"/>
      <c r="G1420" s="33"/>
      <c r="H1420" s="33"/>
      <c r="I1420" s="33"/>
      <c r="J1420" s="33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>
      <c r="A1421" s="33"/>
      <c r="B1421" s="2"/>
      <c r="C1421" s="2"/>
      <c r="D1421" s="2"/>
      <c r="E1421" s="33"/>
      <c r="F1421" s="33"/>
      <c r="G1421" s="33"/>
      <c r="H1421" s="33"/>
      <c r="I1421" s="33"/>
      <c r="J1421" s="33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>
      <c r="A1422" s="33"/>
      <c r="B1422" s="2"/>
      <c r="C1422" s="2"/>
      <c r="D1422" s="2"/>
      <c r="E1422" s="33"/>
      <c r="F1422" s="33"/>
      <c r="G1422" s="33"/>
      <c r="H1422" s="33"/>
      <c r="I1422" s="33"/>
      <c r="J1422" s="33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>
      <c r="A1423" s="33"/>
      <c r="B1423" s="2"/>
      <c r="C1423" s="2"/>
      <c r="D1423" s="2"/>
      <c r="E1423" s="33"/>
      <c r="F1423" s="33"/>
      <c r="G1423" s="33"/>
      <c r="H1423" s="33"/>
      <c r="I1423" s="33"/>
      <c r="J1423" s="33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>
      <c r="A1424" s="33"/>
      <c r="B1424" s="2"/>
      <c r="C1424" s="2"/>
      <c r="D1424" s="2"/>
      <c r="E1424" s="33"/>
      <c r="F1424" s="33"/>
      <c r="G1424" s="33"/>
      <c r="H1424" s="33"/>
      <c r="I1424" s="33"/>
      <c r="J1424" s="33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>
      <c r="A1425" s="33"/>
      <c r="B1425" s="2"/>
      <c r="C1425" s="2"/>
      <c r="D1425" s="2"/>
      <c r="E1425" s="33"/>
      <c r="F1425" s="33"/>
      <c r="G1425" s="33"/>
      <c r="H1425" s="33"/>
      <c r="I1425" s="33"/>
      <c r="J1425" s="33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>
      <c r="A1426" s="33"/>
      <c r="B1426" s="2"/>
      <c r="C1426" s="2"/>
      <c r="D1426" s="2"/>
      <c r="E1426" s="33"/>
      <c r="F1426" s="33"/>
      <c r="G1426" s="33"/>
      <c r="H1426" s="33"/>
      <c r="I1426" s="33"/>
      <c r="J1426" s="33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>
      <c r="A1427" s="33"/>
      <c r="B1427" s="2"/>
      <c r="C1427" s="2"/>
      <c r="D1427" s="2"/>
      <c r="E1427" s="33"/>
      <c r="F1427" s="33"/>
      <c r="G1427" s="33"/>
      <c r="H1427" s="33"/>
      <c r="I1427" s="33"/>
      <c r="J1427" s="33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>
      <c r="A1428" s="33"/>
      <c r="B1428" s="2"/>
      <c r="C1428" s="2"/>
      <c r="D1428" s="2"/>
      <c r="E1428" s="33"/>
      <c r="F1428" s="33"/>
      <c r="G1428" s="33"/>
      <c r="H1428" s="33"/>
      <c r="I1428" s="33"/>
      <c r="J1428" s="33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>
      <c r="A1429" s="33"/>
      <c r="B1429" s="2"/>
      <c r="C1429" s="2"/>
      <c r="D1429" s="2"/>
      <c r="E1429" s="33"/>
      <c r="F1429" s="33"/>
      <c r="G1429" s="33"/>
      <c r="H1429" s="33"/>
      <c r="I1429" s="33"/>
      <c r="J1429" s="33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>
      <c r="A1430" s="33"/>
      <c r="B1430" s="2"/>
      <c r="C1430" s="2"/>
      <c r="D1430" s="2"/>
      <c r="E1430" s="33"/>
      <c r="F1430" s="33"/>
      <c r="G1430" s="33"/>
      <c r="H1430" s="33"/>
      <c r="I1430" s="33"/>
      <c r="J1430" s="33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>
      <c r="A1431" s="33"/>
      <c r="B1431" s="2"/>
      <c r="C1431" s="2"/>
      <c r="D1431" s="2"/>
      <c r="E1431" s="33"/>
      <c r="F1431" s="33"/>
      <c r="G1431" s="33"/>
      <c r="H1431" s="33"/>
      <c r="I1431" s="33"/>
      <c r="J1431" s="33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>
      <c r="A1432" s="33"/>
      <c r="B1432" s="2"/>
      <c r="C1432" s="2"/>
      <c r="D1432" s="2"/>
      <c r="E1432" s="33"/>
      <c r="F1432" s="33"/>
      <c r="G1432" s="33"/>
      <c r="H1432" s="33"/>
      <c r="I1432" s="33"/>
      <c r="J1432" s="33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>
      <c r="A1433" s="33"/>
      <c r="B1433" s="2"/>
      <c r="C1433" s="2"/>
      <c r="D1433" s="2"/>
      <c r="E1433" s="33"/>
      <c r="F1433" s="33"/>
      <c r="G1433" s="33"/>
      <c r="H1433" s="33"/>
      <c r="I1433" s="33"/>
      <c r="J1433" s="33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>
      <c r="A1434" s="33"/>
      <c r="B1434" s="2"/>
      <c r="C1434" s="2"/>
      <c r="D1434" s="2"/>
      <c r="E1434" s="33"/>
      <c r="F1434" s="33"/>
      <c r="G1434" s="33"/>
      <c r="H1434" s="33"/>
      <c r="I1434" s="33"/>
      <c r="J1434" s="33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>
      <c r="A1435" s="33"/>
      <c r="B1435" s="2"/>
      <c r="C1435" s="2"/>
      <c r="D1435" s="2"/>
      <c r="E1435" s="33"/>
      <c r="F1435" s="33"/>
      <c r="G1435" s="33"/>
      <c r="H1435" s="33"/>
      <c r="I1435" s="33"/>
      <c r="J1435" s="33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509:C509"/>
    <mergeCell ref="A510:A511"/>
    <mergeCell ref="B510:B511"/>
    <mergeCell ref="C510:C511"/>
    <mergeCell ref="D510:D511"/>
    <mergeCell ref="E510:F510"/>
    <mergeCell ref="B4:B8"/>
    <mergeCell ref="C7:D7"/>
    <mergeCell ref="A24:C24"/>
    <mergeCell ref="A28:D28"/>
    <mergeCell ref="A29:A30"/>
    <mergeCell ref="B29:D29"/>
    <mergeCell ref="A149:C149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150:A151"/>
    <mergeCell ref="B150:B151"/>
    <mergeCell ref="C150:C151"/>
    <mergeCell ref="D150:D151"/>
    <mergeCell ref="E150:F150"/>
    <mergeCell ref="G150:R150"/>
    <mergeCell ref="A370:C370"/>
    <mergeCell ref="A371:A372"/>
    <mergeCell ref="B371:B372"/>
    <mergeCell ref="C371:C372"/>
    <mergeCell ref="D371:D372"/>
    <mergeCell ref="E371:F371"/>
    <mergeCell ref="G371:R371"/>
    <mergeCell ref="G510:R5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71" t="s">
        <v>3</v>
      </c>
      <c r="B4" s="71" t="s">
        <v>118</v>
      </c>
      <c r="C4" s="70" t="s">
        <v>1348</v>
      </c>
      <c r="D4" s="31"/>
      <c r="E4" s="9"/>
      <c r="F4" s="134" t="s">
        <v>1349</v>
      </c>
      <c r="G4" s="70" t="s">
        <v>1350</v>
      </c>
      <c r="H4" s="31"/>
      <c r="I4" s="31"/>
      <c r="J4" s="31"/>
      <c r="K4" s="31"/>
      <c r="L4" s="31"/>
      <c r="M4" s="31"/>
      <c r="N4" s="9"/>
      <c r="O4" s="70" t="s">
        <v>1351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9"/>
      <c r="AA4" s="135" t="s">
        <v>1352</v>
      </c>
      <c r="AB4" s="136" t="s">
        <v>1353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73" t="s">
        <v>1354</v>
      </c>
      <c r="BA4" s="31"/>
      <c r="BB4" s="31"/>
      <c r="BC4" s="9"/>
      <c r="BD4" s="71" t="s">
        <v>1355</v>
      </c>
    </row>
    <row r="5">
      <c r="A5" s="80"/>
      <c r="B5" s="80"/>
      <c r="C5" s="137" t="s">
        <v>35</v>
      </c>
      <c r="D5" s="137" t="s">
        <v>1356</v>
      </c>
      <c r="E5" s="137" t="s">
        <v>1357</v>
      </c>
      <c r="F5" s="80"/>
      <c r="G5" s="137" t="s">
        <v>1358</v>
      </c>
      <c r="H5" s="137" t="s">
        <v>1359</v>
      </c>
      <c r="I5" s="137" t="s">
        <v>1360</v>
      </c>
      <c r="J5" s="137" t="s">
        <v>1361</v>
      </c>
      <c r="K5" s="137" t="s">
        <v>1362</v>
      </c>
      <c r="L5" s="137" t="s">
        <v>1363</v>
      </c>
      <c r="M5" s="137" t="s">
        <v>1364</v>
      </c>
      <c r="N5" s="137" t="s">
        <v>1365</v>
      </c>
      <c r="O5" s="138" t="s">
        <v>1366</v>
      </c>
      <c r="P5" s="76"/>
      <c r="Q5" s="138" t="s">
        <v>1367</v>
      </c>
      <c r="R5" s="76"/>
      <c r="S5" s="138" t="s">
        <v>1368</v>
      </c>
      <c r="T5" s="76"/>
      <c r="U5" s="138" t="s">
        <v>1369</v>
      </c>
      <c r="V5" s="76"/>
      <c r="W5" s="138" t="s">
        <v>1370</v>
      </c>
      <c r="X5" s="76"/>
      <c r="Y5" s="138" t="s">
        <v>1371</v>
      </c>
      <c r="Z5" s="76"/>
      <c r="AA5" s="80"/>
      <c r="AB5" s="138" t="s">
        <v>1372</v>
      </c>
      <c r="AC5" s="76"/>
      <c r="AD5" s="138" t="s">
        <v>1373</v>
      </c>
      <c r="AE5" s="75"/>
      <c r="AF5" s="75"/>
      <c r="AG5" s="75"/>
      <c r="AH5" s="75"/>
      <c r="AI5" s="76"/>
      <c r="AJ5" s="138" t="s">
        <v>1374</v>
      </c>
      <c r="AK5" s="75"/>
      <c r="AL5" s="75"/>
      <c r="AM5" s="75"/>
      <c r="AN5" s="75"/>
      <c r="AO5" s="75"/>
      <c r="AP5" s="75"/>
      <c r="AQ5" s="76"/>
      <c r="AR5" s="138" t="s">
        <v>1375</v>
      </c>
      <c r="AS5" s="76"/>
      <c r="AT5" s="138" t="s">
        <v>1376</v>
      </c>
      <c r="AU5" s="75"/>
      <c r="AV5" s="75"/>
      <c r="AW5" s="75"/>
      <c r="AX5" s="75"/>
      <c r="AY5" s="76"/>
      <c r="AZ5" s="138" t="s">
        <v>35</v>
      </c>
      <c r="BA5" s="76"/>
      <c r="BB5" s="138" t="s">
        <v>1377</v>
      </c>
      <c r="BC5" s="76"/>
      <c r="BD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72"/>
      <c r="P6" s="78"/>
      <c r="Q6" s="72"/>
      <c r="R6" s="78"/>
      <c r="S6" s="72"/>
      <c r="T6" s="78"/>
      <c r="U6" s="72"/>
      <c r="V6" s="78"/>
      <c r="W6" s="72"/>
      <c r="X6" s="78"/>
      <c r="Y6" s="72"/>
      <c r="Z6" s="78"/>
      <c r="AA6" s="80"/>
      <c r="AB6" s="72"/>
      <c r="AC6" s="78"/>
      <c r="AD6" s="81"/>
      <c r="AE6" s="82"/>
      <c r="AF6" s="82"/>
      <c r="AG6" s="82"/>
      <c r="AH6" s="82"/>
      <c r="AI6" s="83"/>
      <c r="AJ6" s="81"/>
      <c r="AK6" s="82"/>
      <c r="AL6" s="82"/>
      <c r="AM6" s="82"/>
      <c r="AN6" s="82"/>
      <c r="AO6" s="82"/>
      <c r="AP6" s="82"/>
      <c r="AQ6" s="83"/>
      <c r="AR6" s="72"/>
      <c r="AS6" s="78"/>
      <c r="AT6" s="81"/>
      <c r="AU6" s="82"/>
      <c r="AV6" s="82"/>
      <c r="AW6" s="82"/>
      <c r="AX6" s="82"/>
      <c r="AY6" s="83"/>
      <c r="AZ6" s="72"/>
      <c r="BA6" s="78"/>
      <c r="BB6" s="72"/>
      <c r="BC6" s="78"/>
      <c r="BD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72"/>
      <c r="P7" s="78"/>
      <c r="Q7" s="72"/>
      <c r="R7" s="78"/>
      <c r="S7" s="72"/>
      <c r="T7" s="78"/>
      <c r="U7" s="72"/>
      <c r="V7" s="78"/>
      <c r="W7" s="72"/>
      <c r="X7" s="78"/>
      <c r="Y7" s="72"/>
      <c r="Z7" s="78"/>
      <c r="AA7" s="80"/>
      <c r="AB7" s="72"/>
      <c r="AC7" s="78"/>
      <c r="AD7" s="138" t="s">
        <v>1378</v>
      </c>
      <c r="AE7" s="76"/>
      <c r="AF7" s="138" t="s">
        <v>1379</v>
      </c>
      <c r="AG7" s="76"/>
      <c r="AH7" s="138" t="s">
        <v>1380</v>
      </c>
      <c r="AI7" s="76"/>
      <c r="AJ7" s="138" t="s">
        <v>1378</v>
      </c>
      <c r="AK7" s="76"/>
      <c r="AL7" s="138" t="s">
        <v>1379</v>
      </c>
      <c r="AM7" s="76"/>
      <c r="AN7" s="138" t="s">
        <v>1380</v>
      </c>
      <c r="AO7" s="76"/>
      <c r="AP7" s="138" t="s">
        <v>1381</v>
      </c>
      <c r="AQ7" s="76"/>
      <c r="AR7" s="72"/>
      <c r="AS7" s="78"/>
      <c r="AT7" s="138" t="s">
        <v>1378</v>
      </c>
      <c r="AU7" s="76"/>
      <c r="AV7" s="138" t="s">
        <v>1379</v>
      </c>
      <c r="AW7" s="76"/>
      <c r="AX7" s="138" t="s">
        <v>1380</v>
      </c>
      <c r="AY7" s="76"/>
      <c r="AZ7" s="72"/>
      <c r="BA7" s="78"/>
      <c r="BB7" s="72"/>
      <c r="BC7" s="78"/>
      <c r="BD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72"/>
      <c r="P8" s="78"/>
      <c r="Q8" s="81"/>
      <c r="R8" s="83"/>
      <c r="S8" s="81"/>
      <c r="T8" s="83"/>
      <c r="U8" s="81"/>
      <c r="V8" s="83"/>
      <c r="W8" s="81"/>
      <c r="X8" s="83"/>
      <c r="Y8" s="81"/>
      <c r="Z8" s="83"/>
      <c r="AA8" s="11"/>
      <c r="AB8" s="81"/>
      <c r="AC8" s="83"/>
      <c r="AD8" s="81"/>
      <c r="AE8" s="83"/>
      <c r="AF8" s="81"/>
      <c r="AG8" s="83"/>
      <c r="AH8" s="81"/>
      <c r="AI8" s="83"/>
      <c r="AJ8" s="81"/>
      <c r="AK8" s="83"/>
      <c r="AL8" s="81"/>
      <c r="AM8" s="83"/>
      <c r="AN8" s="81"/>
      <c r="AO8" s="83"/>
      <c r="AP8" s="81"/>
      <c r="AQ8" s="83"/>
      <c r="AR8" s="81"/>
      <c r="AS8" s="83"/>
      <c r="AT8" s="81"/>
      <c r="AU8" s="83"/>
      <c r="AV8" s="81"/>
      <c r="AW8" s="83"/>
      <c r="AX8" s="81"/>
      <c r="AY8" s="83"/>
      <c r="AZ8" s="81"/>
      <c r="BA8" s="83"/>
      <c r="BB8" s="81"/>
      <c r="BC8" s="83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39" t="s">
        <v>141</v>
      </c>
      <c r="P9" s="139" t="s">
        <v>142</v>
      </c>
      <c r="Q9" s="140" t="s">
        <v>141</v>
      </c>
      <c r="R9" s="140" t="s">
        <v>142</v>
      </c>
      <c r="S9" s="140" t="s">
        <v>141</v>
      </c>
      <c r="T9" s="140" t="s">
        <v>142</v>
      </c>
      <c r="U9" s="140" t="s">
        <v>141</v>
      </c>
      <c r="V9" s="140" t="s">
        <v>142</v>
      </c>
      <c r="W9" s="140" t="s">
        <v>141</v>
      </c>
      <c r="X9" s="140" t="s">
        <v>142</v>
      </c>
      <c r="Y9" s="140" t="s">
        <v>141</v>
      </c>
      <c r="Z9" s="140" t="s">
        <v>142</v>
      </c>
      <c r="AA9" s="23"/>
      <c r="AB9" s="140" t="s">
        <v>141</v>
      </c>
      <c r="AC9" s="140" t="s">
        <v>142</v>
      </c>
      <c r="AD9" s="140" t="s">
        <v>141</v>
      </c>
      <c r="AE9" s="140" t="s">
        <v>142</v>
      </c>
      <c r="AF9" s="140" t="s">
        <v>141</v>
      </c>
      <c r="AG9" s="140" t="s">
        <v>142</v>
      </c>
      <c r="AH9" s="140" t="s">
        <v>141</v>
      </c>
      <c r="AI9" s="140" t="s">
        <v>142</v>
      </c>
      <c r="AJ9" s="140" t="s">
        <v>141</v>
      </c>
      <c r="AK9" s="140" t="s">
        <v>142</v>
      </c>
      <c r="AL9" s="140" t="s">
        <v>141</v>
      </c>
      <c r="AM9" s="140" t="s">
        <v>142</v>
      </c>
      <c r="AN9" s="140" t="s">
        <v>141</v>
      </c>
      <c r="AO9" s="140" t="s">
        <v>142</v>
      </c>
      <c r="AP9" s="140" t="s">
        <v>141</v>
      </c>
      <c r="AQ9" s="140" t="s">
        <v>142</v>
      </c>
      <c r="AR9" s="140" t="s">
        <v>141</v>
      </c>
      <c r="AS9" s="140" t="s">
        <v>142</v>
      </c>
      <c r="AT9" s="140" t="s">
        <v>141</v>
      </c>
      <c r="AU9" s="140" t="s">
        <v>142</v>
      </c>
      <c r="AV9" s="140" t="s">
        <v>141</v>
      </c>
      <c r="AW9" s="140" t="s">
        <v>142</v>
      </c>
      <c r="AX9" s="140" t="s">
        <v>141</v>
      </c>
      <c r="AY9" s="140" t="s">
        <v>142</v>
      </c>
      <c r="AZ9" s="140" t="s">
        <v>141</v>
      </c>
      <c r="BA9" s="140" t="s">
        <v>142</v>
      </c>
      <c r="BB9" s="140" t="s">
        <v>141</v>
      </c>
      <c r="BC9" s="140" t="s">
        <v>142</v>
      </c>
      <c r="BD9" s="23"/>
    </row>
    <row r="10">
      <c r="A10" s="88">
        <v>1.0</v>
      </c>
      <c r="B10" s="89">
        <v>2.0</v>
      </c>
      <c r="C10" s="89">
        <v>3.0</v>
      </c>
      <c r="D10" s="89">
        <v>4.0</v>
      </c>
      <c r="E10" s="89">
        <v>5.0</v>
      </c>
      <c r="F10" s="89">
        <v>6.0</v>
      </c>
      <c r="G10" s="89">
        <v>7.0</v>
      </c>
      <c r="H10" s="89">
        <v>8.0</v>
      </c>
      <c r="I10" s="89">
        <v>9.0</v>
      </c>
      <c r="J10" s="89">
        <v>10.0</v>
      </c>
      <c r="K10" s="89">
        <v>11.0</v>
      </c>
      <c r="L10" s="89">
        <v>12.0</v>
      </c>
      <c r="M10" s="89">
        <v>13.0</v>
      </c>
      <c r="N10" s="89">
        <v>14.0</v>
      </c>
      <c r="O10" s="89">
        <v>15.0</v>
      </c>
      <c r="P10" s="89">
        <v>16.0</v>
      </c>
      <c r="Q10" s="89">
        <v>17.0</v>
      </c>
      <c r="R10" s="89">
        <v>18.0</v>
      </c>
      <c r="S10" s="89">
        <v>19.0</v>
      </c>
      <c r="T10" s="89">
        <v>20.0</v>
      </c>
      <c r="U10" s="89">
        <v>21.0</v>
      </c>
      <c r="V10" s="89">
        <v>22.0</v>
      </c>
      <c r="W10" s="89">
        <v>23.0</v>
      </c>
      <c r="X10" s="89">
        <v>24.0</v>
      </c>
      <c r="Y10" s="89">
        <v>25.0</v>
      </c>
      <c r="Z10" s="89">
        <v>26.0</v>
      </c>
      <c r="AA10" s="89">
        <v>27.0</v>
      </c>
      <c r="AB10" s="89">
        <v>28.0</v>
      </c>
      <c r="AC10" s="89">
        <v>29.0</v>
      </c>
      <c r="AD10" s="89">
        <v>30.0</v>
      </c>
      <c r="AE10" s="89">
        <v>31.0</v>
      </c>
      <c r="AF10" s="89">
        <v>32.0</v>
      </c>
      <c r="AG10" s="89">
        <v>33.0</v>
      </c>
      <c r="AH10" s="89">
        <v>34.0</v>
      </c>
      <c r="AI10" s="89">
        <v>35.0</v>
      </c>
      <c r="AJ10" s="89">
        <v>36.0</v>
      </c>
      <c r="AK10" s="89">
        <v>37.0</v>
      </c>
      <c r="AL10" s="89">
        <v>38.0</v>
      </c>
      <c r="AM10" s="89">
        <v>39.0</v>
      </c>
      <c r="AN10" s="89">
        <v>40.0</v>
      </c>
      <c r="AO10" s="89">
        <v>41.0</v>
      </c>
      <c r="AP10" s="89">
        <v>42.0</v>
      </c>
      <c r="AQ10" s="89">
        <v>43.0</v>
      </c>
      <c r="AR10" s="89">
        <v>44.0</v>
      </c>
      <c r="AS10" s="89">
        <v>45.0</v>
      </c>
      <c r="AT10" s="89">
        <v>46.0</v>
      </c>
      <c r="AU10" s="89">
        <v>47.0</v>
      </c>
      <c r="AV10" s="89">
        <v>48.0</v>
      </c>
      <c r="AW10" s="89">
        <v>49.0</v>
      </c>
      <c r="AX10" s="89">
        <v>50.0</v>
      </c>
      <c r="AY10" s="89">
        <v>51.0</v>
      </c>
      <c r="AZ10" s="89">
        <v>52.0</v>
      </c>
      <c r="BA10" s="89">
        <v>53.0</v>
      </c>
      <c r="BB10" s="89">
        <v>54.0</v>
      </c>
      <c r="BC10" s="89">
        <v>55.0</v>
      </c>
      <c r="BD10" s="89">
        <v>56.0</v>
      </c>
    </row>
    <row r="11">
      <c r="A11" s="85">
        <v>1.0</v>
      </c>
      <c r="B11" s="141" t="s">
        <v>143</v>
      </c>
      <c r="C11" s="94">
        <v>13.0</v>
      </c>
      <c r="D11" s="94"/>
      <c r="E11" s="94">
        <v>13.0</v>
      </c>
      <c r="F11" s="94">
        <v>67.0</v>
      </c>
      <c r="G11" s="96"/>
      <c r="H11" s="96"/>
      <c r="I11" s="96"/>
      <c r="J11" s="94"/>
      <c r="K11" s="94"/>
      <c r="L11" s="94"/>
      <c r="M11" s="94"/>
      <c r="N11" s="94"/>
      <c r="O11" s="94">
        <v>113.0</v>
      </c>
      <c r="P11" s="94">
        <v>91.0</v>
      </c>
      <c r="Q11" s="94">
        <v>113.0</v>
      </c>
      <c r="R11" s="94">
        <v>91.0</v>
      </c>
      <c r="S11" s="94">
        <v>90.0</v>
      </c>
      <c r="T11" s="94">
        <v>72.0</v>
      </c>
      <c r="U11" s="94">
        <v>71.0</v>
      </c>
      <c r="V11" s="94">
        <v>57.0</v>
      </c>
      <c r="W11" s="94"/>
      <c r="X11" s="94"/>
      <c r="Y11" s="94"/>
      <c r="Z11" s="94"/>
      <c r="AA11" s="94"/>
      <c r="AB11" s="92">
        <v>1.0</v>
      </c>
      <c r="AC11" s="92"/>
      <c r="AD11" s="92">
        <v>3.0</v>
      </c>
      <c r="AE11" s="92">
        <v>3.0</v>
      </c>
      <c r="AF11" s="92">
        <v>3.0</v>
      </c>
      <c r="AG11" s="92">
        <v>4.0</v>
      </c>
      <c r="AH11" s="92">
        <v>4.0</v>
      </c>
      <c r="AI11" s="92">
        <v>4.0</v>
      </c>
      <c r="AJ11" s="92">
        <v>1.0</v>
      </c>
      <c r="AK11" s="92"/>
      <c r="AL11" s="92">
        <v>3.0</v>
      </c>
      <c r="AM11" s="92">
        <v>3.0</v>
      </c>
      <c r="AN11" s="92">
        <v>3.0</v>
      </c>
      <c r="AO11" s="92">
        <v>4.0</v>
      </c>
      <c r="AP11" s="92">
        <v>4.0</v>
      </c>
      <c r="AQ11" s="92">
        <v>4.0</v>
      </c>
      <c r="AR11" s="92">
        <v>2.0</v>
      </c>
      <c r="AS11" s="92">
        <v>3.0</v>
      </c>
      <c r="AT11" s="92">
        <v>3.0</v>
      </c>
      <c r="AU11" s="92">
        <v>3.0</v>
      </c>
      <c r="AV11" s="92">
        <v>3.0</v>
      </c>
      <c r="AW11" s="92">
        <v>4.0</v>
      </c>
      <c r="AX11" s="92">
        <v>4.0</v>
      </c>
      <c r="AY11" s="92">
        <v>4.0</v>
      </c>
      <c r="AZ11" s="92">
        <f t="shared" ref="AZ11:AZ15" si="1">AB11+AC11+AD11+AE11+AF11+AG11+AH11+AI11+AJ11+AK11+AL11+AM11+AN11+AO11+AP11+AQ11+AR11+AS11+AT11+AU11+AV11+AW11+AX11+AY11</f>
        <v>70</v>
      </c>
      <c r="BA11" s="92"/>
      <c r="BB11" s="92"/>
      <c r="BC11" s="92"/>
      <c r="BD11" s="23"/>
    </row>
    <row r="12">
      <c r="A12" s="85">
        <v>2.0</v>
      </c>
      <c r="B12" s="141" t="s">
        <v>144</v>
      </c>
      <c r="C12" s="94">
        <v>15.0</v>
      </c>
      <c r="D12" s="94"/>
      <c r="E12" s="94">
        <v>15.0</v>
      </c>
      <c r="F12" s="94">
        <v>68.0</v>
      </c>
      <c r="G12" s="96"/>
      <c r="H12" s="96"/>
      <c r="I12" s="96"/>
      <c r="J12" s="94"/>
      <c r="K12" s="94"/>
      <c r="L12" s="94"/>
      <c r="M12" s="94"/>
      <c r="N12" s="94"/>
      <c r="O12" s="94">
        <v>111.0</v>
      </c>
      <c r="P12" s="94">
        <v>88.0</v>
      </c>
      <c r="Q12" s="94">
        <v>111.0</v>
      </c>
      <c r="R12" s="94">
        <v>88.0</v>
      </c>
      <c r="S12" s="94">
        <v>88.0</v>
      </c>
      <c r="T12" s="94">
        <v>70.0</v>
      </c>
      <c r="U12" s="94">
        <v>69.0</v>
      </c>
      <c r="V12" s="94">
        <v>55.0</v>
      </c>
      <c r="W12" s="94">
        <v>111.0</v>
      </c>
      <c r="X12" s="94">
        <v>88.0</v>
      </c>
      <c r="Y12" s="94"/>
      <c r="Z12" s="94"/>
      <c r="AA12" s="94"/>
      <c r="AB12" s="92">
        <v>1.0</v>
      </c>
      <c r="AC12" s="92"/>
      <c r="AD12" s="92">
        <v>4.0</v>
      </c>
      <c r="AE12" s="92">
        <v>3.0</v>
      </c>
      <c r="AF12" s="92">
        <v>3.0</v>
      </c>
      <c r="AG12" s="92">
        <v>3.0</v>
      </c>
      <c r="AH12" s="92">
        <v>3.0</v>
      </c>
      <c r="AI12" s="92">
        <v>4.0</v>
      </c>
      <c r="AJ12" s="92">
        <v>1.0</v>
      </c>
      <c r="AK12" s="92"/>
      <c r="AL12" s="92">
        <v>4.0</v>
      </c>
      <c r="AM12" s="92">
        <v>3.0</v>
      </c>
      <c r="AN12" s="92">
        <v>3.0</v>
      </c>
      <c r="AO12" s="92">
        <v>3.0</v>
      </c>
      <c r="AP12" s="92">
        <v>3.0</v>
      </c>
      <c r="AQ12" s="92">
        <v>4.0</v>
      </c>
      <c r="AR12" s="92">
        <v>2.0</v>
      </c>
      <c r="AS12" s="92">
        <v>2.0</v>
      </c>
      <c r="AT12" s="92">
        <v>4.0</v>
      </c>
      <c r="AU12" s="92">
        <v>3.0</v>
      </c>
      <c r="AV12" s="92">
        <v>3.0</v>
      </c>
      <c r="AW12" s="92">
        <v>3.0</v>
      </c>
      <c r="AX12" s="92">
        <v>3.0</v>
      </c>
      <c r="AY12" s="92">
        <v>4.0</v>
      </c>
      <c r="AZ12" s="92">
        <f t="shared" si="1"/>
        <v>66</v>
      </c>
      <c r="BA12" s="92"/>
      <c r="BB12" s="92"/>
      <c r="BC12" s="92"/>
      <c r="BD12" s="23"/>
    </row>
    <row r="13">
      <c r="A13" s="85">
        <v>3.0</v>
      </c>
      <c r="B13" s="141" t="s">
        <v>145</v>
      </c>
      <c r="C13" s="94">
        <v>14.0</v>
      </c>
      <c r="D13" s="94"/>
      <c r="E13" s="94">
        <v>14.0</v>
      </c>
      <c r="F13" s="96">
        <v>65.0</v>
      </c>
      <c r="G13" s="96"/>
      <c r="H13" s="96"/>
      <c r="I13" s="96"/>
      <c r="J13" s="94"/>
      <c r="K13" s="94"/>
      <c r="L13" s="94"/>
      <c r="M13" s="94"/>
      <c r="N13" s="94"/>
      <c r="O13" s="94">
        <v>110.0</v>
      </c>
      <c r="P13" s="94">
        <v>90.0</v>
      </c>
      <c r="Q13" s="94">
        <v>110.0</v>
      </c>
      <c r="R13" s="94">
        <v>90.0</v>
      </c>
      <c r="S13" s="94">
        <v>87.0</v>
      </c>
      <c r="T13" s="94">
        <v>72.0</v>
      </c>
      <c r="U13" s="94">
        <v>69.0</v>
      </c>
      <c r="V13" s="94">
        <v>56.0</v>
      </c>
      <c r="W13" s="94"/>
      <c r="X13" s="94"/>
      <c r="Y13" s="94"/>
      <c r="Z13" s="94"/>
      <c r="AA13" s="94"/>
      <c r="AB13" s="92">
        <v>1.0</v>
      </c>
      <c r="AC13" s="92">
        <v>1.0</v>
      </c>
      <c r="AD13" s="92">
        <v>4.0</v>
      </c>
      <c r="AE13" s="92">
        <v>4.0</v>
      </c>
      <c r="AF13" s="92">
        <v>4.0</v>
      </c>
      <c r="AG13" s="92">
        <v>4.0</v>
      </c>
      <c r="AH13" s="92">
        <v>4.0</v>
      </c>
      <c r="AI13" s="92">
        <v>3.0</v>
      </c>
      <c r="AJ13" s="92">
        <v>1.0</v>
      </c>
      <c r="AK13" s="92">
        <v>1.0</v>
      </c>
      <c r="AL13" s="92">
        <v>4.0</v>
      </c>
      <c r="AM13" s="92">
        <v>4.0</v>
      </c>
      <c r="AN13" s="92">
        <v>4.0</v>
      </c>
      <c r="AO13" s="92">
        <v>4.0</v>
      </c>
      <c r="AP13" s="92">
        <v>4.0</v>
      </c>
      <c r="AQ13" s="92">
        <v>3.0</v>
      </c>
      <c r="AR13" s="92">
        <v>4.0</v>
      </c>
      <c r="AS13" s="92">
        <v>2.0</v>
      </c>
      <c r="AT13" s="92">
        <v>4.0</v>
      </c>
      <c r="AU13" s="92">
        <v>4.0</v>
      </c>
      <c r="AV13" s="92">
        <v>4.0</v>
      </c>
      <c r="AW13" s="92">
        <v>4.0</v>
      </c>
      <c r="AX13" s="92">
        <v>4.0</v>
      </c>
      <c r="AY13" s="92">
        <v>3.0</v>
      </c>
      <c r="AZ13" s="92">
        <f t="shared" si="1"/>
        <v>79</v>
      </c>
      <c r="BA13" s="92"/>
      <c r="BB13" s="92"/>
      <c r="BC13" s="92"/>
      <c r="BD13" s="23"/>
    </row>
    <row r="14">
      <c r="A14" s="85">
        <v>4.0</v>
      </c>
      <c r="B14" s="141" t="s">
        <v>146</v>
      </c>
      <c r="C14" s="94">
        <v>17.0</v>
      </c>
      <c r="D14" s="94"/>
      <c r="E14" s="94">
        <v>16.0</v>
      </c>
      <c r="F14" s="96">
        <v>67.0</v>
      </c>
      <c r="G14" s="96"/>
      <c r="H14" s="96"/>
      <c r="I14" s="96"/>
      <c r="J14" s="94"/>
      <c r="K14" s="94"/>
      <c r="L14" s="94"/>
      <c r="M14" s="94"/>
      <c r="N14" s="94"/>
      <c r="O14" s="94">
        <v>108.0</v>
      </c>
      <c r="P14" s="94">
        <v>90.0</v>
      </c>
      <c r="Q14" s="94">
        <v>108.0</v>
      </c>
      <c r="R14" s="94">
        <v>90.0</v>
      </c>
      <c r="S14" s="94">
        <v>86.0</v>
      </c>
      <c r="T14" s="94">
        <v>72.0</v>
      </c>
      <c r="U14" s="94">
        <v>67.0</v>
      </c>
      <c r="V14" s="94">
        <v>56.0</v>
      </c>
      <c r="W14" s="94"/>
      <c r="X14" s="94"/>
      <c r="Y14" s="94"/>
      <c r="Z14" s="94"/>
      <c r="AA14" s="94"/>
      <c r="AB14" s="92">
        <v>0.0</v>
      </c>
      <c r="AC14" s="92">
        <v>2.0</v>
      </c>
      <c r="AD14" s="92">
        <v>4.0</v>
      </c>
      <c r="AE14" s="92">
        <v>4.0</v>
      </c>
      <c r="AF14" s="92">
        <v>4.0</v>
      </c>
      <c r="AG14" s="92">
        <v>4.0</v>
      </c>
      <c r="AH14" s="92">
        <v>4.0</v>
      </c>
      <c r="AI14" s="92">
        <v>3.0</v>
      </c>
      <c r="AJ14" s="92">
        <v>0.0</v>
      </c>
      <c r="AK14" s="92">
        <v>2.0</v>
      </c>
      <c r="AL14" s="92">
        <v>4.0</v>
      </c>
      <c r="AM14" s="92">
        <v>4.0</v>
      </c>
      <c r="AN14" s="92">
        <v>4.0</v>
      </c>
      <c r="AO14" s="92">
        <v>4.0</v>
      </c>
      <c r="AP14" s="92">
        <v>4.0</v>
      </c>
      <c r="AQ14" s="92">
        <v>3.0</v>
      </c>
      <c r="AR14" s="92">
        <v>3.0</v>
      </c>
      <c r="AS14" s="92">
        <v>1.0</v>
      </c>
      <c r="AT14" s="92">
        <v>4.0</v>
      </c>
      <c r="AU14" s="92">
        <v>4.0</v>
      </c>
      <c r="AV14" s="92">
        <v>4.0</v>
      </c>
      <c r="AW14" s="92">
        <v>4.0</v>
      </c>
      <c r="AX14" s="92">
        <v>4.0</v>
      </c>
      <c r="AY14" s="92">
        <v>3.0</v>
      </c>
      <c r="AZ14" s="92">
        <f t="shared" si="1"/>
        <v>77</v>
      </c>
      <c r="BA14" s="92"/>
      <c r="BB14" s="92"/>
      <c r="BC14" s="92"/>
      <c r="BD14" s="23"/>
    </row>
    <row r="15">
      <c r="A15" s="85">
        <v>5.0</v>
      </c>
      <c r="B15" s="141" t="s">
        <v>147</v>
      </c>
      <c r="C15" s="94">
        <v>17.0</v>
      </c>
      <c r="D15" s="94"/>
      <c r="E15" s="94">
        <v>15.0</v>
      </c>
      <c r="F15" s="96">
        <v>70.0</v>
      </c>
      <c r="G15" s="94"/>
      <c r="H15" s="96"/>
      <c r="I15" s="96"/>
      <c r="J15" s="94"/>
      <c r="K15" s="94"/>
      <c r="L15" s="94"/>
      <c r="M15" s="94"/>
      <c r="N15" s="94"/>
      <c r="O15" s="94">
        <v>106.0</v>
      </c>
      <c r="P15" s="94">
        <v>88.0</v>
      </c>
      <c r="Q15" s="94">
        <v>106.0</v>
      </c>
      <c r="R15" s="94">
        <v>88.0</v>
      </c>
      <c r="S15" s="94">
        <v>84.0</v>
      </c>
      <c r="T15" s="94">
        <v>70.0</v>
      </c>
      <c r="U15" s="94">
        <v>66.0</v>
      </c>
      <c r="V15" s="94">
        <v>55.0</v>
      </c>
      <c r="W15" s="94"/>
      <c r="X15" s="94"/>
      <c r="Y15" s="94"/>
      <c r="Z15" s="94"/>
      <c r="AA15" s="94"/>
      <c r="AB15" s="92">
        <v>2.0</v>
      </c>
      <c r="AC15" s="92">
        <v>1.0</v>
      </c>
      <c r="AD15" s="92">
        <v>4.0</v>
      </c>
      <c r="AE15" s="92">
        <v>3.0</v>
      </c>
      <c r="AF15" s="92">
        <v>3.0</v>
      </c>
      <c r="AG15" s="92">
        <v>3.0</v>
      </c>
      <c r="AH15" s="92">
        <v>3.0</v>
      </c>
      <c r="AI15" s="92">
        <v>4.0</v>
      </c>
      <c r="AJ15" s="92">
        <v>2.0</v>
      </c>
      <c r="AK15" s="92">
        <v>1.0</v>
      </c>
      <c r="AL15" s="92">
        <v>4.0</v>
      </c>
      <c r="AM15" s="92">
        <v>3.0</v>
      </c>
      <c r="AN15" s="92">
        <v>3.0</v>
      </c>
      <c r="AO15" s="92">
        <v>3.0</v>
      </c>
      <c r="AP15" s="92">
        <v>3.0</v>
      </c>
      <c r="AQ15" s="92">
        <v>4.0</v>
      </c>
      <c r="AR15" s="92">
        <v>2.0</v>
      </c>
      <c r="AS15" s="92">
        <v>0.0</v>
      </c>
      <c r="AT15" s="92">
        <v>4.0</v>
      </c>
      <c r="AU15" s="92">
        <v>3.0</v>
      </c>
      <c r="AV15" s="92">
        <v>3.0</v>
      </c>
      <c r="AW15" s="92">
        <v>3.0</v>
      </c>
      <c r="AX15" s="92">
        <v>3.0</v>
      </c>
      <c r="AY15" s="92">
        <v>4.0</v>
      </c>
      <c r="AZ15" s="92">
        <f t="shared" si="1"/>
        <v>68</v>
      </c>
      <c r="BA15" s="92"/>
      <c r="BB15" s="92"/>
      <c r="BC15" s="92"/>
      <c r="BD15" s="23"/>
    </row>
    <row r="16">
      <c r="A16" s="85">
        <v>6.0</v>
      </c>
      <c r="B16" s="141" t="s">
        <v>148</v>
      </c>
      <c r="C16" s="94"/>
      <c r="D16" s="94"/>
      <c r="E16" s="94"/>
      <c r="F16" s="96"/>
      <c r="G16" s="94"/>
      <c r="H16" s="96"/>
      <c r="I16" s="96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23"/>
    </row>
    <row r="17">
      <c r="A17" s="85">
        <v>7.0</v>
      </c>
      <c r="B17" s="141" t="s">
        <v>149</v>
      </c>
      <c r="C17" s="94"/>
      <c r="D17" s="94"/>
      <c r="E17" s="94"/>
      <c r="F17" s="96"/>
      <c r="G17" s="96"/>
      <c r="H17" s="96"/>
      <c r="I17" s="96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23"/>
    </row>
    <row r="18">
      <c r="A18" s="85">
        <v>8.0</v>
      </c>
      <c r="B18" s="141" t="s">
        <v>150</v>
      </c>
      <c r="C18" s="92"/>
      <c r="D18" s="92"/>
      <c r="E18" s="92"/>
      <c r="F18" s="96"/>
      <c r="G18" s="96"/>
      <c r="H18" s="96"/>
      <c r="I18" s="96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23"/>
    </row>
    <row r="19">
      <c r="A19" s="85">
        <v>9.0</v>
      </c>
      <c r="B19" s="141" t="s">
        <v>151</v>
      </c>
      <c r="C19" s="94"/>
      <c r="D19" s="94"/>
      <c r="E19" s="94"/>
      <c r="F19" s="96"/>
      <c r="G19" s="96"/>
      <c r="H19" s="96"/>
      <c r="I19" s="96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2"/>
      <c r="AK19" s="92"/>
      <c r="AL19" s="92"/>
      <c r="AM19" s="92"/>
      <c r="AN19" s="94"/>
      <c r="AO19" s="92"/>
      <c r="AP19" s="92"/>
      <c r="AQ19" s="92"/>
      <c r="AR19" s="92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23"/>
    </row>
    <row r="20">
      <c r="A20" s="85">
        <v>10.0</v>
      </c>
      <c r="B20" s="141" t="s">
        <v>152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85">
        <v>11.0</v>
      </c>
      <c r="B21" s="141" t="s">
        <v>153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85">
        <v>12.0</v>
      </c>
      <c r="B22" s="141" t="s">
        <v>154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142">
        <f t="shared" ref="C24:BD24" si="2">SUM(C11:C22)</f>
        <v>76</v>
      </c>
      <c r="D24" s="142">
        <f t="shared" si="2"/>
        <v>0</v>
      </c>
      <c r="E24" s="142">
        <f t="shared" si="2"/>
        <v>73</v>
      </c>
      <c r="F24" s="142">
        <f t="shared" si="2"/>
        <v>337</v>
      </c>
      <c r="G24" s="142">
        <f t="shared" si="2"/>
        <v>0</v>
      </c>
      <c r="H24" s="142">
        <f t="shared" si="2"/>
        <v>0</v>
      </c>
      <c r="I24" s="142">
        <f t="shared" si="2"/>
        <v>0</v>
      </c>
      <c r="J24" s="142">
        <f t="shared" si="2"/>
        <v>0</v>
      </c>
      <c r="K24" s="142">
        <f t="shared" si="2"/>
        <v>0</v>
      </c>
      <c r="L24" s="142">
        <f t="shared" si="2"/>
        <v>0</v>
      </c>
      <c r="M24" s="142">
        <f t="shared" si="2"/>
        <v>0</v>
      </c>
      <c r="N24" s="142">
        <f t="shared" si="2"/>
        <v>0</v>
      </c>
      <c r="O24" s="142">
        <f t="shared" si="2"/>
        <v>548</v>
      </c>
      <c r="P24" s="142">
        <f t="shared" si="2"/>
        <v>447</v>
      </c>
      <c r="Q24" s="142">
        <f t="shared" si="2"/>
        <v>548</v>
      </c>
      <c r="R24" s="142">
        <f t="shared" si="2"/>
        <v>447</v>
      </c>
      <c r="S24" s="142">
        <f t="shared" si="2"/>
        <v>435</v>
      </c>
      <c r="T24" s="142">
        <f t="shared" si="2"/>
        <v>356</v>
      </c>
      <c r="U24" s="142">
        <f t="shared" si="2"/>
        <v>342</v>
      </c>
      <c r="V24" s="142">
        <f t="shared" si="2"/>
        <v>279</v>
      </c>
      <c r="W24" s="142">
        <f t="shared" si="2"/>
        <v>111</v>
      </c>
      <c r="X24" s="142">
        <f t="shared" si="2"/>
        <v>88</v>
      </c>
      <c r="Y24" s="142">
        <f t="shared" si="2"/>
        <v>0</v>
      </c>
      <c r="Z24" s="142">
        <f t="shared" si="2"/>
        <v>0</v>
      </c>
      <c r="AA24" s="142">
        <f t="shared" si="2"/>
        <v>0</v>
      </c>
      <c r="AB24" s="142">
        <f t="shared" si="2"/>
        <v>5</v>
      </c>
      <c r="AC24" s="142">
        <f t="shared" si="2"/>
        <v>4</v>
      </c>
      <c r="AD24" s="142">
        <f t="shared" si="2"/>
        <v>19</v>
      </c>
      <c r="AE24" s="142">
        <f t="shared" si="2"/>
        <v>17</v>
      </c>
      <c r="AF24" s="142">
        <f t="shared" si="2"/>
        <v>17</v>
      </c>
      <c r="AG24" s="142">
        <f t="shared" si="2"/>
        <v>18</v>
      </c>
      <c r="AH24" s="142">
        <f t="shared" si="2"/>
        <v>18</v>
      </c>
      <c r="AI24" s="142">
        <f t="shared" si="2"/>
        <v>18</v>
      </c>
      <c r="AJ24" s="142">
        <f t="shared" si="2"/>
        <v>5</v>
      </c>
      <c r="AK24" s="142">
        <f t="shared" si="2"/>
        <v>4</v>
      </c>
      <c r="AL24" s="142">
        <f t="shared" si="2"/>
        <v>19</v>
      </c>
      <c r="AM24" s="142">
        <f t="shared" si="2"/>
        <v>17</v>
      </c>
      <c r="AN24" s="142">
        <f t="shared" si="2"/>
        <v>17</v>
      </c>
      <c r="AO24" s="142">
        <f t="shared" si="2"/>
        <v>18</v>
      </c>
      <c r="AP24" s="142">
        <f t="shared" si="2"/>
        <v>18</v>
      </c>
      <c r="AQ24" s="142">
        <f t="shared" si="2"/>
        <v>18</v>
      </c>
      <c r="AR24" s="142">
        <f t="shared" si="2"/>
        <v>13</v>
      </c>
      <c r="AS24" s="142">
        <f t="shared" si="2"/>
        <v>8</v>
      </c>
      <c r="AT24" s="142">
        <f t="shared" si="2"/>
        <v>19</v>
      </c>
      <c r="AU24" s="142">
        <f t="shared" si="2"/>
        <v>17</v>
      </c>
      <c r="AV24" s="142">
        <f t="shared" si="2"/>
        <v>17</v>
      </c>
      <c r="AW24" s="142">
        <f t="shared" si="2"/>
        <v>18</v>
      </c>
      <c r="AX24" s="142">
        <f t="shared" si="2"/>
        <v>18</v>
      </c>
      <c r="AY24" s="142">
        <f t="shared" si="2"/>
        <v>18</v>
      </c>
      <c r="AZ24" s="142">
        <f t="shared" si="2"/>
        <v>360</v>
      </c>
      <c r="BA24" s="142">
        <f t="shared" si="2"/>
        <v>0</v>
      </c>
      <c r="BB24" s="142">
        <f t="shared" si="2"/>
        <v>0</v>
      </c>
      <c r="BC24" s="142">
        <f t="shared" si="2"/>
        <v>0</v>
      </c>
      <c r="BD24" s="142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43" t="s">
        <v>1382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44" t="s">
        <v>1383</v>
      </c>
      <c r="B30" s="102"/>
      <c r="C30" s="102"/>
      <c r="D30" s="102"/>
      <c r="E30" s="102"/>
      <c r="F30" s="102"/>
      <c r="G30" s="102"/>
      <c r="H30" s="10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3" t="s">
        <v>1384</v>
      </c>
      <c r="B31" s="145" t="s">
        <v>1385</v>
      </c>
      <c r="C31" s="145" t="s">
        <v>1386</v>
      </c>
      <c r="D31" s="69" t="s">
        <v>1387</v>
      </c>
      <c r="E31" s="31"/>
      <c r="F31" s="31"/>
      <c r="G31" s="9"/>
      <c r="H31" s="69" t="s">
        <v>1388</v>
      </c>
      <c r="I31" s="31"/>
      <c r="J31" s="31"/>
      <c r="K31" s="31"/>
      <c r="L31" s="31"/>
      <c r="M31" s="31"/>
      <c r="N31" s="9"/>
      <c r="O31" s="69" t="s">
        <v>1389</v>
      </c>
      <c r="P31" s="31"/>
      <c r="Q31" s="9"/>
      <c r="R31" s="69" t="s">
        <v>1390</v>
      </c>
      <c r="S31" s="31"/>
      <c r="T31" s="9"/>
      <c r="U31" s="104" t="s">
        <v>1391</v>
      </c>
      <c r="V31" s="76"/>
      <c r="W31" s="104" t="s">
        <v>1392</v>
      </c>
      <c r="X31" s="76"/>
      <c r="Y31" s="146" t="s">
        <v>1393</v>
      </c>
      <c r="Z31" s="76"/>
      <c r="AA31" s="147" t="s">
        <v>1394</v>
      </c>
      <c r="AB31" s="148" t="s">
        <v>1395</v>
      </c>
      <c r="AC31" s="7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80"/>
      <c r="B32" s="80"/>
      <c r="C32" s="80"/>
      <c r="D32" s="69" t="s">
        <v>1396</v>
      </c>
      <c r="E32" s="9"/>
      <c r="F32" s="69" t="s">
        <v>1397</v>
      </c>
      <c r="G32" s="9"/>
      <c r="H32" s="69" t="s">
        <v>1398</v>
      </c>
      <c r="I32" s="9"/>
      <c r="J32" s="69" t="s">
        <v>1399</v>
      </c>
      <c r="K32" s="9"/>
      <c r="L32" s="69" t="s">
        <v>1400</v>
      </c>
      <c r="M32" s="9"/>
      <c r="N32" s="103" t="s">
        <v>1401</v>
      </c>
      <c r="O32" s="147" t="s">
        <v>1402</v>
      </c>
      <c r="P32" s="69" t="s">
        <v>1403</v>
      </c>
      <c r="Q32" s="9"/>
      <c r="R32" s="147" t="s">
        <v>1402</v>
      </c>
      <c r="S32" s="69" t="s">
        <v>1404</v>
      </c>
      <c r="T32" s="9"/>
      <c r="U32" s="81"/>
      <c r="V32" s="83"/>
      <c r="W32" s="81"/>
      <c r="X32" s="83"/>
      <c r="Y32" s="149" t="s">
        <v>1405</v>
      </c>
      <c r="Z32" s="150"/>
      <c r="AA32" s="151" t="s">
        <v>1406</v>
      </c>
      <c r="AB32" s="82"/>
      <c r="AC32" s="8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93" t="s">
        <v>1385</v>
      </c>
      <c r="E33" s="93" t="s">
        <v>1386</v>
      </c>
      <c r="F33" s="93" t="s">
        <v>1385</v>
      </c>
      <c r="G33" s="93" t="s">
        <v>1386</v>
      </c>
      <c r="H33" s="93" t="s">
        <v>1407</v>
      </c>
      <c r="I33" s="93" t="s">
        <v>1408</v>
      </c>
      <c r="J33" s="93" t="s">
        <v>1407</v>
      </c>
      <c r="K33" s="93" t="s">
        <v>1409</v>
      </c>
      <c r="L33" s="93" t="s">
        <v>1407</v>
      </c>
      <c r="M33" s="93" t="s">
        <v>1408</v>
      </c>
      <c r="N33" s="11"/>
      <c r="O33" s="152" t="s">
        <v>1410</v>
      </c>
      <c r="P33" s="93" t="s">
        <v>1411</v>
      </c>
      <c r="Q33" s="93" t="s">
        <v>1412</v>
      </c>
      <c r="R33" s="152" t="s">
        <v>1413</v>
      </c>
      <c r="S33" s="93" t="s">
        <v>1411</v>
      </c>
      <c r="T33" s="93" t="s">
        <v>1412</v>
      </c>
      <c r="U33" s="93" t="s">
        <v>1414</v>
      </c>
      <c r="V33" s="93" t="s">
        <v>1412</v>
      </c>
      <c r="W33" s="93" t="s">
        <v>1414</v>
      </c>
      <c r="X33" s="93" t="s">
        <v>1412</v>
      </c>
      <c r="Y33" s="93" t="s">
        <v>1414</v>
      </c>
      <c r="Z33" s="69" t="s">
        <v>1412</v>
      </c>
      <c r="AA33" s="153"/>
      <c r="AB33" s="154" t="s">
        <v>1385</v>
      </c>
      <c r="AC33" s="93" t="s">
        <v>1415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55">
        <v>1.0</v>
      </c>
      <c r="B34" s="155">
        <v>2.0</v>
      </c>
      <c r="C34" s="156">
        <v>3.0</v>
      </c>
      <c r="D34" s="155">
        <v>4.0</v>
      </c>
      <c r="E34" s="155">
        <v>5.0</v>
      </c>
      <c r="F34" s="155">
        <v>6.0</v>
      </c>
      <c r="G34" s="155">
        <v>7.0</v>
      </c>
      <c r="H34" s="155">
        <v>8.0</v>
      </c>
      <c r="I34" s="157">
        <v>9.0</v>
      </c>
      <c r="J34" s="157">
        <v>10.0</v>
      </c>
      <c r="K34" s="157">
        <v>11.0</v>
      </c>
      <c r="L34" s="157">
        <v>12.0</v>
      </c>
      <c r="M34" s="157">
        <v>13.0</v>
      </c>
      <c r="N34" s="157">
        <v>14.0</v>
      </c>
      <c r="O34" s="158">
        <v>15.0</v>
      </c>
      <c r="P34" s="157">
        <v>16.0</v>
      </c>
      <c r="Q34" s="157">
        <v>17.0</v>
      </c>
      <c r="R34" s="158">
        <v>18.0</v>
      </c>
      <c r="S34" s="157">
        <v>19.0</v>
      </c>
      <c r="T34" s="157">
        <v>20.0</v>
      </c>
      <c r="U34" s="155">
        <v>21.0</v>
      </c>
      <c r="V34" s="155">
        <v>22.0</v>
      </c>
      <c r="W34" s="155">
        <v>23.0</v>
      </c>
      <c r="X34" s="155">
        <v>24.0</v>
      </c>
      <c r="Y34" s="155">
        <v>25.0</v>
      </c>
      <c r="Z34" s="159">
        <v>26.0</v>
      </c>
      <c r="AA34" s="160">
        <v>27.0</v>
      </c>
      <c r="AB34" s="161">
        <v>28.0</v>
      </c>
      <c r="AC34" s="15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62">
        <v>46023.0</v>
      </c>
      <c r="B35" s="94">
        <v>13.0</v>
      </c>
      <c r="C35" s="163">
        <v>67.0</v>
      </c>
      <c r="D35" s="164">
        <v>11.0</v>
      </c>
      <c r="E35" s="164">
        <v>65.0</v>
      </c>
      <c r="F35" s="165">
        <f t="shared" ref="F35:G35" si="3">B35-D35</f>
        <v>2</v>
      </c>
      <c r="G35" s="165">
        <f t="shared" si="3"/>
        <v>2</v>
      </c>
      <c r="H35" s="91">
        <f t="shared" ref="H35:H39" si="5">B35+C35-I35</f>
        <v>79</v>
      </c>
      <c r="I35" s="166">
        <v>1.0</v>
      </c>
      <c r="J35" s="167">
        <f t="shared" ref="J35:J40" si="6">H35</f>
        <v>79</v>
      </c>
      <c r="K35" s="166">
        <v>1.0</v>
      </c>
      <c r="L35" s="166">
        <v>0.0</v>
      </c>
      <c r="M35" s="166">
        <v>0.0</v>
      </c>
      <c r="N35" s="166">
        <v>0.0</v>
      </c>
      <c r="O35" s="94">
        <v>13.0</v>
      </c>
      <c r="P35" s="97">
        <v>0.0</v>
      </c>
      <c r="Q35" s="97">
        <v>0.0</v>
      </c>
      <c r="R35" s="94">
        <v>1.0</v>
      </c>
      <c r="S35" s="97">
        <v>0.0</v>
      </c>
      <c r="T35" s="97">
        <v>0.0</v>
      </c>
      <c r="U35" s="164">
        <v>10.0</v>
      </c>
      <c r="V35" s="168">
        <v>1.0</v>
      </c>
      <c r="W35" s="168">
        <v>1.0</v>
      </c>
      <c r="X35" s="168">
        <v>0.0</v>
      </c>
      <c r="Y35" s="168">
        <v>1.0</v>
      </c>
      <c r="Z35" s="168">
        <v>0.0</v>
      </c>
      <c r="AA35" s="168">
        <f t="shared" ref="AA35:AA39" si="7">B35+C35</f>
        <v>80</v>
      </c>
      <c r="AB35" s="168">
        <v>0.0</v>
      </c>
      <c r="AC35" s="168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62">
        <v>46054.0</v>
      </c>
      <c r="B36" s="94">
        <v>15.0</v>
      </c>
      <c r="C36" s="98">
        <v>68.0</v>
      </c>
      <c r="D36" s="98">
        <v>13.0</v>
      </c>
      <c r="E36" s="98">
        <v>68.0</v>
      </c>
      <c r="F36" s="165">
        <f t="shared" ref="F36:G36" si="4">B36-D36</f>
        <v>2</v>
      </c>
      <c r="G36" s="165">
        <f t="shared" si="4"/>
        <v>0</v>
      </c>
      <c r="H36" s="91">
        <f t="shared" si="5"/>
        <v>83</v>
      </c>
      <c r="I36" s="97">
        <v>0.0</v>
      </c>
      <c r="J36" s="167">
        <f t="shared" si="6"/>
        <v>83</v>
      </c>
      <c r="K36" s="97">
        <v>0.0</v>
      </c>
      <c r="L36" s="97">
        <v>0.0</v>
      </c>
      <c r="M36" s="97">
        <v>0.0</v>
      </c>
      <c r="N36" s="97">
        <v>0.0</v>
      </c>
      <c r="O36" s="94">
        <v>15.0</v>
      </c>
      <c r="P36" s="97">
        <v>0.0</v>
      </c>
      <c r="Q36" s="97">
        <v>0.0</v>
      </c>
      <c r="R36" s="94">
        <v>0.0</v>
      </c>
      <c r="S36" s="97">
        <v>0.0</v>
      </c>
      <c r="T36" s="97">
        <v>0.0</v>
      </c>
      <c r="U36" s="98">
        <v>11.0</v>
      </c>
      <c r="V36" s="97">
        <v>2.0</v>
      </c>
      <c r="W36" s="97">
        <v>1.0</v>
      </c>
      <c r="X36" s="97">
        <v>0.0</v>
      </c>
      <c r="Y36" s="97">
        <v>1.0</v>
      </c>
      <c r="Z36" s="97">
        <v>0.0</v>
      </c>
      <c r="AA36" s="168">
        <f t="shared" si="7"/>
        <v>83</v>
      </c>
      <c r="AB36" s="97">
        <v>0.0</v>
      </c>
      <c r="AC36" s="9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62">
        <v>46082.0</v>
      </c>
      <c r="B37" s="94">
        <v>14.0</v>
      </c>
      <c r="C37" s="98">
        <v>70.0</v>
      </c>
      <c r="D37" s="98">
        <v>14.0</v>
      </c>
      <c r="E37" s="98">
        <v>69.0</v>
      </c>
      <c r="F37" s="165">
        <f t="shared" ref="F37:G37" si="8">B37-D37</f>
        <v>0</v>
      </c>
      <c r="G37" s="165">
        <f t="shared" si="8"/>
        <v>1</v>
      </c>
      <c r="H37" s="91">
        <f t="shared" si="5"/>
        <v>84</v>
      </c>
      <c r="I37" s="97">
        <v>0.0</v>
      </c>
      <c r="J37" s="167">
        <f t="shared" si="6"/>
        <v>84</v>
      </c>
      <c r="K37" s="97">
        <v>0.0</v>
      </c>
      <c r="L37" s="97">
        <v>0.0</v>
      </c>
      <c r="M37" s="97">
        <v>0.0</v>
      </c>
      <c r="N37" s="97">
        <v>0.0</v>
      </c>
      <c r="O37" s="94">
        <v>14.0</v>
      </c>
      <c r="P37" s="97">
        <v>0.0</v>
      </c>
      <c r="Q37" s="97">
        <v>0.0</v>
      </c>
      <c r="R37" s="94">
        <v>0.0</v>
      </c>
      <c r="S37" s="97">
        <v>0.0</v>
      </c>
      <c r="T37" s="97">
        <v>0.0</v>
      </c>
      <c r="U37" s="98">
        <v>11.0</v>
      </c>
      <c r="V37" s="97">
        <v>3.0</v>
      </c>
      <c r="W37" s="97">
        <v>2.0</v>
      </c>
      <c r="X37" s="97">
        <v>0.0</v>
      </c>
      <c r="Y37" s="97">
        <v>2.0</v>
      </c>
      <c r="Z37" s="97">
        <v>0.0</v>
      </c>
      <c r="AA37" s="168">
        <f t="shared" si="7"/>
        <v>84</v>
      </c>
      <c r="AB37" s="97">
        <v>0.0</v>
      </c>
      <c r="AC37" s="9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62">
        <v>46113.0</v>
      </c>
      <c r="B38" s="94">
        <v>17.0</v>
      </c>
      <c r="C38" s="98">
        <v>68.0</v>
      </c>
      <c r="D38" s="98">
        <v>14.0</v>
      </c>
      <c r="E38" s="98">
        <v>63.0</v>
      </c>
      <c r="F38" s="165">
        <f t="shared" ref="F38:G38" si="9">B38-D38</f>
        <v>3</v>
      </c>
      <c r="G38" s="165">
        <f t="shared" si="9"/>
        <v>5</v>
      </c>
      <c r="H38" s="91">
        <f t="shared" si="5"/>
        <v>85</v>
      </c>
      <c r="I38" s="97">
        <v>0.0</v>
      </c>
      <c r="J38" s="167">
        <f t="shared" si="6"/>
        <v>85</v>
      </c>
      <c r="K38" s="97">
        <v>0.0</v>
      </c>
      <c r="L38" s="97">
        <v>0.0</v>
      </c>
      <c r="M38" s="97">
        <v>0.0</v>
      </c>
      <c r="N38" s="97">
        <v>0.0</v>
      </c>
      <c r="O38" s="94">
        <v>17.0</v>
      </c>
      <c r="P38" s="97">
        <v>0.0</v>
      </c>
      <c r="Q38" s="97">
        <v>0.0</v>
      </c>
      <c r="R38" s="94">
        <v>0.0</v>
      </c>
      <c r="S38" s="97">
        <v>0.0</v>
      </c>
      <c r="T38" s="97">
        <v>0.0</v>
      </c>
      <c r="U38" s="98">
        <v>12.0</v>
      </c>
      <c r="V38" s="97">
        <v>2.0</v>
      </c>
      <c r="W38" s="97">
        <v>2.0</v>
      </c>
      <c r="X38" s="97">
        <v>0.0</v>
      </c>
      <c r="Y38" s="97">
        <v>2.0</v>
      </c>
      <c r="Z38" s="97">
        <v>0.0</v>
      </c>
      <c r="AA38" s="168">
        <f t="shared" si="7"/>
        <v>85</v>
      </c>
      <c r="AB38" s="97">
        <v>0.0</v>
      </c>
      <c r="AC38" s="97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62">
        <v>46143.0</v>
      </c>
      <c r="B39" s="94">
        <v>17.0</v>
      </c>
      <c r="C39" s="98">
        <v>69.0</v>
      </c>
      <c r="D39" s="98">
        <v>15.0</v>
      </c>
      <c r="E39" s="98">
        <v>66.0</v>
      </c>
      <c r="F39" s="165">
        <f t="shared" ref="F39:G39" si="10">B39-D39</f>
        <v>2</v>
      </c>
      <c r="G39" s="165">
        <f t="shared" si="10"/>
        <v>3</v>
      </c>
      <c r="H39" s="91">
        <f t="shared" si="5"/>
        <v>86</v>
      </c>
      <c r="I39" s="97">
        <v>0.0</v>
      </c>
      <c r="J39" s="167">
        <f t="shared" si="6"/>
        <v>86</v>
      </c>
      <c r="K39" s="97">
        <v>0.0</v>
      </c>
      <c r="L39" s="97">
        <v>0.0</v>
      </c>
      <c r="M39" s="97">
        <v>0.0</v>
      </c>
      <c r="N39" s="97">
        <v>0.0</v>
      </c>
      <c r="O39" s="94">
        <v>17.0</v>
      </c>
      <c r="P39" s="97">
        <v>0.0</v>
      </c>
      <c r="Q39" s="97">
        <v>0.0</v>
      </c>
      <c r="R39" s="94">
        <v>0.0</v>
      </c>
      <c r="S39" s="97">
        <v>0.0</v>
      </c>
      <c r="T39" s="97">
        <v>0.0</v>
      </c>
      <c r="U39" s="98">
        <v>14.0</v>
      </c>
      <c r="V39" s="97">
        <v>1.0</v>
      </c>
      <c r="W39" s="97">
        <v>3.0</v>
      </c>
      <c r="X39" s="97">
        <v>0.0</v>
      </c>
      <c r="Y39" s="97">
        <v>3.0</v>
      </c>
      <c r="Z39" s="97">
        <v>0.0</v>
      </c>
      <c r="AA39" s="168">
        <f t="shared" si="7"/>
        <v>86</v>
      </c>
      <c r="AB39" s="97">
        <v>0.0</v>
      </c>
      <c r="AC39" s="9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62">
        <v>46174.0</v>
      </c>
      <c r="B40" s="110"/>
      <c r="C40" s="110"/>
      <c r="D40" s="110"/>
      <c r="E40" s="110"/>
      <c r="F40" s="110"/>
      <c r="G40" s="110"/>
      <c r="H40" s="110"/>
      <c r="I40" s="110"/>
      <c r="J40" s="167" t="str">
        <f t="shared" si="6"/>
        <v/>
      </c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2">
        <v>46204.0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2">
        <v>46235.0</v>
      </c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2">
        <v>46266.0</v>
      </c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2">
        <v>46296.0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2">
        <v>46327.0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62">
        <v>46357.0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44" t="s">
        <v>1416</v>
      </c>
      <c r="B50" s="102"/>
      <c r="C50" s="102"/>
      <c r="D50" s="102"/>
      <c r="E50" s="102"/>
      <c r="F50" s="102"/>
      <c r="G50" s="102"/>
      <c r="H50" s="10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3" t="s">
        <v>1384</v>
      </c>
      <c r="B51" s="103" t="s">
        <v>1417</v>
      </c>
      <c r="C51" s="103" t="s">
        <v>1418</v>
      </c>
      <c r="D51" s="69" t="s">
        <v>1387</v>
      </c>
      <c r="E51" s="31"/>
      <c r="F51" s="31"/>
      <c r="G51" s="9"/>
      <c r="H51" s="69" t="s">
        <v>1419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9"/>
      <c r="W51" s="104" t="s">
        <v>1420</v>
      </c>
      <c r="X51" s="75"/>
      <c r="Y51" s="75"/>
      <c r="Z51" s="75"/>
      <c r="AA51" s="75"/>
      <c r="AB51" s="75"/>
      <c r="AC51" s="76"/>
      <c r="AD51" s="103" t="s">
        <v>1421</v>
      </c>
      <c r="AE51" s="69" t="s">
        <v>1422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80"/>
      <c r="B52" s="169" t="s">
        <v>1423</v>
      </c>
      <c r="C52" s="169" t="s">
        <v>1424</v>
      </c>
      <c r="D52" s="69" t="s">
        <v>1396</v>
      </c>
      <c r="E52" s="9"/>
      <c r="F52" s="69" t="s">
        <v>1397</v>
      </c>
      <c r="G52" s="9"/>
      <c r="H52" s="69" t="s">
        <v>1425</v>
      </c>
      <c r="I52" s="9"/>
      <c r="J52" s="69" t="s">
        <v>1426</v>
      </c>
      <c r="K52" s="31"/>
      <c r="L52" s="31"/>
      <c r="M52" s="9"/>
      <c r="N52" s="170" t="s">
        <v>1427</v>
      </c>
      <c r="O52" s="9"/>
      <c r="P52" s="69" t="s">
        <v>1428</v>
      </c>
      <c r="Q52" s="9"/>
      <c r="R52" s="171" t="s">
        <v>1429</v>
      </c>
      <c r="S52" s="9"/>
      <c r="T52" s="136" t="s">
        <v>1399</v>
      </c>
      <c r="U52" s="9"/>
      <c r="V52" s="172" t="s">
        <v>1401</v>
      </c>
      <c r="W52" s="81"/>
      <c r="X52" s="82"/>
      <c r="Y52" s="82"/>
      <c r="Z52" s="82"/>
      <c r="AA52" s="82"/>
      <c r="AB52" s="82"/>
      <c r="AC52" s="83"/>
      <c r="AD52" s="80"/>
      <c r="AE52" s="173" t="s">
        <v>1417</v>
      </c>
      <c r="AF52" s="173" t="s">
        <v>1430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74"/>
      <c r="C53" s="175" t="s">
        <v>1431</v>
      </c>
      <c r="D53" s="93" t="s">
        <v>1417</v>
      </c>
      <c r="E53" s="93" t="s">
        <v>1432</v>
      </c>
      <c r="F53" s="93" t="s">
        <v>1417</v>
      </c>
      <c r="G53" s="93" t="s">
        <v>1432</v>
      </c>
      <c r="H53" s="93" t="s">
        <v>1433</v>
      </c>
      <c r="I53" s="93" t="s">
        <v>1434</v>
      </c>
      <c r="J53" s="93" t="s">
        <v>1435</v>
      </c>
      <c r="K53" s="93" t="s">
        <v>1436</v>
      </c>
      <c r="L53" s="93" t="s">
        <v>1437</v>
      </c>
      <c r="M53" s="93" t="s">
        <v>1438</v>
      </c>
      <c r="N53" s="176" t="s">
        <v>1439</v>
      </c>
      <c r="O53" s="177" t="s">
        <v>1440</v>
      </c>
      <c r="P53" s="93" t="s">
        <v>1437</v>
      </c>
      <c r="Q53" s="93" t="s">
        <v>1438</v>
      </c>
      <c r="R53" s="152" t="s">
        <v>1439</v>
      </c>
      <c r="S53" s="93" t="s">
        <v>1440</v>
      </c>
      <c r="T53" s="93" t="s">
        <v>1439</v>
      </c>
      <c r="U53" s="93" t="s">
        <v>1440</v>
      </c>
      <c r="V53" s="93" t="s">
        <v>1441</v>
      </c>
      <c r="W53" s="93" t="s">
        <v>1442</v>
      </c>
      <c r="X53" s="93" t="s">
        <v>1443</v>
      </c>
      <c r="Y53" s="178" t="s">
        <v>1444</v>
      </c>
      <c r="Z53" s="69" t="s">
        <v>1445</v>
      </c>
      <c r="AA53" s="153" t="s">
        <v>1446</v>
      </c>
      <c r="AB53" s="154" t="s">
        <v>1447</v>
      </c>
      <c r="AC53" s="93" t="s">
        <v>1448</v>
      </c>
      <c r="AD53" s="11"/>
      <c r="AE53" s="173" t="s">
        <v>1449</v>
      </c>
      <c r="AF53" s="173" t="s">
        <v>1450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55">
        <v>1.0</v>
      </c>
      <c r="B54" s="155">
        <v>2.0</v>
      </c>
      <c r="C54" s="156">
        <v>3.0</v>
      </c>
      <c r="D54" s="155">
        <v>4.0</v>
      </c>
      <c r="E54" s="155">
        <v>5.0</v>
      </c>
      <c r="F54" s="155">
        <v>6.0</v>
      </c>
      <c r="G54" s="155">
        <v>7.0</v>
      </c>
      <c r="H54" s="155">
        <v>8.0</v>
      </c>
      <c r="I54" s="157">
        <v>9.0</v>
      </c>
      <c r="J54" s="157">
        <v>10.0</v>
      </c>
      <c r="K54" s="157">
        <v>11.0</v>
      </c>
      <c r="L54" s="157">
        <v>12.0</v>
      </c>
      <c r="M54" s="157">
        <v>13.0</v>
      </c>
      <c r="N54" s="157">
        <v>14.0</v>
      </c>
      <c r="O54" s="158">
        <v>15.0</v>
      </c>
      <c r="P54" s="157">
        <v>16.0</v>
      </c>
      <c r="Q54" s="157">
        <v>17.0</v>
      </c>
      <c r="R54" s="158">
        <v>18.0</v>
      </c>
      <c r="S54" s="157">
        <v>19.0</v>
      </c>
      <c r="T54" s="157">
        <v>20.0</v>
      </c>
      <c r="U54" s="155">
        <v>21.0</v>
      </c>
      <c r="V54" s="155">
        <v>22.0</v>
      </c>
      <c r="W54" s="155">
        <v>23.0</v>
      </c>
      <c r="X54" s="155">
        <v>24.0</v>
      </c>
      <c r="Y54" s="155">
        <v>25.0</v>
      </c>
      <c r="Z54" s="159">
        <v>26.0</v>
      </c>
      <c r="AA54" s="160">
        <v>27.0</v>
      </c>
      <c r="AB54" s="161">
        <v>28.0</v>
      </c>
      <c r="AC54" s="155">
        <v>29.0</v>
      </c>
      <c r="AD54" s="155">
        <v>30.0</v>
      </c>
      <c r="AE54" s="155">
        <v>31.0</v>
      </c>
      <c r="AF54" s="15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62">
        <v>46023.0</v>
      </c>
      <c r="B55" s="164">
        <v>31.0</v>
      </c>
      <c r="C55" s="163">
        <v>173.0</v>
      </c>
      <c r="D55" s="164">
        <v>22.0</v>
      </c>
      <c r="E55" s="164">
        <v>122.0</v>
      </c>
      <c r="F55" s="165">
        <f t="shared" ref="F55:G55" si="11">B55-D55</f>
        <v>9</v>
      </c>
      <c r="G55" s="165">
        <f t="shared" si="11"/>
        <v>51</v>
      </c>
      <c r="H55" s="163">
        <v>173.0</v>
      </c>
      <c r="I55" s="166">
        <v>0.0</v>
      </c>
      <c r="J55" s="166">
        <v>139.0</v>
      </c>
      <c r="K55" s="167">
        <f t="shared" ref="K55:K59" si="13">B55+C55-J55</f>
        <v>65</v>
      </c>
      <c r="L55" s="167">
        <f t="shared" ref="L55:L59" si="14">B55+C55</f>
        <v>204</v>
      </c>
      <c r="M55" s="166">
        <v>0.0</v>
      </c>
      <c r="N55" s="167">
        <f t="shared" ref="N55:N59" si="15">L55</f>
        <v>204</v>
      </c>
      <c r="O55" s="97">
        <v>0.0</v>
      </c>
      <c r="P55" s="110">
        <f t="shared" ref="P55:P59" si="16">N55</f>
        <v>204</v>
      </c>
      <c r="Q55" s="97">
        <v>0.0</v>
      </c>
      <c r="R55" s="110">
        <f t="shared" ref="R55:R59" si="17">P55</f>
        <v>204</v>
      </c>
      <c r="S55" s="97">
        <v>0.0</v>
      </c>
      <c r="T55" s="110">
        <f t="shared" ref="T55:T59" si="18">R55</f>
        <v>204</v>
      </c>
      <c r="U55" s="168">
        <v>0.0</v>
      </c>
      <c r="V55" s="168">
        <v>0.0</v>
      </c>
      <c r="W55" s="179">
        <f t="shared" ref="W55:W59" si="19">B55</f>
        <v>31</v>
      </c>
      <c r="X55" s="168">
        <v>30.0</v>
      </c>
      <c r="Y55" s="92">
        <v>70.0</v>
      </c>
      <c r="Z55" s="167"/>
      <c r="AA55" s="168"/>
      <c r="AB55" s="110"/>
      <c r="AC55" s="179">
        <f t="shared" ref="AC55:AC59" si="20">T55</f>
        <v>204</v>
      </c>
      <c r="AD55" s="97">
        <v>0.0</v>
      </c>
      <c r="AE55" s="110"/>
      <c r="AF55" s="11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80" t="s">
        <v>1451</v>
      </c>
      <c r="B56" s="98">
        <v>29.0</v>
      </c>
      <c r="C56" s="98">
        <v>170.0</v>
      </c>
      <c r="D56" s="164">
        <v>21.0</v>
      </c>
      <c r="E56" s="165">
        <f>C56*70%</f>
        <v>119</v>
      </c>
      <c r="F56" s="165">
        <f t="shared" ref="F56:G56" si="12">B56-D56</f>
        <v>8</v>
      </c>
      <c r="G56" s="165">
        <f t="shared" si="12"/>
        <v>51</v>
      </c>
      <c r="H56" s="98">
        <v>170.0</v>
      </c>
      <c r="I56" s="97">
        <v>0.0</v>
      </c>
      <c r="J56" s="166">
        <v>135.0</v>
      </c>
      <c r="K56" s="167">
        <f t="shared" si="13"/>
        <v>64</v>
      </c>
      <c r="L56" s="167">
        <f t="shared" si="14"/>
        <v>199</v>
      </c>
      <c r="M56" s="97">
        <v>0.0</v>
      </c>
      <c r="N56" s="167">
        <f t="shared" si="15"/>
        <v>199</v>
      </c>
      <c r="O56" s="97">
        <v>0.0</v>
      </c>
      <c r="P56" s="110">
        <f t="shared" si="16"/>
        <v>199</v>
      </c>
      <c r="Q56" s="97">
        <v>0.0</v>
      </c>
      <c r="R56" s="110">
        <f t="shared" si="17"/>
        <v>199</v>
      </c>
      <c r="S56" s="97">
        <v>0.0</v>
      </c>
      <c r="T56" s="110">
        <f t="shared" si="18"/>
        <v>199</v>
      </c>
      <c r="U56" s="168">
        <v>0.0</v>
      </c>
      <c r="V56" s="168">
        <v>0.0</v>
      </c>
      <c r="W56" s="179">
        <f t="shared" si="19"/>
        <v>29</v>
      </c>
      <c r="X56" s="97">
        <v>31.0</v>
      </c>
      <c r="Y56" s="92">
        <v>66.0</v>
      </c>
      <c r="Z56" s="167">
        <f>P56+Q56</f>
        <v>199</v>
      </c>
      <c r="AA56" s="110"/>
      <c r="AB56" s="110"/>
      <c r="AC56" s="179">
        <f t="shared" si="20"/>
        <v>199</v>
      </c>
      <c r="AD56" s="97">
        <v>0.0</v>
      </c>
      <c r="AE56" s="110"/>
      <c r="AF56" s="11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2">
        <v>45717.0</v>
      </c>
      <c r="B57" s="98">
        <v>26.0</v>
      </c>
      <c r="C57" s="98">
        <v>174.0</v>
      </c>
      <c r="D57" s="164">
        <v>19.0</v>
      </c>
      <c r="E57" s="164">
        <v>122.0</v>
      </c>
      <c r="F57" s="165">
        <f t="shared" ref="F57:G57" si="21">B57-D57</f>
        <v>7</v>
      </c>
      <c r="G57" s="165">
        <f t="shared" si="21"/>
        <v>52</v>
      </c>
      <c r="H57" s="98">
        <v>174.0</v>
      </c>
      <c r="I57" s="97">
        <v>0.0</v>
      </c>
      <c r="J57" s="166">
        <v>134.0</v>
      </c>
      <c r="K57" s="167">
        <f t="shared" si="13"/>
        <v>66</v>
      </c>
      <c r="L57" s="167">
        <f t="shared" si="14"/>
        <v>200</v>
      </c>
      <c r="M57" s="97">
        <v>0.0</v>
      </c>
      <c r="N57" s="167">
        <f t="shared" si="15"/>
        <v>200</v>
      </c>
      <c r="O57" s="97">
        <v>0.0</v>
      </c>
      <c r="P57" s="110">
        <f t="shared" si="16"/>
        <v>200</v>
      </c>
      <c r="Q57" s="97">
        <v>0.0</v>
      </c>
      <c r="R57" s="110">
        <f t="shared" si="17"/>
        <v>200</v>
      </c>
      <c r="S57" s="97">
        <v>0.0</v>
      </c>
      <c r="T57" s="110">
        <f t="shared" si="18"/>
        <v>200</v>
      </c>
      <c r="U57" s="168">
        <v>0.0</v>
      </c>
      <c r="V57" s="168">
        <v>0.0</v>
      </c>
      <c r="W57" s="179">
        <f t="shared" si="19"/>
        <v>26</v>
      </c>
      <c r="X57" s="97">
        <v>27.0</v>
      </c>
      <c r="Y57" s="92">
        <v>79.0</v>
      </c>
      <c r="Z57" s="167"/>
      <c r="AA57" s="110"/>
      <c r="AB57" s="110"/>
      <c r="AC57" s="179">
        <f t="shared" si="20"/>
        <v>200</v>
      </c>
      <c r="AD57" s="97">
        <v>0.0</v>
      </c>
      <c r="AE57" s="110"/>
      <c r="AF57" s="11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2">
        <v>45748.0</v>
      </c>
      <c r="B58" s="98">
        <v>23.0</v>
      </c>
      <c r="C58" s="98">
        <v>175.0</v>
      </c>
      <c r="D58" s="164">
        <v>17.0</v>
      </c>
      <c r="E58" s="164">
        <v>123.0</v>
      </c>
      <c r="F58" s="165">
        <f t="shared" ref="F58:G58" si="22">B58-D58</f>
        <v>6</v>
      </c>
      <c r="G58" s="165">
        <f t="shared" si="22"/>
        <v>52</v>
      </c>
      <c r="H58" s="98">
        <v>175.0</v>
      </c>
      <c r="I58" s="97">
        <v>0.0</v>
      </c>
      <c r="J58" s="166">
        <v>132.0</v>
      </c>
      <c r="K58" s="167">
        <f t="shared" si="13"/>
        <v>66</v>
      </c>
      <c r="L58" s="167">
        <f t="shared" si="14"/>
        <v>198</v>
      </c>
      <c r="M58" s="97">
        <v>0.0</v>
      </c>
      <c r="N58" s="167">
        <f t="shared" si="15"/>
        <v>198</v>
      </c>
      <c r="O58" s="97">
        <v>0.0</v>
      </c>
      <c r="P58" s="110">
        <f t="shared" si="16"/>
        <v>198</v>
      </c>
      <c r="Q58" s="97">
        <v>0.0</v>
      </c>
      <c r="R58" s="110">
        <f t="shared" si="17"/>
        <v>198</v>
      </c>
      <c r="S58" s="97">
        <v>0.0</v>
      </c>
      <c r="T58" s="110">
        <f t="shared" si="18"/>
        <v>198</v>
      </c>
      <c r="U58" s="168">
        <v>0.0</v>
      </c>
      <c r="V58" s="168">
        <v>0.0</v>
      </c>
      <c r="W58" s="179">
        <f t="shared" si="19"/>
        <v>23</v>
      </c>
      <c r="X58" s="97">
        <v>29.0</v>
      </c>
      <c r="Y58" s="92">
        <v>77.0</v>
      </c>
      <c r="Z58" s="167"/>
      <c r="AA58" s="97">
        <v>175.0</v>
      </c>
      <c r="AB58" s="110"/>
      <c r="AC58" s="179">
        <f t="shared" si="20"/>
        <v>198</v>
      </c>
      <c r="AD58" s="97">
        <v>0.0</v>
      </c>
      <c r="AE58" s="110"/>
      <c r="AF58" s="11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2">
        <v>45778.0</v>
      </c>
      <c r="B59" s="98">
        <v>22.0</v>
      </c>
      <c r="C59" s="98">
        <v>172.0</v>
      </c>
      <c r="D59" s="164">
        <v>16.0</v>
      </c>
      <c r="E59" s="164">
        <v>121.0</v>
      </c>
      <c r="F59" s="165">
        <f t="shared" ref="F59:G59" si="23">B59-D59</f>
        <v>6</v>
      </c>
      <c r="G59" s="165">
        <f t="shared" si="23"/>
        <v>51</v>
      </c>
      <c r="H59" s="98">
        <v>172.0</v>
      </c>
      <c r="I59" s="97">
        <v>0.0</v>
      </c>
      <c r="J59" s="166">
        <v>129.0</v>
      </c>
      <c r="K59" s="167">
        <f t="shared" si="13"/>
        <v>65</v>
      </c>
      <c r="L59" s="167">
        <f t="shared" si="14"/>
        <v>194</v>
      </c>
      <c r="M59" s="97">
        <v>0.0</v>
      </c>
      <c r="N59" s="167">
        <f t="shared" si="15"/>
        <v>194</v>
      </c>
      <c r="O59" s="97">
        <v>0.0</v>
      </c>
      <c r="P59" s="110">
        <f t="shared" si="16"/>
        <v>194</v>
      </c>
      <c r="Q59" s="97">
        <v>0.0</v>
      </c>
      <c r="R59" s="110">
        <f t="shared" si="17"/>
        <v>194</v>
      </c>
      <c r="S59" s="97">
        <v>0.0</v>
      </c>
      <c r="T59" s="110">
        <f t="shared" si="18"/>
        <v>194</v>
      </c>
      <c r="U59" s="168">
        <v>0.0</v>
      </c>
      <c r="V59" s="168">
        <v>0.0</v>
      </c>
      <c r="W59" s="179">
        <f t="shared" si="19"/>
        <v>22</v>
      </c>
      <c r="X59" s="97">
        <v>25.0</v>
      </c>
      <c r="Y59" s="92">
        <v>68.0</v>
      </c>
      <c r="Z59" s="167"/>
      <c r="AA59" s="110"/>
      <c r="AB59" s="110" t="str">
        <f>Z59</f>
        <v/>
      </c>
      <c r="AC59" s="179">
        <f t="shared" si="20"/>
        <v>194</v>
      </c>
      <c r="AD59" s="97">
        <v>0.0</v>
      </c>
      <c r="AE59" s="110"/>
      <c r="AF59" s="11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2">
        <v>45809.0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2">
        <v>45839.0</v>
      </c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2">
        <v>45870.0</v>
      </c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2">
        <v>45901.0</v>
      </c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62">
        <v>45931.0</v>
      </c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2">
        <v>45962.0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81">
        <v>45992.0</v>
      </c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44" t="s">
        <v>1452</v>
      </c>
      <c r="B70" s="102"/>
      <c r="C70" s="102"/>
      <c r="D70" s="102"/>
      <c r="E70" s="102"/>
      <c r="F70" s="102"/>
      <c r="G70" s="102"/>
      <c r="H70" s="10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03" t="s">
        <v>1384</v>
      </c>
      <c r="B71" s="182" t="s">
        <v>1387</v>
      </c>
      <c r="C71" s="75"/>
      <c r="D71" s="75"/>
      <c r="E71" s="75"/>
      <c r="F71" s="75"/>
      <c r="G71" s="76"/>
      <c r="H71" s="69" t="s">
        <v>1453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9"/>
      <c r="X71" s="103" t="s">
        <v>1454</v>
      </c>
      <c r="Y71" s="103" t="s">
        <v>1454</v>
      </c>
      <c r="Z71" s="183"/>
      <c r="AA71" s="183"/>
      <c r="AB71" s="183"/>
      <c r="AC71" s="183"/>
      <c r="AD71" s="183"/>
      <c r="AE71" s="5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80"/>
      <c r="B72" s="104" t="s">
        <v>1455</v>
      </c>
      <c r="C72" s="103" t="s">
        <v>1456</v>
      </c>
      <c r="D72" s="136" t="s">
        <v>1396</v>
      </c>
      <c r="E72" s="9"/>
      <c r="F72" s="69" t="s">
        <v>1397</v>
      </c>
      <c r="G72" s="9"/>
      <c r="H72" s="69" t="s">
        <v>1457</v>
      </c>
      <c r="I72" s="31"/>
      <c r="J72" s="31"/>
      <c r="K72" s="31"/>
      <c r="L72" s="9"/>
      <c r="M72" s="69" t="s">
        <v>1458</v>
      </c>
      <c r="N72" s="31"/>
      <c r="O72" s="31"/>
      <c r="P72" s="31"/>
      <c r="Q72" s="31"/>
      <c r="R72" s="31"/>
      <c r="S72" s="31"/>
      <c r="T72" s="31"/>
      <c r="U72" s="9"/>
      <c r="V72" s="104" t="s">
        <v>1401</v>
      </c>
      <c r="W72" s="169" t="s">
        <v>1459</v>
      </c>
      <c r="X72" s="169" t="s">
        <v>1460</v>
      </c>
      <c r="Y72" s="169" t="s">
        <v>1461</v>
      </c>
      <c r="Z72" s="183"/>
      <c r="AA72" s="183"/>
      <c r="AB72" s="183"/>
      <c r="AC72" s="183"/>
      <c r="AE72" s="100"/>
      <c r="AF72" s="10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80"/>
      <c r="B73" s="184" t="s">
        <v>1462</v>
      </c>
      <c r="C73" s="169" t="s">
        <v>1462</v>
      </c>
      <c r="D73" s="185" t="s">
        <v>1463</v>
      </c>
      <c r="E73" s="103" t="s">
        <v>1464</v>
      </c>
      <c r="F73" s="103" t="s">
        <v>1463</v>
      </c>
      <c r="G73" s="103" t="s">
        <v>1464</v>
      </c>
      <c r="H73" s="103" t="s">
        <v>1465</v>
      </c>
      <c r="I73" s="103" t="s">
        <v>1466</v>
      </c>
      <c r="J73" s="103" t="s">
        <v>1439</v>
      </c>
      <c r="K73" s="103" t="s">
        <v>1467</v>
      </c>
      <c r="L73" s="103" t="s">
        <v>1468</v>
      </c>
      <c r="M73" s="103" t="s">
        <v>1469</v>
      </c>
      <c r="N73" s="69" t="s">
        <v>1400</v>
      </c>
      <c r="O73" s="31"/>
      <c r="P73" s="9"/>
      <c r="Q73" s="69" t="s">
        <v>1470</v>
      </c>
      <c r="R73" s="31"/>
      <c r="S73" s="9"/>
      <c r="T73" s="186" t="s">
        <v>1471</v>
      </c>
      <c r="U73" s="9"/>
      <c r="V73" s="187" t="s">
        <v>1472</v>
      </c>
      <c r="W73" s="188" t="s">
        <v>1473</v>
      </c>
      <c r="X73" s="188" t="s">
        <v>1474</v>
      </c>
      <c r="Y73" s="188" t="s">
        <v>1475</v>
      </c>
      <c r="Z73" s="52"/>
      <c r="AA73" s="189"/>
      <c r="AB73" s="52"/>
      <c r="AC73" s="52"/>
      <c r="AE73" s="100"/>
      <c r="AF73" s="10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90"/>
      <c r="C74" s="191"/>
      <c r="D74" s="83"/>
      <c r="E74" s="11"/>
      <c r="F74" s="11"/>
      <c r="G74" s="11"/>
      <c r="H74" s="11"/>
      <c r="I74" s="11"/>
      <c r="J74" s="11"/>
      <c r="K74" s="11"/>
      <c r="L74" s="11"/>
      <c r="M74" s="11"/>
      <c r="N74" s="93" t="s">
        <v>1476</v>
      </c>
      <c r="O74" s="192" t="s">
        <v>1439</v>
      </c>
      <c r="P74" s="93" t="s">
        <v>1477</v>
      </c>
      <c r="Q74" s="93" t="s">
        <v>1476</v>
      </c>
      <c r="R74" s="93" t="s">
        <v>1439</v>
      </c>
      <c r="S74" s="93" t="s">
        <v>1477</v>
      </c>
      <c r="T74" s="193" t="s">
        <v>1478</v>
      </c>
      <c r="U74" s="194" t="s">
        <v>1479</v>
      </c>
      <c r="V74" s="195" t="s">
        <v>1401</v>
      </c>
      <c r="W74" s="192" t="s">
        <v>1480</v>
      </c>
      <c r="X74" s="192" t="s">
        <v>1448</v>
      </c>
      <c r="Y74" s="192" t="s">
        <v>1481</v>
      </c>
      <c r="Z74" s="196"/>
      <c r="AA74" s="196"/>
      <c r="AB74" s="196"/>
      <c r="AC74" s="196"/>
      <c r="AD74" s="196"/>
      <c r="AE74" s="196"/>
      <c r="AF74" s="19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55">
        <v>1.0</v>
      </c>
      <c r="B75" s="160">
        <v>2.0</v>
      </c>
      <c r="C75" s="191">
        <v>3.0</v>
      </c>
      <c r="D75" s="155"/>
      <c r="E75" s="155">
        <v>5.0</v>
      </c>
      <c r="F75" s="155">
        <v>6.0</v>
      </c>
      <c r="G75" s="155">
        <v>7.0</v>
      </c>
      <c r="H75" s="155">
        <v>8.0</v>
      </c>
      <c r="I75" s="157">
        <v>9.0</v>
      </c>
      <c r="J75" s="157">
        <v>10.0</v>
      </c>
      <c r="K75" s="157">
        <v>11.0</v>
      </c>
      <c r="L75" s="157">
        <v>12.0</v>
      </c>
      <c r="M75" s="157">
        <v>13.0</v>
      </c>
      <c r="N75" s="157">
        <v>14.0</v>
      </c>
      <c r="O75" s="158">
        <v>15.0</v>
      </c>
      <c r="P75" s="157">
        <v>16.0</v>
      </c>
      <c r="Q75" s="157">
        <v>17.0</v>
      </c>
      <c r="R75" s="158">
        <v>18.0</v>
      </c>
      <c r="S75" s="157">
        <v>19.0</v>
      </c>
      <c r="T75" s="157">
        <v>20.0</v>
      </c>
      <c r="U75" s="155">
        <v>21.0</v>
      </c>
      <c r="V75" s="160">
        <v>22.0</v>
      </c>
      <c r="W75" s="160">
        <v>23.0</v>
      </c>
      <c r="X75" s="160">
        <v>24.0</v>
      </c>
      <c r="Y75" s="160">
        <v>25.0</v>
      </c>
      <c r="Z75" s="196"/>
      <c r="AA75" s="196"/>
      <c r="AB75" s="196"/>
      <c r="AC75" s="196"/>
      <c r="AD75" s="196"/>
      <c r="AE75" s="196"/>
      <c r="AF75" s="19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2">
        <v>45658.0</v>
      </c>
      <c r="B76" s="179"/>
      <c r="C76" s="197"/>
      <c r="D76" s="179"/>
      <c r="E76" s="179"/>
      <c r="F76" s="179"/>
      <c r="G76" s="179"/>
      <c r="H76" s="91"/>
      <c r="I76" s="167"/>
      <c r="J76" s="167"/>
      <c r="K76" s="167"/>
      <c r="L76" s="167"/>
      <c r="M76" s="167"/>
      <c r="N76" s="167"/>
      <c r="O76" s="110"/>
      <c r="P76" s="110"/>
      <c r="Q76" s="110"/>
      <c r="R76" s="110"/>
      <c r="S76" s="110"/>
      <c r="T76" s="110"/>
      <c r="U76" s="179"/>
      <c r="V76" s="179"/>
      <c r="W76" s="179"/>
      <c r="X76" s="179"/>
      <c r="Y76" s="179"/>
      <c r="Z76" s="102"/>
      <c r="AA76" s="198"/>
      <c r="AB76" s="102"/>
      <c r="AC76" s="10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80" t="s">
        <v>1451</v>
      </c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2">
        <v>45717.0</v>
      </c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2">
        <v>45748.0</v>
      </c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2">
        <v>45778.0</v>
      </c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2">
        <v>45809.0</v>
      </c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2">
        <v>45839.0</v>
      </c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2">
        <v>45870.0</v>
      </c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2">
        <v>45901.0</v>
      </c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2">
        <v>45931.0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2">
        <v>45962.0</v>
      </c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62">
        <v>45992.0</v>
      </c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44" t="s">
        <v>1482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9" t="s">
        <v>1384</v>
      </c>
      <c r="B92" s="136" t="s">
        <v>1483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9"/>
      <c r="AK92" s="200" t="s">
        <v>1484</v>
      </c>
      <c r="AL92" s="201" t="s">
        <v>1454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80"/>
      <c r="B93" s="69" t="s">
        <v>1457</v>
      </c>
      <c r="C93" s="31"/>
      <c r="D93" s="31"/>
      <c r="E93" s="31"/>
      <c r="F93" s="9"/>
      <c r="G93" s="69" t="s">
        <v>1485</v>
      </c>
      <c r="H93" s="31"/>
      <c r="I93" s="31"/>
      <c r="J93" s="31"/>
      <c r="K93" s="31"/>
      <c r="L93" s="31"/>
      <c r="M93" s="31"/>
      <c r="N93" s="31"/>
      <c r="O93" s="31"/>
      <c r="P93" s="31"/>
      <c r="Q93" s="9"/>
      <c r="R93" s="104" t="s">
        <v>1486</v>
      </c>
      <c r="S93" s="76"/>
      <c r="T93" s="136" t="s">
        <v>1487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9"/>
      <c r="AK93" s="202" t="s">
        <v>1488</v>
      </c>
      <c r="AL93" s="203" t="s">
        <v>1488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80"/>
      <c r="B94" s="103" t="s">
        <v>1465</v>
      </c>
      <c r="C94" s="103" t="s">
        <v>1466</v>
      </c>
      <c r="D94" s="103" t="s">
        <v>1439</v>
      </c>
      <c r="E94" s="103" t="s">
        <v>1467</v>
      </c>
      <c r="F94" s="103" t="s">
        <v>1468</v>
      </c>
      <c r="G94" s="204" t="s">
        <v>1469</v>
      </c>
      <c r="H94" s="9"/>
      <c r="I94" s="69" t="s">
        <v>1400</v>
      </c>
      <c r="J94" s="31"/>
      <c r="K94" s="31"/>
      <c r="L94" s="186" t="s">
        <v>1470</v>
      </c>
      <c r="M94" s="31"/>
      <c r="N94" s="9"/>
      <c r="O94" s="205" t="s">
        <v>1489</v>
      </c>
      <c r="P94" s="31"/>
      <c r="Q94" s="9"/>
      <c r="R94" s="206" t="s">
        <v>1477</v>
      </c>
      <c r="S94" s="103" t="s">
        <v>1439</v>
      </c>
      <c r="T94" s="136" t="s">
        <v>1490</v>
      </c>
      <c r="U94" s="31"/>
      <c r="V94" s="31"/>
      <c r="W94" s="31"/>
      <c r="X94" s="9"/>
      <c r="Y94" s="207" t="s">
        <v>1491</v>
      </c>
      <c r="Z94" s="31"/>
      <c r="AA94" s="31"/>
      <c r="AB94" s="9"/>
      <c r="AC94" s="207" t="s">
        <v>1491</v>
      </c>
      <c r="AD94" s="31"/>
      <c r="AE94" s="31"/>
      <c r="AF94" s="9"/>
      <c r="AG94" s="207" t="s">
        <v>1491</v>
      </c>
      <c r="AH94" s="31"/>
      <c r="AI94" s="31"/>
      <c r="AJ94" s="9"/>
      <c r="AK94" s="202" t="s">
        <v>1487</v>
      </c>
      <c r="AL94" s="203" t="s">
        <v>1487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80"/>
      <c r="B95" s="80"/>
      <c r="C95" s="80"/>
      <c r="D95" s="80"/>
      <c r="E95" s="80"/>
      <c r="F95" s="80"/>
      <c r="G95" s="208" t="s">
        <v>1492</v>
      </c>
      <c r="H95" s="209" t="s">
        <v>1493</v>
      </c>
      <c r="I95" s="169" t="s">
        <v>1476</v>
      </c>
      <c r="J95" s="103" t="s">
        <v>1439</v>
      </c>
      <c r="K95" s="103" t="s">
        <v>1477</v>
      </c>
      <c r="L95" s="103" t="s">
        <v>1476</v>
      </c>
      <c r="M95" s="103" t="s">
        <v>1439</v>
      </c>
      <c r="N95" s="210" t="s">
        <v>1477</v>
      </c>
      <c r="O95" s="211" t="s">
        <v>1494</v>
      </c>
      <c r="P95" s="31"/>
      <c r="Q95" s="9"/>
      <c r="R95" s="11"/>
      <c r="S95" s="11"/>
      <c r="T95" s="93" t="s">
        <v>1495</v>
      </c>
      <c r="U95" s="69" t="s">
        <v>1496</v>
      </c>
      <c r="V95" s="9"/>
      <c r="W95" s="69" t="s">
        <v>1497</v>
      </c>
      <c r="X95" s="9"/>
      <c r="Y95" s="69" t="s">
        <v>1498</v>
      </c>
      <c r="Z95" s="9"/>
      <c r="AA95" s="212" t="s">
        <v>1499</v>
      </c>
      <c r="AB95" s="83"/>
      <c r="AC95" s="69" t="s">
        <v>1500</v>
      </c>
      <c r="AD95" s="9"/>
      <c r="AE95" s="212" t="s">
        <v>1501</v>
      </c>
      <c r="AF95" s="83"/>
      <c r="AG95" s="69" t="s">
        <v>1502</v>
      </c>
      <c r="AH95" s="9"/>
      <c r="AI95" s="212" t="s">
        <v>1503</v>
      </c>
      <c r="AJ95" s="83"/>
      <c r="AK95" s="202" t="s">
        <v>1504</v>
      </c>
      <c r="AL95" s="203" t="s">
        <v>1481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207" t="s">
        <v>1505</v>
      </c>
      <c r="P96" s="93" t="s">
        <v>1506</v>
      </c>
      <c r="Q96" s="93" t="s">
        <v>1507</v>
      </c>
      <c r="R96" s="153" t="s">
        <v>1505</v>
      </c>
      <c r="S96" s="93" t="s">
        <v>1508</v>
      </c>
      <c r="T96" s="118" t="s">
        <v>1509</v>
      </c>
      <c r="U96" s="118" t="s">
        <v>1510</v>
      </c>
      <c r="V96" s="118" t="s">
        <v>1511</v>
      </c>
      <c r="W96" s="93" t="s">
        <v>1512</v>
      </c>
      <c r="X96" s="93" t="s">
        <v>1513</v>
      </c>
      <c r="Y96" s="93" t="s">
        <v>1414</v>
      </c>
      <c r="Z96" s="69" t="s">
        <v>1412</v>
      </c>
      <c r="AA96" s="153" t="s">
        <v>1414</v>
      </c>
      <c r="AB96" s="154" t="s">
        <v>1412</v>
      </c>
      <c r="AC96" s="93" t="s">
        <v>1414</v>
      </c>
      <c r="AD96" s="69" t="s">
        <v>1412</v>
      </c>
      <c r="AE96" s="153" t="s">
        <v>1414</v>
      </c>
      <c r="AF96" s="154" t="s">
        <v>1412</v>
      </c>
      <c r="AG96" s="93" t="s">
        <v>1414</v>
      </c>
      <c r="AH96" s="69" t="s">
        <v>1412</v>
      </c>
      <c r="AI96" s="153" t="s">
        <v>1414</v>
      </c>
      <c r="AJ96" s="136" t="s">
        <v>1412</v>
      </c>
      <c r="AK96" s="213" t="s">
        <v>1448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14">
        <v>1.0</v>
      </c>
      <c r="B97" s="215">
        <v>2.0</v>
      </c>
      <c r="C97" s="215">
        <v>3.0</v>
      </c>
      <c r="D97" s="215">
        <v>4.0</v>
      </c>
      <c r="E97" s="215">
        <v>5.0</v>
      </c>
      <c r="F97" s="215">
        <v>6.0</v>
      </c>
      <c r="G97" s="215">
        <v>7.0</v>
      </c>
      <c r="H97" s="215">
        <v>8.0</v>
      </c>
      <c r="I97" s="216">
        <v>9.0</v>
      </c>
      <c r="J97" s="215">
        <v>10.0</v>
      </c>
      <c r="K97" s="215">
        <v>11.0</v>
      </c>
      <c r="L97" s="216">
        <v>12.0</v>
      </c>
      <c r="M97" s="215">
        <v>13.0</v>
      </c>
      <c r="N97" s="215">
        <v>14.0</v>
      </c>
      <c r="O97" s="215">
        <v>15.0</v>
      </c>
      <c r="P97" s="214">
        <v>16.0</v>
      </c>
      <c r="Q97" s="214">
        <v>17.0</v>
      </c>
      <c r="R97" s="217">
        <v>18.0</v>
      </c>
      <c r="S97" s="214">
        <v>19.0</v>
      </c>
      <c r="T97" s="214">
        <v>20.0</v>
      </c>
      <c r="U97" s="214">
        <v>21.0</v>
      </c>
      <c r="V97" s="214">
        <v>22.0</v>
      </c>
      <c r="W97" s="214">
        <v>23.0</v>
      </c>
      <c r="X97" s="214">
        <v>24.0</v>
      </c>
      <c r="Y97" s="214">
        <v>25.0</v>
      </c>
      <c r="Z97" s="218">
        <v>26.0</v>
      </c>
      <c r="AA97" s="217">
        <v>27.0</v>
      </c>
      <c r="AB97" s="219">
        <v>28.0</v>
      </c>
      <c r="AC97" s="214">
        <v>29.0</v>
      </c>
      <c r="AD97" s="214">
        <v>30.0</v>
      </c>
      <c r="AE97" s="214">
        <v>31.0</v>
      </c>
      <c r="AF97" s="214">
        <v>32.0</v>
      </c>
      <c r="AG97" s="220">
        <v>33.0</v>
      </c>
      <c r="AH97" s="220">
        <v>34.0</v>
      </c>
      <c r="AI97" s="220">
        <v>35.0</v>
      </c>
      <c r="AJ97" s="220">
        <v>36.0</v>
      </c>
      <c r="AK97" s="221">
        <v>37.0</v>
      </c>
      <c r="AL97" s="22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22">
        <v>45658.0</v>
      </c>
      <c r="B98" s="110"/>
      <c r="C98" s="223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24" t="s">
        <v>1451</v>
      </c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22">
        <v>45717.0</v>
      </c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22">
        <v>45748.0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22">
        <v>45778.0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22">
        <v>45809.0</v>
      </c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22">
        <v>45839.0</v>
      </c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22">
        <v>45870.0</v>
      </c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22">
        <v>45901.0</v>
      </c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22">
        <v>45931.0</v>
      </c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22">
        <v>45962.0</v>
      </c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22">
        <v>45992.0</v>
      </c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0"/>
    <col customWidth="1" min="11" max="11" width="29.63"/>
  </cols>
  <sheetData>
    <row r="1">
      <c r="A1" s="33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1514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3" t="s">
        <v>38</v>
      </c>
      <c r="B5" s="53" t="s">
        <v>39</v>
      </c>
      <c r="C5" s="53" t="s">
        <v>1515</v>
      </c>
      <c r="D5" s="53" t="s">
        <v>1516</v>
      </c>
      <c r="E5" s="53" t="s">
        <v>42</v>
      </c>
      <c r="F5" s="53" t="s">
        <v>41</v>
      </c>
      <c r="G5" s="53" t="s">
        <v>43</v>
      </c>
      <c r="H5" s="53" t="s">
        <v>1517</v>
      </c>
      <c r="I5" s="53" t="s">
        <v>1518</v>
      </c>
      <c r="J5" s="225" t="s">
        <v>1519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26" t="s">
        <v>46</v>
      </c>
      <c r="K6" s="227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28">
        <v>1.0</v>
      </c>
      <c r="B7" s="229">
        <v>2.0</v>
      </c>
      <c r="C7" s="229">
        <v>3.0</v>
      </c>
      <c r="D7" s="228">
        <v>4.0</v>
      </c>
      <c r="E7" s="229">
        <v>5.0</v>
      </c>
      <c r="F7" s="229">
        <v>6.0</v>
      </c>
      <c r="G7" s="228">
        <v>7.0</v>
      </c>
      <c r="H7" s="229">
        <v>8.0</v>
      </c>
      <c r="I7" s="229">
        <v>9.0</v>
      </c>
      <c r="J7" s="228">
        <v>10.0</v>
      </c>
      <c r="K7" s="22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3" t="s">
        <v>1520</v>
      </c>
      <c r="C8" s="41"/>
      <c r="D8" s="25"/>
      <c r="E8" s="41" t="s">
        <v>1521</v>
      </c>
      <c r="F8" s="43"/>
      <c r="G8" s="41" t="s">
        <v>1522</v>
      </c>
      <c r="H8" s="43" t="s">
        <v>1523</v>
      </c>
      <c r="I8" s="43" t="s">
        <v>1524</v>
      </c>
      <c r="J8" s="41" t="s">
        <v>1525</v>
      </c>
      <c r="K8" s="23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3"/>
      <c r="C9" s="41"/>
      <c r="D9" s="43"/>
      <c r="E9" s="43"/>
      <c r="F9" s="43"/>
      <c r="G9" s="43"/>
      <c r="H9" s="43"/>
      <c r="I9" s="43"/>
      <c r="J9" s="23"/>
      <c r="K9" s="23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3"/>
      <c r="C10" s="43"/>
      <c r="D10" s="43"/>
      <c r="E10" s="43"/>
      <c r="F10" s="43"/>
      <c r="G10" s="43"/>
      <c r="H10" s="43"/>
      <c r="I10" s="43"/>
      <c r="J10" s="23"/>
      <c r="K10" s="23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3"/>
      <c r="C11" s="43"/>
      <c r="D11" s="43"/>
      <c r="E11" s="43"/>
      <c r="F11" s="43"/>
      <c r="G11" s="43"/>
      <c r="H11" s="43"/>
      <c r="I11" s="43"/>
      <c r="J11" s="23"/>
      <c r="K11" s="23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3"/>
      <c r="C12" s="43"/>
      <c r="D12" s="25"/>
      <c r="E12" s="43"/>
      <c r="F12" s="43"/>
      <c r="G12" s="43"/>
      <c r="H12" s="43"/>
      <c r="I12" s="23"/>
      <c r="J12" s="23"/>
      <c r="K12" s="23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31"/>
      <c r="C13" s="43"/>
      <c r="D13" s="43"/>
      <c r="E13" s="43"/>
      <c r="F13" s="23"/>
      <c r="G13" s="43"/>
      <c r="H13" s="43"/>
      <c r="I13" s="43"/>
      <c r="J13" s="23"/>
      <c r="K13" s="23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50"/>
      <c r="C14" s="43"/>
      <c r="D14" s="43"/>
      <c r="E14" s="43"/>
      <c r="F14" s="23"/>
      <c r="G14" s="43"/>
      <c r="H14" s="43"/>
      <c r="I14" s="43"/>
      <c r="J14" s="23"/>
      <c r="K14" s="23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3"/>
      <c r="C15" s="23"/>
      <c r="D15" s="23"/>
      <c r="E15" s="23"/>
      <c r="F15" s="23"/>
      <c r="G15" s="23"/>
      <c r="H15" s="23"/>
      <c r="I15" s="23"/>
      <c r="J15" s="23"/>
      <c r="K15" s="23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3"/>
      <c r="C16" s="23"/>
      <c r="D16" s="23"/>
      <c r="E16" s="23"/>
      <c r="F16" s="23"/>
      <c r="G16" s="23"/>
      <c r="H16" s="23"/>
      <c r="I16" s="23"/>
      <c r="J16" s="23"/>
      <c r="K16" s="23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3"/>
      <c r="C17" s="23"/>
      <c r="D17" s="23"/>
      <c r="E17" s="23"/>
      <c r="F17" s="23"/>
      <c r="G17" s="23"/>
      <c r="H17" s="23"/>
      <c r="I17" s="23"/>
      <c r="J17" s="23"/>
      <c r="K17" s="23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3"/>
      <c r="C18" s="23"/>
      <c r="D18" s="23"/>
      <c r="E18" s="23"/>
      <c r="F18" s="23"/>
      <c r="G18" s="23"/>
      <c r="H18" s="23"/>
      <c r="I18" s="23"/>
      <c r="J18" s="23"/>
      <c r="K18" s="23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3"/>
      <c r="C19" s="23"/>
      <c r="D19" s="23"/>
      <c r="E19" s="23"/>
      <c r="F19" s="23"/>
      <c r="G19" s="23"/>
      <c r="H19" s="23"/>
      <c r="I19" s="23"/>
      <c r="J19" s="23"/>
      <c r="K19" s="23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3"/>
      <c r="C20" s="23"/>
      <c r="D20" s="23"/>
      <c r="E20" s="23"/>
      <c r="F20" s="23"/>
      <c r="G20" s="23"/>
      <c r="H20" s="23"/>
      <c r="I20" s="23"/>
      <c r="J20" s="23"/>
      <c r="K20" s="23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3"/>
      <c r="C21" s="23"/>
      <c r="D21" s="23"/>
      <c r="E21" s="23"/>
      <c r="F21" s="23"/>
      <c r="G21" s="23"/>
      <c r="H21" s="23"/>
      <c r="I21" s="23"/>
      <c r="J21" s="23"/>
      <c r="K21" s="23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3"/>
      <c r="C22" s="23"/>
      <c r="D22" s="23"/>
      <c r="E22" s="23"/>
      <c r="F22" s="23"/>
      <c r="G22" s="23"/>
      <c r="H22" s="23"/>
      <c r="I22" s="23"/>
      <c r="J22" s="23"/>
      <c r="K22" s="23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3"/>
      <c r="C23" s="23"/>
      <c r="D23" s="23"/>
      <c r="E23" s="23"/>
      <c r="F23" s="23"/>
      <c r="G23" s="23"/>
      <c r="H23" s="23"/>
      <c r="I23" s="23"/>
      <c r="J23" s="232">
        <v>0.25</v>
      </c>
      <c r="K23" s="23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3"/>
      <c r="C24" s="23"/>
      <c r="D24" s="23"/>
      <c r="E24" s="23"/>
      <c r="F24" s="23"/>
      <c r="G24" s="23"/>
      <c r="H24" s="23"/>
      <c r="I24" s="23"/>
      <c r="J24" s="23"/>
      <c r="K24" s="23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3"/>
      <c r="C25" s="23"/>
      <c r="D25" s="23"/>
      <c r="E25" s="23"/>
      <c r="F25" s="23"/>
      <c r="G25" s="23"/>
      <c r="H25" s="23"/>
      <c r="I25" s="23"/>
      <c r="J25" s="23"/>
      <c r="K25" s="23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3"/>
      <c r="C26" s="23"/>
      <c r="D26" s="23"/>
      <c r="E26" s="23"/>
      <c r="F26" s="23"/>
      <c r="G26" s="23"/>
      <c r="H26" s="23"/>
      <c r="I26" s="23"/>
      <c r="J26" s="23"/>
      <c r="K26" s="23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3"/>
      <c r="C27" s="23"/>
      <c r="D27" s="23"/>
      <c r="E27" s="23"/>
      <c r="F27" s="23"/>
      <c r="G27" s="23"/>
      <c r="H27" s="23"/>
      <c r="I27" s="23"/>
      <c r="J27" s="23"/>
      <c r="K27" s="23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3"/>
      <c r="C28" s="23"/>
      <c r="D28" s="23"/>
      <c r="E28" s="23"/>
      <c r="F28" s="23"/>
      <c r="G28" s="23"/>
      <c r="H28" s="23"/>
      <c r="I28" s="23"/>
      <c r="J28" s="23"/>
      <c r="K28" s="23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3"/>
      <c r="C29" s="23"/>
      <c r="D29" s="23"/>
      <c r="E29" s="23"/>
      <c r="F29" s="23"/>
      <c r="G29" s="23"/>
      <c r="H29" s="23"/>
      <c r="I29" s="23"/>
      <c r="J29" s="23"/>
      <c r="K29" s="23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3"/>
      <c r="C30" s="23"/>
      <c r="D30" s="23"/>
      <c r="E30" s="23"/>
      <c r="F30" s="23"/>
      <c r="G30" s="23"/>
      <c r="H30" s="23"/>
      <c r="I30" s="23"/>
      <c r="J30" s="23"/>
      <c r="K30" s="23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3"/>
      <c r="C31" s="23"/>
      <c r="D31" s="23"/>
      <c r="E31" s="23"/>
      <c r="F31" s="23"/>
      <c r="G31" s="23"/>
      <c r="H31" s="23"/>
      <c r="I31" s="23"/>
      <c r="J31" s="23"/>
      <c r="K31" s="23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38"/>
  </cols>
  <sheetData>
    <row r="1">
      <c r="A1" s="233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33" t="s">
        <v>1526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1527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38</v>
      </c>
      <c r="B4" s="35" t="s">
        <v>39</v>
      </c>
      <c r="C4" s="35" t="s">
        <v>40</v>
      </c>
      <c r="D4" s="35" t="s">
        <v>42</v>
      </c>
      <c r="E4" s="35" t="s">
        <v>41</v>
      </c>
      <c r="F4" s="35" t="s">
        <v>43</v>
      </c>
      <c r="G4" s="234" t="s">
        <v>1528</v>
      </c>
      <c r="H4" s="75"/>
      <c r="I4" s="75"/>
      <c r="J4" s="75"/>
      <c r="K4" s="76"/>
      <c r="L4" s="36" t="s">
        <v>1519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7" t="s">
        <v>1529</v>
      </c>
      <c r="H5" s="37" t="s">
        <v>1530</v>
      </c>
      <c r="I5" s="37" t="s">
        <v>1531</v>
      </c>
      <c r="J5" s="37" t="s">
        <v>1532</v>
      </c>
      <c r="K5" s="37" t="s">
        <v>1533</v>
      </c>
      <c r="L5" s="37" t="s">
        <v>46</v>
      </c>
      <c r="M5" s="235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39">
        <v>2.0</v>
      </c>
      <c r="C6" s="39">
        <v>3.0</v>
      </c>
      <c r="D6" s="13">
        <v>4.0</v>
      </c>
      <c r="E6" s="39">
        <v>5.0</v>
      </c>
      <c r="F6" s="39">
        <v>6.0</v>
      </c>
      <c r="G6" s="13">
        <v>7.0</v>
      </c>
      <c r="H6" s="39">
        <v>8.0</v>
      </c>
      <c r="I6" s="39">
        <v>9.0</v>
      </c>
      <c r="J6" s="13">
        <v>10.0</v>
      </c>
      <c r="K6" s="39">
        <v>11.0</v>
      </c>
      <c r="L6" s="39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50"/>
      <c r="C7" s="41"/>
      <c r="D7" s="41" t="s">
        <v>1534</v>
      </c>
      <c r="E7" s="43"/>
      <c r="F7" s="41" t="s">
        <v>1535</v>
      </c>
      <c r="G7" s="23"/>
      <c r="H7" s="23"/>
      <c r="I7" s="23"/>
      <c r="J7" s="23"/>
      <c r="K7" s="41" t="s">
        <v>1536</v>
      </c>
      <c r="L7" s="56" t="s">
        <v>1537</v>
      </c>
      <c r="M7" s="23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50"/>
      <c r="C8" s="41"/>
      <c r="D8" s="43"/>
      <c r="E8" s="43"/>
      <c r="F8" s="43"/>
      <c r="G8" s="23"/>
      <c r="H8" s="23"/>
      <c r="I8" s="23"/>
      <c r="J8" s="23"/>
      <c r="K8" s="43"/>
      <c r="L8" s="23"/>
      <c r="M8" s="23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50"/>
      <c r="C9" s="43"/>
      <c r="D9" s="43"/>
      <c r="E9" s="43"/>
      <c r="F9" s="43"/>
      <c r="G9" s="43"/>
      <c r="H9" s="43"/>
      <c r="I9" s="23"/>
      <c r="J9" s="23"/>
      <c r="K9" s="43"/>
      <c r="L9" s="23"/>
      <c r="M9" s="23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1538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1539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38</v>
      </c>
      <c r="B4" s="35" t="s">
        <v>39</v>
      </c>
      <c r="C4" s="35" t="s">
        <v>40</v>
      </c>
      <c r="D4" s="35" t="s">
        <v>41</v>
      </c>
      <c r="E4" s="35" t="s">
        <v>42</v>
      </c>
      <c r="F4" s="35" t="s">
        <v>43</v>
      </c>
      <c r="G4" s="53" t="s">
        <v>44</v>
      </c>
      <c r="H4" s="36" t="s">
        <v>45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7" t="s">
        <v>46</v>
      </c>
      <c r="I5" s="37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3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37">
        <v>1.0</v>
      </c>
      <c r="B7" s="41" t="s">
        <v>1540</v>
      </c>
      <c r="C7" s="41"/>
      <c r="D7" s="43"/>
      <c r="E7" s="43"/>
      <c r="F7" s="43"/>
      <c r="G7" s="43"/>
      <c r="H7" s="43"/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37">
        <v>2.0</v>
      </c>
      <c r="B8" s="43"/>
      <c r="C8" s="43"/>
      <c r="D8" s="43"/>
      <c r="E8" s="43"/>
      <c r="F8" s="43"/>
      <c r="G8" s="43"/>
      <c r="H8" s="43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37">
        <v>3.0</v>
      </c>
      <c r="B9" s="43"/>
      <c r="C9" s="43"/>
      <c r="D9" s="43"/>
      <c r="E9" s="43"/>
      <c r="F9" s="43"/>
      <c r="G9" s="43"/>
      <c r="H9" s="4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37">
        <v>4.0</v>
      </c>
      <c r="B10" s="43"/>
      <c r="C10" s="43"/>
      <c r="D10" s="238"/>
      <c r="E10" s="43"/>
      <c r="F10" s="43"/>
      <c r="G10" s="43"/>
      <c r="H10" s="4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37">
        <v>5.0</v>
      </c>
      <c r="B11" s="231"/>
      <c r="C11" s="43"/>
      <c r="D11" s="43"/>
      <c r="E11" s="43"/>
      <c r="F11" s="43"/>
      <c r="G11" s="43"/>
      <c r="H11" s="4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7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4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