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Sheet10" sheetId="7" r:id="rId11"/>
    <sheet state="visible" name="TRANTIB LINMAS" sheetId="8" r:id="rId12"/>
    <sheet state="visible" name="SOSIAL" sheetId="9" r:id="rId13"/>
  </sheets>
  <definedNames/>
  <calcPr/>
</workbook>
</file>

<file path=xl/sharedStrings.xml><?xml version="1.0" encoding="utf-8"?>
<sst xmlns="http://schemas.openxmlformats.org/spreadsheetml/2006/main" count="1123" uniqueCount="520">
  <si>
    <t>DATABASE POSYANDU</t>
  </si>
  <si>
    <t>DESA</t>
  </si>
  <si>
    <t>: SRI REJOSARI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</si>
  <si>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</si>
  <si>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</si>
  <si>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</si>
  <si>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</si>
  <si>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</si>
  <si>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</si>
  <si>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</si>
  <si>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</si>
  <si>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</si>
  <si>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</si>
  <si>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</si>
  <si>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</si>
  <si>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</si>
  <si>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</si>
  <si>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</si>
  <si>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</si>
  <si>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</si>
  <si>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</si>
  <si>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</si>
  <si>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</si>
  <si>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ASOKA 1</t>
  </si>
  <si>
    <t>Tanggal 13 Setiap bulannya</t>
  </si>
  <si>
    <t>√</t>
  </si>
  <si>
    <t>MADYA</t>
  </si>
  <si>
    <t>ILP</t>
  </si>
  <si>
    <t>ASOKA 2</t>
  </si>
  <si>
    <t>Tanggal 14 Setiap bulannya</t>
  </si>
  <si>
    <t>ASOKA 3</t>
  </si>
  <si>
    <t>Tanggal 15 Setiap bulannya</t>
  </si>
  <si>
    <t>-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</si>
  <si>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</si>
  <si>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</si>
  <si>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</si>
  <si>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</si>
  <si>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</si>
  <si>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</si>
  <si>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</si>
  <si>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</si>
  <si>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</si>
  <si>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</si>
  <si>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</si>
  <si>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</si>
  <si>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</si>
  <si>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1807076904130001</t>
  </si>
  <si>
    <t>KANZA ADINATA ZAIN</t>
  </si>
  <si>
    <t>RT.05/RW.0030</t>
  </si>
  <si>
    <t>Mengajukan pembuatan KIP</t>
  </si>
  <si>
    <t>Sudah diajukan dan sedang diproses</t>
  </si>
  <si>
    <t>1807072901150001</t>
  </si>
  <si>
    <t>AKMAL ADIBRATA ZAIN</t>
  </si>
  <si>
    <t>RT.005/RW.003</t>
  </si>
  <si>
    <t>1807071810120003</t>
  </si>
  <si>
    <t>IQBAL FIQRI OKTAFIANTO</t>
  </si>
  <si>
    <t>RT.05 /RW.02</t>
  </si>
  <si>
    <t>1807074710170001</t>
  </si>
  <si>
    <t>QAELA AS ZAHRA OKTAVIA</t>
  </si>
  <si>
    <t>1807070111150001</t>
  </si>
  <si>
    <t>ADELIO NOVANTARA SAPUTRA</t>
  </si>
  <si>
    <t>RT.011/RW.04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</si>
  <si>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</si>
  <si>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</si>
  <si>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</si>
  <si>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</si>
  <si>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</si>
  <si>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</si>
  <si>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</si>
  <si>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</si>
  <si>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</si>
  <si>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</si>
  <si>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</si>
  <si>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</si>
  <si>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</si>
  <si>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</si>
  <si>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</si>
  <si>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</si>
  <si>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</si>
  <si>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</si>
  <si>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</si>
  <si>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</si>
  <si>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</si>
  <si>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</si>
  <si>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</si>
  <si>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</si>
  <si>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</si>
  <si>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</si>
  <si>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</si>
  <si>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</si>
  <si>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</si>
  <si>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</si>
  <si>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</si>
  <si>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</si>
  <si>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</si>
  <si>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</si>
  <si>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</si>
  <si>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</si>
  <si>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</si>
  <si>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</si>
  <si>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</si>
  <si>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</si>
  <si>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SRIREJOSARI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</si>
  <si>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</si>
  <si>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</si>
  <si>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</si>
  <si>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</si>
  <si>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</si>
  <si>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</si>
  <si>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</si>
  <si>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</si>
  <si>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</si>
  <si>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</si>
  <si>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</si>
  <si>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</si>
  <si>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</si>
  <si>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</si>
  <si>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</si>
  <si>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</si>
  <si>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</si>
  <si>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</si>
  <si>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Tini Febrianti</t>
  </si>
  <si>
    <t>Jumeri</t>
  </si>
  <si>
    <t>Faqih Khairi Attaya</t>
  </si>
  <si>
    <t>Ayu Mardiana</t>
  </si>
  <si>
    <t>Wito Surono</t>
  </si>
  <si>
    <t>Shanum Alya Qonisa</t>
  </si>
  <si>
    <t>Arista</t>
  </si>
  <si>
    <t>Faqih Hidayat</t>
  </si>
  <si>
    <t>Sutinah</t>
  </si>
  <si>
    <t>Ismail</t>
  </si>
  <si>
    <t>Queensha</t>
  </si>
  <si>
    <t>Cicilia Lamtiur</t>
  </si>
  <si>
    <t>Anggi Patty</t>
  </si>
  <si>
    <t>Gabriella Yuna Patty</t>
  </si>
  <si>
    <t>Titin Susilawati</t>
  </si>
  <si>
    <t>Slamet Ariyanto</t>
  </si>
  <si>
    <t>Siti Siami</t>
  </si>
  <si>
    <t>Basuni</t>
  </si>
  <si>
    <t>Ameera Calesia</t>
  </si>
  <si>
    <t>Trias Febri</t>
  </si>
  <si>
    <t>Riki Sabara</t>
  </si>
  <si>
    <t>Adeeva Nabila</t>
  </si>
  <si>
    <t>Lusi Fatmawati</t>
  </si>
  <si>
    <t>Indrawan</t>
  </si>
  <si>
    <t xml:space="preserve">Adelia </t>
  </si>
  <si>
    <t>Sindi April Hardiyanti</t>
  </si>
  <si>
    <t>Ariski Maulana</t>
  </si>
  <si>
    <t>Maximo Sean Dirgantara</t>
  </si>
  <si>
    <t>Siti Rohmah</t>
  </si>
  <si>
    <t>M.Elrizki P</t>
  </si>
  <si>
    <t>Diana Anggreawati</t>
  </si>
  <si>
    <t>Setiyono</t>
  </si>
  <si>
    <t>Nafiz Ar Rizwan</t>
  </si>
  <si>
    <t>Susilo Ekawati</t>
  </si>
  <si>
    <t>Edi Saputra</t>
  </si>
  <si>
    <t>M.Reka Saputra</t>
  </si>
  <si>
    <t>Tyas Suci</t>
  </si>
  <si>
    <t>Trimanto</t>
  </si>
  <si>
    <t>Haura Nadifa</t>
  </si>
  <si>
    <t>Eni Winarti</t>
  </si>
  <si>
    <t>Asdak Sudrajat</t>
  </si>
  <si>
    <t>Aninda Nur Khalista</t>
  </si>
  <si>
    <t>Sumarsih</t>
  </si>
  <si>
    <t>Nur Cahyono</t>
  </si>
  <si>
    <t>Kinanti Nur Aviva</t>
  </si>
  <si>
    <t>Deni Indah P</t>
  </si>
  <si>
    <t>Bayu Setiawan</t>
  </si>
  <si>
    <t>Nava Samudra</t>
  </si>
  <si>
    <t>Artanti</t>
  </si>
  <si>
    <t>Ahmad Sobari</t>
  </si>
  <si>
    <t>M.Sky Argantara</t>
  </si>
  <si>
    <t>Eka Zuhrina</t>
  </si>
  <si>
    <t>David Cahya P</t>
  </si>
  <si>
    <t>Dafina Lunara P</t>
  </si>
  <si>
    <t>Khusnul Khotimah</t>
  </si>
  <si>
    <t>Andi Kusnadi</t>
  </si>
  <si>
    <t>Ahmad Nur Hanif</t>
  </si>
  <si>
    <t>Sri Rahayu</t>
  </si>
  <si>
    <t>Saefufin</t>
  </si>
  <si>
    <t>Kiara Rindang</t>
  </si>
  <si>
    <t>Eli Agustin</t>
  </si>
  <si>
    <t>Widi Nugroho</t>
  </si>
  <si>
    <t>Elzehan M.F Nugroho</t>
  </si>
  <si>
    <t>Ayu ambarwati</t>
  </si>
  <si>
    <t>Hadi Yusuf</t>
  </si>
  <si>
    <t>Zain Hadi</t>
  </si>
  <si>
    <t>Linda Hasniyati</t>
  </si>
  <si>
    <t>Afriyanto</t>
  </si>
  <si>
    <t>Yosi Astiti</t>
  </si>
  <si>
    <t>Dwi Okta</t>
  </si>
  <si>
    <t>CHANDRA HERMNSYAH</t>
  </si>
  <si>
    <t>Askara Banyu</t>
  </si>
  <si>
    <t>Titik Sumindari</t>
  </si>
  <si>
    <t>Senja Aulia</t>
  </si>
  <si>
    <t xml:space="preserve">Nur Setioso </t>
  </si>
  <si>
    <t>Elina F.Lekha</t>
  </si>
  <si>
    <t>DWI MARYATI</t>
  </si>
  <si>
    <t>YOHAN</t>
  </si>
  <si>
    <t>ALVARO SYAID HANIFA</t>
  </si>
  <si>
    <t>LISNA</t>
  </si>
  <si>
    <t>HENDRA</t>
  </si>
  <si>
    <t>ZEA</t>
  </si>
  <si>
    <t>ISMAWATI</t>
  </si>
  <si>
    <t>Suhendra</t>
  </si>
  <si>
    <t>NAOKI</t>
  </si>
  <si>
    <t>Nur Evia</t>
  </si>
  <si>
    <t>ADAM RAYYAN</t>
  </si>
  <si>
    <t>DWI SETIANI</t>
  </si>
  <si>
    <t>SABANA GEMILANG</t>
  </si>
  <si>
    <t>MUHAMMAD DZAKWAN</t>
  </si>
  <si>
    <t>Mudaiyah</t>
  </si>
  <si>
    <t>parno</t>
  </si>
  <si>
    <t>M IDRIS A</t>
  </si>
  <si>
    <t>AURELIA ANINDYA PUTRI</t>
  </si>
  <si>
    <t>ABDULLAH DHABIT ILYAS</t>
  </si>
  <si>
    <t>ANGGI FATMALA</t>
  </si>
  <si>
    <t>IKTRI USMAN</t>
  </si>
  <si>
    <t>NAUFAN XABIRU AQMAR</t>
  </si>
  <si>
    <t>SITI RAHAYU</t>
  </si>
  <si>
    <t>ARIS WIDODO</t>
  </si>
  <si>
    <t>RISMA SINTA E</t>
  </si>
  <si>
    <t>ANI ROSIDA</t>
  </si>
  <si>
    <t>SUKADI</t>
  </si>
  <si>
    <t>AIRA SANUM HUMAIRA</t>
  </si>
  <si>
    <t>YUNI ANDRI S</t>
  </si>
  <si>
    <t>SUBIYANTO</t>
  </si>
  <si>
    <t>GENDIS ATALA PUTRI</t>
  </si>
  <si>
    <t>PUTRI ADELA</t>
  </si>
  <si>
    <t>SESAR BUDI K</t>
  </si>
  <si>
    <t>tisah</t>
  </si>
  <si>
    <t>febriyanto</t>
  </si>
  <si>
    <t>MUHAMAD ABI PRATAMA</t>
  </si>
  <si>
    <t>DEBI VERA RENIKA</t>
  </si>
  <si>
    <t>Trio apriyadi</t>
  </si>
  <si>
    <t>SITI HINDUN</t>
  </si>
  <si>
    <t>MIFTAKHUL ULUM</t>
  </si>
  <si>
    <t>AL MALIK RIZKY RAMADHAN</t>
  </si>
  <si>
    <t>WINDI TRI WAHYUNI</t>
  </si>
  <si>
    <t>FARHANIANSAH</t>
  </si>
  <si>
    <t>ELVANO RIANSYAH</t>
  </si>
  <si>
    <t>Miftahul Munawaroh</t>
  </si>
  <si>
    <t>Eva Putri</t>
  </si>
  <si>
    <t>Klevin Arif</t>
  </si>
  <si>
    <t>MUHAMMAD DHANI ALFARIZI</t>
  </si>
  <si>
    <t>FEBY NUR AINI</t>
  </si>
  <si>
    <t>JATMIKO</t>
  </si>
  <si>
    <t>MARKUS</t>
  </si>
  <si>
    <t>MATIAS</t>
  </si>
  <si>
    <t>Made Darsini</t>
  </si>
  <si>
    <t>WAYAN DEDI</t>
  </si>
  <si>
    <t>KADEK KEYSA</t>
  </si>
  <si>
    <t>Surtini</t>
  </si>
  <si>
    <t>DEVAN ARKANA</t>
  </si>
  <si>
    <t>Putu Dewirosita</t>
  </si>
  <si>
    <t>ELVANO ALFAREL</t>
  </si>
  <si>
    <t>MUSLIKHAH</t>
  </si>
  <si>
    <t>ZENO RAMADHAN</t>
  </si>
  <si>
    <t>AGUS NUGROHO</t>
  </si>
  <si>
    <t>MUHAMMAD ALBIZAR NUGROHO</t>
  </si>
  <si>
    <t>AFFANDI</t>
  </si>
  <si>
    <t>BAROKATUS SYARIAH</t>
  </si>
  <si>
    <t>MISDIYANTO</t>
  </si>
  <si>
    <t>RAIDAN EL FARZAN</t>
  </si>
  <si>
    <t>KETUT MUDANA</t>
  </si>
  <si>
    <t>PUTU DELICIA INARA</t>
  </si>
  <si>
    <t>MADE IRAWAN</t>
  </si>
  <si>
    <t>PUTU DEVANO</t>
  </si>
  <si>
    <t>MIFTAHUL M</t>
  </si>
  <si>
    <t>YAHEZKIEL</t>
  </si>
  <si>
    <t>yeni</t>
  </si>
  <si>
    <t>alfarizki</t>
  </si>
  <si>
    <t>Anggi</t>
  </si>
  <si>
    <t xml:space="preserve">Arfan </t>
  </si>
  <si>
    <t>ELZEHAN</t>
  </si>
  <si>
    <t>ALEENA</t>
  </si>
  <si>
    <t>Lusi</t>
  </si>
  <si>
    <t xml:space="preserve">adelia 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</si>
  <si>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</si>
  <si>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</si>
  <si>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</si>
  <si>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</si>
  <si>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</si>
  <si>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</si>
  <si>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</si>
  <si>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</si>
  <si>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</si>
  <si>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NIHIL</t>
  </si>
  <si>
    <t>DATA SASARAN DEWASA/LANSIA</t>
  </si>
  <si>
    <t>JUMLAH KUNJUNGAN DAN JUMLAH SASARAN DEWASA/LANSIA</t>
  </si>
  <si>
    <t>DATA SASARAN BAYI/ BALITA/APRAS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</si>
  <si>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</si>
  <si>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</si>
  <si>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</si>
  <si>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</si>
  <si>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</si>
  <si>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</si>
  <si>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</si>
  <si>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</si>
  <si>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</si>
  <si>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</si>
  <si>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</si>
  <si>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</si>
  <si>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</si>
  <si>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</si>
  <si>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</si>
  <si>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</si>
  <si>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</si>
  <si>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</si>
  <si>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</si>
  <si>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</si>
  <si>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</si>
  <si>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</si>
  <si>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</si>
  <si>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</si>
  <si>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</si>
  <si>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</si>
  <si>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</si>
  <si>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</si>
  <si>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</si>
  <si>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</si>
  <si>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</si>
  <si>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</si>
  <si>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</si>
  <si>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</si>
  <si>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</si>
  <si>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</si>
  <si>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</si>
  <si>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</si>
  <si>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</si>
  <si>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</si>
  <si>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</si>
  <si>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</si>
  <si>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</si>
  <si>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</si>
  <si>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</si>
  <si>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</si>
  <si>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</si>
  <si>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Jumlah Ibu Hamil</t>
  </si>
  <si>
    <t>Ibu Hamil Konsumsi TTD</t>
  </si>
  <si>
    <t>Ibu Hamil Konsumsi PMT</t>
  </si>
  <si>
    <t>Mengikuti KB Pasca Persalinan</t>
  </si>
  <si>
    <t>Mendapatkan Edukasi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</si>
  <si>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</si>
  <si>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</si>
  <si>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</si>
  <si>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</si>
  <si>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</si>
  <si>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</si>
  <si>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</si>
  <si>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</si>
  <si>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</si>
  <si>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>Jumlah Sasaran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</si>
  <si>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</si>
  <si>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</si>
  <si>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</si>
  <si>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</si>
  <si>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</si>
  <si>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</si>
  <si>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Datang</t>
  </si>
  <si>
    <t>Tidak Datang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</si>
  <si>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</si>
  <si>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</si>
  <si>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</si>
  <si>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</si>
  <si>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</si>
  <si>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Lingkar Lengan Atas</t>
  </si>
  <si>
    <t>Gejala TBC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</si>
  <si>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</si>
  <si>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</si>
  <si>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</si>
  <si>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</si>
  <si>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</si>
  <si>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</si>
  <si>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</si>
  <si>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</si>
  <si>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</si>
  <si>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</si>
  <si>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</si>
  <si>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</si>
  <si>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</si>
  <si>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</si>
  <si>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</si>
  <si>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</si>
  <si>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</si>
  <si>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</si>
  <si>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</si>
  <si>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</si>
  <si>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</si>
  <si>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BKH</t>
  </si>
  <si>
    <t>--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</si>
  <si>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</si>
  <si>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</si>
  <si>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</si>
  <si>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</si>
  <si>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</si>
  <si>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</si>
  <si>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</si>
  <si>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</si>
  <si>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</si>
  <si>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</si>
  <si>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</si>
  <si>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</si>
  <si>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</si>
  <si>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</si>
  <si>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</si>
  <si>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</si>
  <si>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</si>
  <si>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</si>
  <si>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</si>
  <si>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Tekanan Darah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</si>
  <si>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</si>
  <si>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</si>
  <si>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</si>
  <si>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</si>
  <si>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</si>
  <si>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</si>
  <si>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</si>
  <si>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</si>
  <si>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</si>
  <si>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</si>
  <si>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</si>
  <si>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</si>
  <si>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</si>
  <si>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</si>
  <si>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</si>
  <si>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</si>
  <si>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</si>
  <si>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</si>
  <si>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</si>
  <si>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</si>
  <si>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</si>
  <si>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</si>
  <si>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</si>
  <si>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</si>
  <si>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</si>
  <si>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</si>
  <si>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</si>
  <si>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</si>
  <si>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</si>
  <si>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</si>
  <si>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</si>
  <si>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</si>
  <si>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</si>
  <si>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</si>
  <si>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</si>
  <si>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</si>
  <si>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</si>
  <si>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</si>
  <si>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</si>
  <si>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</si>
  <si>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</si>
  <si>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</si>
  <si>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</si>
  <si>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</si>
  <si>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</si>
  <si>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</si>
  <si>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</si>
  <si>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</si>
  <si>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</si>
  <si>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</si>
  <si>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 xml:space="preserve">Ex : Jalan umum, sumur bor makam dll 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</si>
  <si>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</si>
  <si>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</si>
  <si>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</si>
  <si>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</si>
  <si>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</si>
  <si>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</si>
  <si>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</si>
  <si>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RT.02 /RW.01</t>
  </si>
  <si>
    <t>BIDANG TRANTIBUM LINMAS</t>
  </si>
  <si>
    <t>1807076104830007</t>
  </si>
  <si>
    <t>YUS GUSTINI</t>
  </si>
  <si>
    <t>Dusun 1 Rt.006</t>
  </si>
  <si>
    <t>Kehilangan 1 unit sepeda motor Honda Beat</t>
  </si>
  <si>
    <t>Lapor ke Polisi</t>
  </si>
  <si>
    <t>1807071508610005</t>
  </si>
  <si>
    <t>SUKIMAN</t>
  </si>
  <si>
    <t>Dusun 4 Rt.010</t>
  </si>
  <si>
    <t>Kehilangan 1 unit motor Beat street</t>
  </si>
  <si>
    <t>18070700202790011</t>
  </si>
  <si>
    <t>SLAMET HARYADI</t>
  </si>
  <si>
    <t>Dusun 1 RT.002</t>
  </si>
  <si>
    <t xml:space="preserve">Kehilangan Kartu Keluarga dan Sertifikat </t>
  </si>
  <si>
    <t>Ex; Jadwal Ronda, Yang sudah membayar PBB ditulis by name</t>
  </si>
  <si>
    <t>BIDANG SOSIAL</t>
  </si>
  <si>
    <t>DESA:</t>
  </si>
  <si>
    <t>1807074205620002</t>
  </si>
  <si>
    <t>BUDIKEM</t>
  </si>
  <si>
    <t>RT.015/RW.005</t>
  </si>
  <si>
    <t>PENGAJUAN PENGAKTIFAN  KIS</t>
  </si>
  <si>
    <t>SUDAH DIAJUKAN DAN DISETUJUI</t>
  </si>
  <si>
    <t>1807076404850004</t>
  </si>
  <si>
    <t>SUTINAH</t>
  </si>
  <si>
    <t>RT.008/RW.003</t>
  </si>
  <si>
    <t>PENGAJUAN PENGAKTIFAN KIS</t>
  </si>
  <si>
    <t>1807074209990006</t>
  </si>
  <si>
    <t>MAR'ATUS SHALIHAH</t>
  </si>
  <si>
    <t xml:space="preserve"> RT.002/RW.001</t>
  </si>
  <si>
    <t>1807075010810004</t>
  </si>
  <si>
    <t>SUPRIYATI</t>
  </si>
  <si>
    <t>31 Juli 2025</t>
  </si>
  <si>
    <t>1807070307590003</t>
  </si>
  <si>
    <t>DAEM</t>
  </si>
  <si>
    <t>RT.003/ RW.001</t>
  </si>
  <si>
    <t>31-Jul-2025</t>
  </si>
  <si>
    <t>1807074805750007</t>
  </si>
  <si>
    <t>SITI KHANIFAH</t>
  </si>
  <si>
    <t>RT.001/RW.001</t>
  </si>
  <si>
    <t>PENGAJUAN PEMBUATAN KIS</t>
  </si>
  <si>
    <t>1807076204000004</t>
  </si>
  <si>
    <t>KHOIRUN NISAK INDAH K</t>
  </si>
  <si>
    <t>1807071295650010</t>
  </si>
  <si>
    <t>KAMSIDI</t>
  </si>
  <si>
    <t>1800705204740004</t>
  </si>
  <si>
    <t>KHOYATIN</t>
  </si>
  <si>
    <t>SUDAH DI AJUKAN DAN DISETUJUI</t>
  </si>
  <si>
    <t>1807075503700005</t>
  </si>
  <si>
    <t>JUMINAH</t>
  </si>
  <si>
    <t>RT.007/RW.003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</si>
</sst>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 mmmm-yyyy"/>
    <numFmt numFmtId="165" formatCode="d mmmm yyyy"/>
    <numFmt numFmtId="166" formatCode="mm-dd-yyyy"/>
    <numFmt numFmtId="167" formatCode="m-d-yyyy"/>
    <numFmt numFmtId="168" formatCode="mmmm yyyy"/>
    <numFmt numFmtId="169" formatCode="dd mmmm yyyy"/>
    <numFmt numFmtId="170" formatCode="d mmm yyyy"/>
  </numFmts>
  <fonts count="26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color rgb="FF1D1D1F"/>
      <name val="Inter"/>
    </font>
    <font>
      <sz val="9.0"/>
      <color rgb="FF1D1D1F"/>
      <name val="Inter"/>
    </font>
    <font>
      <sz val="11.0"/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  <font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theme="0"/>
        <bgColor theme="0"/>
      </patternFill>
    </fill>
    <fill>
      <patternFill patternType="solid">
        <fgColor rgb="FFDCFCE7"/>
        <bgColor rgb="FFDCFCE7"/>
      </patternFill>
    </fill>
    <fill>
      <patternFill patternType="solid">
        <fgColor rgb="FFF4CCCC"/>
        <bgColor rgb="FFF4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ill="1" applyFont="1">
      <alignment horizontal="left" readingOrder="0" shrinkToFit="0" vertical="bottom" wrapText="0"/>
    </xf>
    <xf borderId="6" fillId="3" fontId="8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 shrinkToFit="0" vertical="bottom" wrapText="0"/>
    </xf>
    <xf borderId="6" fillId="3" fontId="8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6" fillId="3" fontId="3" numFmtId="0" xfId="0" applyAlignment="1" applyBorder="1" applyFont="1">
      <alignment readingOrder="0" vertical="bottom"/>
    </xf>
    <xf borderId="5" fillId="0" fontId="3" numFmtId="165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center" readingOrder="0" vertical="bottom"/>
    </xf>
    <xf borderId="5" fillId="0" fontId="3" numFmtId="166" xfId="0" applyAlignment="1" applyBorder="1" applyFont="1" applyNumberFormat="1">
      <alignment horizontal="center" vertical="bottom"/>
    </xf>
    <xf borderId="5" fillId="0" fontId="3" numFmtId="167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7" fillId="0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5" fillId="0" fontId="13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13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14" numFmtId="0" xfId="0" applyAlignment="1" applyBorder="1" applyFont="1">
      <alignment readingOrder="0"/>
    </xf>
    <xf borderId="6" fillId="4" fontId="2" numFmtId="0" xfId="0" applyAlignment="1" applyBorder="1" applyFill="1" applyFont="1">
      <alignment vertical="bottom"/>
    </xf>
    <xf borderId="6" fillId="0" fontId="14" numFmtId="0" xfId="0" applyBorder="1" applyFont="1"/>
    <xf borderId="6" fillId="5" fontId="14" numFmtId="0" xfId="0" applyAlignment="1" applyBorder="1" applyFill="1" applyFont="1">
      <alignment readingOrder="0"/>
    </xf>
    <xf borderId="6" fillId="3" fontId="2" numFmtId="0" xfId="0" applyAlignment="1" applyBorder="1" applyFont="1">
      <alignment readingOrder="0" vertical="bottom"/>
    </xf>
    <xf borderId="6" fillId="3" fontId="2" numFmtId="0" xfId="0" applyAlignment="1" applyBorder="1" applyFont="1">
      <alignment vertical="bottom"/>
    </xf>
    <xf borderId="6" fillId="3" fontId="15" numFmtId="0" xfId="0" applyAlignment="1" applyBorder="1" applyFont="1">
      <alignment readingOrder="0"/>
    </xf>
    <xf borderId="6" fillId="0" fontId="6" numFmtId="0" xfId="0" applyAlignment="1" applyBorder="1" applyFont="1">
      <alignment horizontal="center" readingOrder="0" shrinkToFit="0" vertical="bottom" wrapText="0"/>
    </xf>
    <xf borderId="6" fillId="6" fontId="2" numFmtId="0" xfId="0" applyAlignment="1" applyBorder="1" applyFill="1" applyFont="1">
      <alignment readingOrder="0" vertical="bottom"/>
    </xf>
    <xf borderId="6" fillId="6" fontId="15" numFmtId="0" xfId="0" applyAlignment="1" applyBorder="1" applyFont="1">
      <alignment readingOrder="0"/>
    </xf>
    <xf borderId="6" fillId="6" fontId="14" numFmtId="0" xfId="0" applyBorder="1" applyFont="1"/>
    <xf borderId="6" fillId="6" fontId="2" numFmtId="0" xfId="0" applyAlignment="1" applyBorder="1" applyFont="1">
      <alignment vertical="bottom"/>
    </xf>
    <xf borderId="6" fillId="6" fontId="14" numFmtId="0" xfId="0" applyAlignment="1" applyBorder="1" applyFont="1">
      <alignment readingOrder="0"/>
    </xf>
    <xf borderId="6" fillId="6" fontId="6" numFmtId="0" xfId="0" applyAlignment="1" applyBorder="1" applyFont="1">
      <alignment horizontal="center" readingOrder="0" shrinkToFit="0" vertical="bottom" wrapText="0"/>
    </xf>
    <xf borderId="5" fillId="6" fontId="6" numFmtId="0" xfId="0" applyAlignment="1" applyBorder="1" applyFont="1">
      <alignment horizontal="center" readingOrder="0" shrinkToFit="0" vertical="bottom" wrapText="0"/>
    </xf>
    <xf borderId="6" fillId="6" fontId="16" numFmtId="0" xfId="0" applyAlignment="1" applyBorder="1" applyFont="1">
      <alignment readingOrder="0"/>
    </xf>
    <xf borderId="0" fillId="6" fontId="15" numFmtId="0" xfId="0" applyAlignment="1" applyFont="1">
      <alignment readingOrder="0"/>
    </xf>
    <xf borderId="6" fillId="7" fontId="2" numFmtId="0" xfId="0" applyAlignment="1" applyBorder="1" applyFill="1" applyFont="1">
      <alignment vertical="bottom"/>
    </xf>
    <xf borderId="6" fillId="7" fontId="17" numFmtId="0" xfId="0" applyAlignment="1" applyBorder="1" applyFont="1">
      <alignment readingOrder="0"/>
    </xf>
    <xf borderId="6" fillId="7" fontId="14" numFmtId="0" xfId="0" applyAlignment="1" applyBorder="1" applyFont="1">
      <alignment readingOrder="0"/>
    </xf>
    <xf borderId="0" fillId="7" fontId="15" numFmtId="0" xfId="0" applyAlignment="1" applyFont="1">
      <alignment readingOrder="0"/>
    </xf>
    <xf borderId="6" fillId="7" fontId="14" numFmtId="0" xfId="0" applyBorder="1" applyFont="1"/>
    <xf borderId="6" fillId="7" fontId="15" numFmtId="0" xfId="0" applyAlignment="1" applyBorder="1" applyFont="1">
      <alignment readingOrder="0"/>
    </xf>
    <xf borderId="5" fillId="7" fontId="6" numFmtId="0" xfId="0" applyAlignment="1" applyBorder="1" applyFont="1">
      <alignment horizontal="center" readingOrder="0" shrinkToFit="0" vertical="bottom" wrapText="0"/>
    </xf>
    <xf borderId="6" fillId="7" fontId="2" numFmtId="0" xfId="0" applyAlignment="1" applyBorder="1" applyFont="1">
      <alignment readingOrder="0" vertical="bottom"/>
    </xf>
    <xf borderId="6" fillId="7" fontId="6" numFmtId="0" xfId="0" applyAlignment="1" applyBorder="1" applyFont="1">
      <alignment horizontal="center" readingOrder="0" shrinkToFit="0" vertical="bottom" wrapText="0"/>
    </xf>
    <xf borderId="6" fillId="4" fontId="14" numFmtId="0" xfId="0" applyAlignment="1" applyBorder="1" applyFont="1">
      <alignment readingOrder="0"/>
    </xf>
    <xf borderId="6" fillId="4" fontId="14" numFmtId="0" xfId="0" applyBorder="1" applyFont="1"/>
    <xf borderId="6" fillId="5" fontId="2" numFmtId="0" xfId="0" applyAlignment="1" applyBorder="1" applyFont="1">
      <alignment vertical="bottom"/>
    </xf>
    <xf borderId="6" fillId="5" fontId="14" numFmtId="0" xfId="0" applyBorder="1" applyFont="1"/>
    <xf borderId="1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vertical="bottom"/>
    </xf>
    <xf borderId="6" fillId="0" fontId="1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shrinkToFit="0" vertical="bottom" wrapText="0"/>
    </xf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readingOrder="0" vertical="center"/>
    </xf>
    <xf borderId="6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7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3" fillId="0" fontId="21" numFmtId="0" xfId="0" applyAlignment="1" applyBorder="1" applyFont="1">
      <alignment horizontal="center" readingOrder="0" vertical="bottom"/>
    </xf>
    <xf borderId="6" fillId="0" fontId="18" numFmtId="168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readingOrder="0" vertical="bottom"/>
    </xf>
    <xf borderId="6" fillId="0" fontId="13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left" readingOrder="0" vertical="bottom"/>
    </xf>
    <xf borderId="6" fillId="0" fontId="10" numFmtId="0" xfId="0" applyAlignment="1" applyBorder="1" applyFont="1">
      <alignment readingOrder="0" vertical="bottom"/>
    </xf>
    <xf borderId="0" fillId="0" fontId="14" numFmtId="0" xfId="0" applyAlignment="1" applyFont="1">
      <alignment readingOrder="0"/>
    </xf>
    <xf borderId="6" fillId="0" fontId="18" numFmtId="0" xfId="0" applyAlignment="1" applyBorder="1" applyFont="1">
      <alignment horizontal="left" readingOrder="0" vertical="bottom"/>
    </xf>
    <xf borderId="6" fillId="0" fontId="8" numFmtId="168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18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3" numFmtId="0" xfId="0" applyAlignment="1" applyBorder="1" applyFont="1">
      <alignment horizontal="center" vertical="bottom"/>
    </xf>
    <xf borderId="6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vertical="bottom"/>
    </xf>
    <xf borderId="7" fillId="0" fontId="23" numFmtId="0" xfId="0" applyAlignment="1" applyBorder="1" applyFont="1">
      <alignment horizontal="center" vertical="bottom"/>
    </xf>
    <xf borderId="3" fillId="0" fontId="23" numFmtId="0" xfId="0" applyAlignment="1" applyBorder="1" applyFont="1">
      <alignment horizontal="center" vertical="bottom"/>
    </xf>
    <xf borderId="6" fillId="0" fontId="23" numFmtId="0" xfId="0" applyAlignment="1" applyBorder="1" applyFont="1">
      <alignment readingOrder="0" vertical="bottom"/>
    </xf>
    <xf borderId="4" fillId="0" fontId="22" numFmtId="0" xfId="0" applyAlignment="1" applyBorder="1" applyFont="1">
      <alignment readingOrder="0" vertical="bottom"/>
    </xf>
    <xf borderId="6" fillId="0" fontId="18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8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21" numFmtId="0" xfId="0" applyAlignment="1" applyBorder="1" applyFont="1">
      <alignment horizontal="center" vertical="bottom"/>
    </xf>
    <xf borderId="5" fillId="0" fontId="21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4" numFmtId="0" xfId="0" applyAlignment="1" applyFont="1">
      <alignment horizontal="center" vertical="bottom"/>
    </xf>
    <xf borderId="5" fillId="0" fontId="3" numFmtId="168" xfId="0" applyAlignment="1" applyBorder="1" applyFont="1" applyNumberFormat="1">
      <alignment horizontal="right" readingOrder="0" vertical="bottom"/>
    </xf>
    <xf borderId="5" fillId="0" fontId="3" numFmtId="169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10" numFmtId="0" xfId="0" applyAlignment="1" applyBorder="1" applyFont="1">
      <alignment horizontal="center" readingOrder="0" vertical="bottom"/>
    </xf>
    <xf borderId="6" fillId="0" fontId="3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 vertical="bottom"/>
    </xf>
    <xf borderId="6" fillId="0" fontId="3" numFmtId="165" xfId="0" applyAlignment="1" applyBorder="1" applyFont="1" applyNumberFormat="1">
      <alignment horizontal="center" readingOrder="0" vertical="bottom"/>
    </xf>
    <xf borderId="6" fillId="0" fontId="3" numFmtId="0" xfId="0" applyAlignment="1" applyBorder="1" applyFont="1">
      <alignment horizontal="right" readingOrder="0" vertical="bottom"/>
    </xf>
    <xf borderId="4" fillId="0" fontId="25" numFmtId="0" xfId="0" applyAlignment="1" applyBorder="1" applyFont="1">
      <alignment horizontal="center" readingOrder="0" vertical="bottom"/>
    </xf>
    <xf quotePrefix="1" borderId="6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left" readingOrder="0" vertical="bottom"/>
    </xf>
    <xf borderId="6" fillId="0" fontId="3" numFmtId="170" xfId="0" applyAlignment="1" applyBorder="1" applyFont="1" applyNumberFormat="1">
      <alignment horizontal="center" readingOrder="0" vertical="bottom"/>
    </xf>
    <xf quotePrefix="1"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left" readingOrder="0" vertical="bottom"/>
    </xf>
    <xf quotePrefix="1" borderId="6" fillId="3" fontId="3" numFmtId="0" xfId="0" applyAlignment="1" applyBorder="1" applyFont="1">
      <alignment readingOrder="0" vertical="bottom"/>
    </xf>
    <xf borderId="6" fillId="0" fontId="14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381.0</v>
      </c>
      <c r="E6" s="16">
        <v>444.0</v>
      </c>
      <c r="F6" s="15">
        <v>1402.0</v>
      </c>
      <c r="G6" s="15">
        <v>73.0</v>
      </c>
      <c r="H6" s="15">
        <v>128.0</v>
      </c>
      <c r="I6" s="15">
        <v>583.0</v>
      </c>
      <c r="J6" s="15">
        <v>164.0</v>
      </c>
      <c r="K6" s="15">
        <v>3.0</v>
      </c>
      <c r="L6" s="17" t="s">
        <v>25</v>
      </c>
      <c r="M6" s="15"/>
      <c r="N6" s="17" t="s">
        <v>25</v>
      </c>
      <c r="O6" s="18"/>
      <c r="P6" s="15">
        <v>9.0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14">
        <v>397.0</v>
      </c>
      <c r="E7" s="22">
        <v>451.0</v>
      </c>
      <c r="F7" s="14">
        <v>1350.0</v>
      </c>
      <c r="G7" s="14">
        <v>70.0</v>
      </c>
      <c r="H7" s="14">
        <v>129.0</v>
      </c>
      <c r="I7" s="14">
        <v>594.0</v>
      </c>
      <c r="J7" s="14">
        <v>186.0</v>
      </c>
      <c r="K7" s="14">
        <v>1.0</v>
      </c>
      <c r="L7" s="17" t="s">
        <v>25</v>
      </c>
      <c r="M7" s="15"/>
      <c r="N7" s="17" t="s">
        <v>25</v>
      </c>
      <c r="O7" s="23"/>
      <c r="P7" s="15">
        <v>9.0</v>
      </c>
      <c r="Q7" s="19" t="s">
        <v>26</v>
      </c>
      <c r="R7" s="15" t="s">
        <v>27</v>
      </c>
      <c r="S7" s="2"/>
    </row>
    <row r="8">
      <c r="A8" s="20">
        <v>3.0</v>
      </c>
      <c r="B8" s="24" t="s">
        <v>30</v>
      </c>
      <c r="C8" s="14" t="s">
        <v>31</v>
      </c>
      <c r="D8" s="15">
        <v>93.0</v>
      </c>
      <c r="E8" s="16">
        <v>109.0</v>
      </c>
      <c r="F8" s="15">
        <v>377.0</v>
      </c>
      <c r="G8" s="14">
        <v>37.0</v>
      </c>
      <c r="H8" s="14">
        <v>42.0</v>
      </c>
      <c r="I8" s="14">
        <v>173.0</v>
      </c>
      <c r="J8" s="14">
        <v>95.0</v>
      </c>
      <c r="K8" s="14" t="s">
        <v>32</v>
      </c>
      <c r="L8" s="17" t="s">
        <v>25</v>
      </c>
      <c r="M8" s="15"/>
      <c r="N8" s="17" t="s">
        <v>25</v>
      </c>
      <c r="O8" s="23"/>
      <c r="P8" s="15">
        <v>9.0</v>
      </c>
      <c r="Q8" s="19" t="s">
        <v>26</v>
      </c>
      <c r="R8" s="15" t="s">
        <v>27</v>
      </c>
      <c r="S8" s="2"/>
    </row>
    <row r="9">
      <c r="A9" s="20"/>
      <c r="B9" s="24"/>
      <c r="C9" s="14"/>
      <c r="D9" s="14"/>
      <c r="E9" s="25"/>
      <c r="F9" s="26"/>
      <c r="G9" s="26"/>
      <c r="H9" s="26"/>
      <c r="I9" s="26"/>
      <c r="J9" s="26"/>
      <c r="K9" s="26"/>
      <c r="L9" s="26"/>
      <c r="M9" s="15"/>
      <c r="N9" s="27"/>
      <c r="O9" s="26"/>
      <c r="P9" s="15"/>
      <c r="Q9" s="28"/>
      <c r="R9" s="15"/>
      <c r="S9" s="2"/>
    </row>
    <row r="10">
      <c r="A10" s="20"/>
      <c r="B10" s="24"/>
      <c r="C10" s="14"/>
      <c r="D10" s="14"/>
      <c r="E10" s="25"/>
      <c r="F10" s="26"/>
      <c r="G10" s="26"/>
      <c r="H10" s="26"/>
      <c r="I10" s="26"/>
      <c r="J10" s="26"/>
      <c r="K10" s="14"/>
      <c r="L10" s="26"/>
      <c r="M10" s="15"/>
      <c r="N10" s="27"/>
      <c r="O10" s="23"/>
      <c r="P10" s="15"/>
      <c r="Q10" s="28"/>
      <c r="R10" s="15"/>
      <c r="S10" s="2"/>
    </row>
    <row r="11">
      <c r="A11" s="12"/>
      <c r="B11" s="29"/>
      <c r="C11" s="26"/>
      <c r="D11" s="26"/>
      <c r="E11" s="25"/>
      <c r="F11" s="26"/>
      <c r="G11" s="26"/>
      <c r="H11" s="26"/>
      <c r="I11" s="26"/>
      <c r="J11" s="26"/>
      <c r="K11" s="26"/>
      <c r="L11" s="26"/>
      <c r="M11" s="23"/>
      <c r="N11" s="26"/>
      <c r="O11" s="23"/>
      <c r="P11" s="30"/>
      <c r="Q11" s="31"/>
      <c r="R11" s="26"/>
      <c r="S11" s="2"/>
    </row>
    <row r="12">
      <c r="A12" s="12"/>
      <c r="B12" s="29"/>
      <c r="C12" s="26"/>
      <c r="D12" s="26"/>
      <c r="E12" s="25"/>
      <c r="F12" s="23"/>
      <c r="G12" s="26"/>
      <c r="H12" s="26"/>
      <c r="I12" s="26"/>
      <c r="J12" s="26"/>
      <c r="K12" s="26"/>
      <c r="L12" s="23"/>
      <c r="M12" s="26"/>
      <c r="N12" s="26"/>
      <c r="O12" s="23"/>
      <c r="P12" s="30"/>
      <c r="Q12" s="31"/>
      <c r="R12" s="26"/>
      <c r="S12" s="2"/>
    </row>
    <row r="13">
      <c r="A13" s="12"/>
      <c r="B13" s="29"/>
      <c r="C13" s="26"/>
      <c r="D13" s="26"/>
      <c r="E13" s="25"/>
      <c r="F13" s="26"/>
      <c r="G13" s="26"/>
      <c r="H13" s="26"/>
      <c r="I13" s="26"/>
      <c r="J13" s="26"/>
      <c r="K13" s="26"/>
      <c r="L13" s="26"/>
      <c r="M13" s="23"/>
      <c r="N13" s="26"/>
      <c r="O13" s="23"/>
      <c r="P13" s="30"/>
      <c r="Q13" s="31"/>
      <c r="R13" s="26"/>
      <c r="S13" s="2"/>
    </row>
    <row r="14">
      <c r="A14" s="12"/>
      <c r="B14" s="29"/>
      <c r="C14" s="26"/>
      <c r="D14" s="26"/>
      <c r="E14" s="25"/>
      <c r="F14" s="26"/>
      <c r="G14" s="26"/>
      <c r="H14" s="26"/>
      <c r="I14" s="26"/>
      <c r="J14" s="26"/>
      <c r="K14" s="26"/>
      <c r="L14" s="23"/>
      <c r="M14" s="26"/>
      <c r="N14" s="26"/>
      <c r="O14" s="23"/>
      <c r="P14" s="30"/>
      <c r="Q14" s="31"/>
      <c r="R14" s="26"/>
      <c r="S14" s="2"/>
    </row>
    <row r="15" ht="19.5" customHeight="1">
      <c r="A15" s="12"/>
      <c r="B15" s="29"/>
      <c r="C15" s="26"/>
      <c r="D15" s="26"/>
      <c r="E15" s="25"/>
      <c r="F15" s="26"/>
      <c r="G15" s="26"/>
      <c r="H15" s="26"/>
      <c r="I15" s="26"/>
      <c r="J15" s="14"/>
      <c r="K15" s="26"/>
      <c r="L15" s="23"/>
      <c r="M15" s="26"/>
      <c r="N15" s="26"/>
      <c r="O15" s="23"/>
      <c r="P15" s="30"/>
      <c r="Q15" s="31"/>
      <c r="R15" s="26"/>
      <c r="S15" s="2"/>
    </row>
    <row r="16">
      <c r="A16" s="12"/>
      <c r="B16" s="29"/>
      <c r="C16" s="26"/>
      <c r="D16" s="26"/>
      <c r="E16" s="25"/>
      <c r="F16" s="26"/>
      <c r="G16" s="26"/>
      <c r="H16" s="26"/>
      <c r="I16" s="26"/>
      <c r="J16" s="14"/>
      <c r="K16" s="23"/>
      <c r="L16" s="23"/>
      <c r="M16" s="26"/>
      <c r="N16" s="23"/>
      <c r="O16" s="26"/>
      <c r="P16" s="30"/>
      <c r="Q16" s="31"/>
      <c r="R16" s="26"/>
      <c r="S16" s="2"/>
    </row>
    <row r="17">
      <c r="A17" s="12"/>
      <c r="B17" s="29"/>
      <c r="C17" s="26"/>
      <c r="D17" s="26"/>
      <c r="E17" s="25"/>
      <c r="F17" s="26"/>
      <c r="G17" s="26"/>
      <c r="H17" s="26"/>
      <c r="I17" s="26"/>
      <c r="J17" s="14"/>
      <c r="K17" s="23"/>
      <c r="L17" s="23"/>
      <c r="M17" s="26"/>
      <c r="N17" s="23"/>
      <c r="O17" s="26"/>
      <c r="P17" s="30"/>
      <c r="Q17" s="31"/>
      <c r="R17" s="26"/>
      <c r="S17" s="2"/>
    </row>
    <row r="18">
      <c r="A18" s="12"/>
      <c r="B18" s="29"/>
      <c r="C18" s="26"/>
      <c r="D18" s="26"/>
      <c r="E18" s="25"/>
      <c r="F18" s="26"/>
      <c r="G18" s="26"/>
      <c r="H18" s="26"/>
      <c r="I18" s="26"/>
      <c r="J18" s="26"/>
      <c r="K18" s="23"/>
      <c r="L18" s="23"/>
      <c r="M18" s="26"/>
      <c r="N18" s="23"/>
      <c r="O18" s="26"/>
      <c r="P18" s="30"/>
      <c r="Q18" s="31"/>
      <c r="R18" s="26"/>
      <c r="S18" s="2"/>
    </row>
    <row r="19">
      <c r="A19" s="12"/>
      <c r="B19" s="29"/>
      <c r="C19" s="26"/>
      <c r="D19" s="26"/>
      <c r="E19" s="25"/>
      <c r="F19" s="26"/>
      <c r="G19" s="26"/>
      <c r="H19" s="26"/>
      <c r="I19" s="26"/>
      <c r="J19" s="26"/>
      <c r="K19" s="23"/>
      <c r="L19" s="26"/>
      <c r="M19" s="23"/>
      <c r="N19" s="23"/>
      <c r="O19" s="26"/>
      <c r="P19" s="30"/>
      <c r="Q19" s="31"/>
      <c r="R19" s="26"/>
      <c r="S19" s="2"/>
    </row>
    <row r="20">
      <c r="A20" s="12"/>
      <c r="B20" s="29"/>
      <c r="C20" s="26"/>
      <c r="D20" s="26"/>
      <c r="E20" s="25"/>
      <c r="F20" s="26"/>
      <c r="G20" s="26"/>
      <c r="H20" s="26"/>
      <c r="I20" s="26"/>
      <c r="J20" s="26"/>
      <c r="K20" s="23"/>
      <c r="L20" s="23"/>
      <c r="M20" s="26"/>
      <c r="N20" s="23"/>
      <c r="O20" s="26"/>
      <c r="P20" s="30"/>
      <c r="Q20" s="31"/>
      <c r="R20" s="26"/>
      <c r="S20" s="2"/>
    </row>
    <row r="21">
      <c r="A21" s="12"/>
      <c r="B21" s="29"/>
      <c r="C21" s="26"/>
      <c r="D21" s="26"/>
      <c r="E21" s="25"/>
      <c r="F21" s="26"/>
      <c r="G21" s="26"/>
      <c r="H21" s="26"/>
      <c r="I21" s="26"/>
      <c r="J21" s="26"/>
      <c r="K21" s="23"/>
      <c r="L21" s="23"/>
      <c r="M21" s="26"/>
      <c r="N21" s="26"/>
      <c r="O21" s="23"/>
      <c r="P21" s="30"/>
      <c r="Q21" s="31"/>
      <c r="R21" s="26"/>
      <c r="S21" s="2"/>
    </row>
    <row r="22">
      <c r="A22" s="12"/>
      <c r="B22" s="29"/>
      <c r="C22" s="26"/>
      <c r="D22" s="26"/>
      <c r="E22" s="25"/>
      <c r="F22" s="26"/>
      <c r="G22" s="26"/>
      <c r="H22" s="26"/>
      <c r="I22" s="26"/>
      <c r="J22" s="26"/>
      <c r="K22" s="23"/>
      <c r="L22" s="26"/>
      <c r="M22" s="23"/>
      <c r="N22" s="26"/>
      <c r="O22" s="23"/>
      <c r="P22" s="30"/>
      <c r="Q22" s="31"/>
      <c r="R22" s="26"/>
      <c r="S22" s="2"/>
    </row>
    <row r="23">
      <c r="A23" s="12"/>
      <c r="B23" s="29"/>
      <c r="C23" s="26"/>
      <c r="D23" s="26"/>
      <c r="E23" s="25"/>
      <c r="F23" s="26"/>
      <c r="G23" s="26"/>
      <c r="H23" s="26"/>
      <c r="I23" s="26"/>
      <c r="J23" s="26"/>
      <c r="K23" s="23"/>
      <c r="L23" s="26"/>
      <c r="M23" s="23"/>
      <c r="N23" s="26"/>
      <c r="O23" s="23"/>
      <c r="P23" s="30"/>
      <c r="Q23" s="31"/>
      <c r="R23" s="26"/>
      <c r="S23" s="2"/>
    </row>
    <row r="24">
      <c r="A24" s="12"/>
      <c r="B24" s="29"/>
      <c r="C24" s="26"/>
      <c r="D24" s="26"/>
      <c r="E24" s="25"/>
      <c r="F24" s="26"/>
      <c r="G24" s="26"/>
      <c r="H24" s="26"/>
      <c r="I24" s="26"/>
      <c r="J24" s="26"/>
      <c r="K24" s="26"/>
      <c r="L24" s="26"/>
      <c r="M24" s="23"/>
      <c r="N24" s="23"/>
      <c r="O24" s="26"/>
      <c r="P24" s="30"/>
      <c r="Q24" s="31"/>
      <c r="R24" s="26"/>
      <c r="S24" s="2"/>
    </row>
    <row r="25">
      <c r="A25" s="12"/>
      <c r="B25" s="29"/>
      <c r="C25" s="26"/>
      <c r="D25" s="26"/>
      <c r="E25" s="25"/>
      <c r="F25" s="26"/>
      <c r="G25" s="26"/>
      <c r="H25" s="26"/>
      <c r="I25" s="26"/>
      <c r="J25" s="26"/>
      <c r="K25" s="26"/>
      <c r="L25" s="26"/>
      <c r="M25" s="23"/>
      <c r="N25" s="26"/>
      <c r="O25" s="23"/>
      <c r="P25" s="30"/>
      <c r="Q25" s="31"/>
      <c r="R25" s="26"/>
      <c r="S25" s="2"/>
    </row>
    <row r="26">
      <c r="A26" s="12"/>
      <c r="B26" s="29"/>
      <c r="C26" s="26"/>
      <c r="D26" s="26"/>
      <c r="E26" s="25"/>
      <c r="F26" s="26"/>
      <c r="G26" s="26"/>
      <c r="H26" s="26"/>
      <c r="I26" s="26"/>
      <c r="J26" s="26"/>
      <c r="K26" s="26"/>
      <c r="L26" s="26"/>
      <c r="M26" s="23"/>
      <c r="N26" s="26"/>
      <c r="O26" s="23"/>
      <c r="P26" s="30"/>
      <c r="Q26" s="31"/>
      <c r="R26" s="26"/>
      <c r="S26" s="2"/>
    </row>
    <row r="27">
      <c r="A27" s="12"/>
      <c r="B27" s="29"/>
      <c r="C27" s="26"/>
      <c r="D27" s="26"/>
      <c r="E27" s="25"/>
      <c r="F27" s="26"/>
      <c r="G27" s="26"/>
      <c r="H27" s="26"/>
      <c r="I27" s="26"/>
      <c r="J27" s="26"/>
      <c r="K27" s="26"/>
      <c r="L27" s="26"/>
      <c r="M27" s="23"/>
      <c r="N27" s="26"/>
      <c r="O27" s="23"/>
      <c r="P27" s="30"/>
      <c r="Q27" s="31"/>
      <c r="R27" s="26"/>
      <c r="S27" s="2"/>
    </row>
    <row r="28">
      <c r="A28" s="12"/>
      <c r="B28" s="29"/>
      <c r="C28" s="26"/>
      <c r="D28" s="26"/>
      <c r="E28" s="25"/>
      <c r="F28" s="26"/>
      <c r="G28" s="26"/>
      <c r="H28" s="26"/>
      <c r="I28" s="26"/>
      <c r="J28" s="26"/>
      <c r="K28" s="26"/>
      <c r="L28" s="26"/>
      <c r="M28" s="23"/>
      <c r="N28" s="26"/>
      <c r="O28" s="23"/>
      <c r="P28" s="30"/>
      <c r="Q28" s="31"/>
      <c r="R28" s="26"/>
      <c r="S28" s="2"/>
    </row>
    <row r="29">
      <c r="A29" s="12"/>
      <c r="B29" s="29"/>
      <c r="C29" s="26"/>
      <c r="D29" s="26"/>
      <c r="E29" s="25"/>
      <c r="F29" s="26"/>
      <c r="G29" s="26"/>
      <c r="H29" s="26"/>
      <c r="I29" s="26"/>
      <c r="J29" s="26"/>
      <c r="K29" s="23"/>
      <c r="L29" s="26"/>
      <c r="M29" s="23"/>
      <c r="N29" s="26"/>
      <c r="O29" s="23"/>
      <c r="P29" s="30"/>
      <c r="Q29" s="31"/>
      <c r="R29" s="26"/>
      <c r="S29" s="2"/>
    </row>
    <row r="30">
      <c r="A30" s="12"/>
      <c r="B30" s="29"/>
      <c r="C30" s="26"/>
      <c r="D30" s="26"/>
      <c r="E30" s="25"/>
      <c r="F30" s="26"/>
      <c r="G30" s="26"/>
      <c r="H30" s="26"/>
      <c r="I30" s="26"/>
      <c r="J30" s="26"/>
      <c r="K30" s="26"/>
      <c r="L30" s="26"/>
      <c r="M30" s="23"/>
      <c r="N30" s="26"/>
      <c r="O30" s="23"/>
      <c r="P30" s="30"/>
      <c r="Q30" s="31"/>
      <c r="R30" s="26"/>
      <c r="S30" s="2"/>
    </row>
    <row r="31">
      <c r="A31" s="32" t="s">
        <v>33</v>
      </c>
      <c r="B31" s="33"/>
      <c r="C31" s="8"/>
      <c r="D31" s="26">
        <f t="shared" ref="D31:H31" si="1">SUM(D6:D30)</f>
        <v>871</v>
      </c>
      <c r="E31" s="26">
        <f t="shared" si="1"/>
        <v>1004</v>
      </c>
      <c r="F31" s="26">
        <f t="shared" si="1"/>
        <v>3129</v>
      </c>
      <c r="G31" s="26">
        <f t="shared" si="1"/>
        <v>180</v>
      </c>
      <c r="H31" s="26">
        <f t="shared" si="1"/>
        <v>299</v>
      </c>
      <c r="I31" s="26">
        <f>I6++I7+I8</f>
        <v>1350</v>
      </c>
      <c r="J31" s="26">
        <f>J6+J7+J8</f>
        <v>445</v>
      </c>
      <c r="K31" s="26">
        <f>SUM(K6:K30)</f>
        <v>4</v>
      </c>
      <c r="L31" s="26"/>
      <c r="M31" s="26">
        <f t="shared" ref="M31:R31" si="2">SUM(M6:M30)</f>
        <v>0</v>
      </c>
      <c r="N31" s="26">
        <f t="shared" si="2"/>
        <v>0</v>
      </c>
      <c r="O31" s="26">
        <f t="shared" si="2"/>
        <v>0</v>
      </c>
      <c r="P31" s="26">
        <f t="shared" si="2"/>
        <v>27</v>
      </c>
      <c r="Q31" s="25">
        <f t="shared" si="2"/>
        <v>0</v>
      </c>
      <c r="R31" s="26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4.13"/>
    <col customWidth="1" min="4" max="4" width="17.25"/>
    <col customWidth="1" min="5" max="5" width="29.38"/>
    <col customWidth="1" min="6" max="6" width="13.5"/>
    <col customWidth="1" min="7" max="7" width="26.75"/>
    <col customWidth="1" min="8" max="8" width="31.63"/>
  </cols>
  <sheetData>
    <row r="1">
      <c r="A1" s="34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36</v>
      </c>
      <c r="B5" s="37" t="s">
        <v>37</v>
      </c>
      <c r="C5" s="37" t="s">
        <v>38</v>
      </c>
      <c r="D5" s="37" t="s">
        <v>39</v>
      </c>
      <c r="E5" s="37" t="s">
        <v>40</v>
      </c>
      <c r="F5" s="37" t="s">
        <v>41</v>
      </c>
      <c r="G5" s="37" t="s">
        <v>42</v>
      </c>
      <c r="H5" s="38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44</v>
      </c>
      <c r="I6" s="39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42">
        <v>45935.0</v>
      </c>
      <c r="C8" s="43" t="s">
        <v>23</v>
      </c>
      <c r="D8" s="44" t="s">
        <v>46</v>
      </c>
      <c r="E8" s="28" t="s">
        <v>47</v>
      </c>
      <c r="F8" s="43" t="s">
        <v>48</v>
      </c>
      <c r="G8" s="43" t="s">
        <v>49</v>
      </c>
      <c r="H8" s="43" t="s">
        <v>50</v>
      </c>
      <c r="I8" s="26" t="s">
        <v>32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20">
        <v>2.0</v>
      </c>
      <c r="B9" s="45">
        <v>45935.0</v>
      </c>
      <c r="C9" s="43" t="s">
        <v>23</v>
      </c>
      <c r="D9" s="43" t="s">
        <v>51</v>
      </c>
      <c r="E9" s="43" t="s">
        <v>52</v>
      </c>
      <c r="F9" s="43" t="s">
        <v>53</v>
      </c>
      <c r="G9" s="43" t="s">
        <v>49</v>
      </c>
      <c r="H9" s="43" t="s">
        <v>50</v>
      </c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/>
      <c r="B10" s="26"/>
      <c r="C10" s="46"/>
      <c r="D10" s="46"/>
      <c r="E10" s="46"/>
      <c r="F10" s="46"/>
      <c r="G10" s="46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0">
        <v>1.0</v>
      </c>
      <c r="B11" s="47">
        <v>46116.0</v>
      </c>
      <c r="C11" s="43" t="s">
        <v>23</v>
      </c>
      <c r="D11" s="43" t="s">
        <v>54</v>
      </c>
      <c r="E11" s="28" t="s">
        <v>55</v>
      </c>
      <c r="F11" s="43" t="s">
        <v>56</v>
      </c>
      <c r="G11" s="43" t="s">
        <v>49</v>
      </c>
      <c r="H11" s="43" t="s">
        <v>50</v>
      </c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0">
        <v>2.0</v>
      </c>
      <c r="B12" s="45">
        <v>46146.0</v>
      </c>
      <c r="C12" s="43" t="s">
        <v>23</v>
      </c>
      <c r="D12" s="43" t="s">
        <v>57</v>
      </c>
      <c r="E12" s="43" t="s">
        <v>58</v>
      </c>
      <c r="F12" s="43" t="s">
        <v>56</v>
      </c>
      <c r="G12" s="43" t="s">
        <v>49</v>
      </c>
      <c r="H12" s="43" t="s">
        <v>50</v>
      </c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0">
        <v>3.0</v>
      </c>
      <c r="B13" s="47">
        <v>46146.0</v>
      </c>
      <c r="C13" s="43" t="s">
        <v>30</v>
      </c>
      <c r="D13" s="43" t="s">
        <v>59</v>
      </c>
      <c r="E13" s="43" t="s">
        <v>60</v>
      </c>
      <c r="F13" s="43" t="s">
        <v>61</v>
      </c>
      <c r="G13" s="43" t="s">
        <v>49</v>
      </c>
      <c r="H13" s="43" t="s">
        <v>50</v>
      </c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8"/>
      <c r="C14" s="46"/>
      <c r="D14" s="46"/>
      <c r="E14" s="46"/>
      <c r="F14" s="46"/>
      <c r="G14" s="46"/>
      <c r="H14" s="26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8"/>
      <c r="C15" s="46"/>
      <c r="D15" s="46"/>
      <c r="E15" s="46"/>
      <c r="F15" s="46"/>
      <c r="G15" s="46"/>
      <c r="H15" s="26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8"/>
      <c r="C16" s="46"/>
      <c r="D16" s="23"/>
      <c r="E16" s="46"/>
      <c r="F16" s="46"/>
      <c r="G16" s="46"/>
      <c r="H16" s="26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8"/>
      <c r="C17" s="46"/>
      <c r="D17" s="46"/>
      <c r="E17" s="46"/>
      <c r="F17" s="46"/>
      <c r="G17" s="46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8"/>
      <c r="C18" s="46"/>
      <c r="D18" s="46"/>
      <c r="E18" s="46"/>
      <c r="F18" s="46"/>
      <c r="G18" s="46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8"/>
      <c r="C19" s="46"/>
      <c r="D19" s="46"/>
      <c r="E19" s="46"/>
      <c r="F19" s="46"/>
      <c r="G19" s="46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8"/>
      <c r="C20" s="46"/>
      <c r="D20" s="46"/>
      <c r="E20" s="46"/>
      <c r="F20" s="46"/>
      <c r="G20" s="46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8"/>
      <c r="C21" s="46"/>
      <c r="D21" s="46"/>
      <c r="E21" s="46"/>
      <c r="F21" s="46"/>
      <c r="G21" s="46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9"/>
      <c r="C22" s="46"/>
      <c r="D22" s="46"/>
      <c r="E22" s="46"/>
      <c r="F22" s="46"/>
      <c r="G22" s="46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8"/>
      <c r="C23" s="46"/>
      <c r="D23" s="46"/>
      <c r="E23" s="46"/>
      <c r="F23" s="46"/>
      <c r="G23" s="46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8"/>
      <c r="C24" s="46"/>
      <c r="D24" s="46"/>
      <c r="E24" s="46"/>
      <c r="F24" s="46"/>
      <c r="G24" s="46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8"/>
      <c r="C25" s="46"/>
      <c r="D25" s="46"/>
      <c r="E25" s="46"/>
      <c r="F25" s="46"/>
      <c r="G25" s="46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8"/>
      <c r="C26" s="46"/>
      <c r="D26" s="46"/>
      <c r="E26" s="46"/>
      <c r="F26" s="46"/>
      <c r="G26" s="46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8"/>
      <c r="C27" s="46"/>
      <c r="D27" s="50"/>
      <c r="E27" s="46"/>
      <c r="F27" s="46"/>
      <c r="G27" s="46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51"/>
      <c r="C28" s="46"/>
      <c r="D28" s="46"/>
      <c r="E28" s="46"/>
      <c r="F28" s="46"/>
      <c r="G28" s="46"/>
      <c r="H28" s="23"/>
      <c r="I28" s="4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51"/>
      <c r="C29" s="46"/>
      <c r="D29" s="46"/>
      <c r="E29" s="46"/>
      <c r="F29" s="46"/>
      <c r="G29" s="46"/>
      <c r="H29" s="23"/>
      <c r="I29" s="4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2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2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2.25"/>
    <col customWidth="1" min="3" max="3" width="18.0"/>
    <col customWidth="1" min="4" max="4" width="39.25"/>
    <col customWidth="1" min="5" max="5" width="6.5"/>
    <col customWidth="1" min="6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3" t="s">
        <v>62</v>
      </c>
      <c r="AL1" s="54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5" t="s">
        <v>3</v>
      </c>
      <c r="B4" s="55" t="s">
        <v>63</v>
      </c>
      <c r="C4" s="56" t="s">
        <v>64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7" t="s">
        <v>65</v>
      </c>
      <c r="AB4" s="33"/>
      <c r="AC4" s="33"/>
      <c r="AD4" s="33"/>
      <c r="AE4" s="33"/>
      <c r="AF4" s="8"/>
      <c r="AG4" s="57" t="s">
        <v>66</v>
      </c>
      <c r="AH4" s="33"/>
      <c r="AI4" s="33"/>
      <c r="AJ4" s="8"/>
      <c r="AK4" s="58" t="s">
        <v>67</v>
      </c>
      <c r="AL4" s="2"/>
    </row>
    <row r="5">
      <c r="A5" s="59"/>
      <c r="B5" s="59"/>
      <c r="C5" s="60" t="s">
        <v>68</v>
      </c>
      <c r="D5" s="33"/>
      <c r="E5" s="33"/>
      <c r="F5" s="33"/>
      <c r="G5" s="33"/>
      <c r="H5" s="33"/>
      <c r="I5" s="33"/>
      <c r="J5" s="8"/>
      <c r="K5" s="61" t="s">
        <v>69</v>
      </c>
      <c r="L5" s="62"/>
      <c r="M5" s="62"/>
      <c r="N5" s="63"/>
      <c r="O5" s="64" t="s">
        <v>70</v>
      </c>
      <c r="R5" s="65"/>
      <c r="S5" s="64" t="s">
        <v>71</v>
      </c>
      <c r="V5" s="65"/>
      <c r="W5" s="66" t="s">
        <v>72</v>
      </c>
      <c r="X5" s="57" t="s">
        <v>73</v>
      </c>
      <c r="Y5" s="33"/>
      <c r="Z5" s="8"/>
      <c r="AA5" s="55" t="s">
        <v>74</v>
      </c>
      <c r="AB5" s="63"/>
      <c r="AC5" s="55" t="s">
        <v>75</v>
      </c>
      <c r="AD5" s="63"/>
      <c r="AE5" s="55" t="s">
        <v>76</v>
      </c>
      <c r="AF5" s="63"/>
      <c r="AG5" s="55" t="s">
        <v>77</v>
      </c>
      <c r="AH5" s="63"/>
      <c r="AI5" s="55" t="s">
        <v>78</v>
      </c>
      <c r="AJ5" s="63"/>
      <c r="AK5" s="67"/>
      <c r="AL5" s="2"/>
    </row>
    <row r="6">
      <c r="A6" s="59"/>
      <c r="B6" s="59"/>
      <c r="C6" s="60" t="s">
        <v>79</v>
      </c>
      <c r="D6" s="33"/>
      <c r="E6" s="33"/>
      <c r="F6" s="8"/>
      <c r="G6" s="57" t="s">
        <v>80</v>
      </c>
      <c r="H6" s="33"/>
      <c r="I6" s="33"/>
      <c r="J6" s="8"/>
      <c r="K6" s="68"/>
      <c r="L6" s="69"/>
      <c r="M6" s="69"/>
      <c r="N6" s="70"/>
      <c r="O6" s="68"/>
      <c r="P6" s="69"/>
      <c r="Q6" s="69"/>
      <c r="R6" s="70"/>
      <c r="S6" s="68"/>
      <c r="T6" s="69"/>
      <c r="U6" s="69"/>
      <c r="V6" s="70"/>
      <c r="W6" s="67"/>
      <c r="X6" s="66" t="s">
        <v>81</v>
      </c>
      <c r="Y6" s="66" t="s">
        <v>82</v>
      </c>
      <c r="Z6" s="66" t="s">
        <v>83</v>
      </c>
      <c r="AA6" s="59"/>
      <c r="AB6" s="65"/>
      <c r="AC6" s="59"/>
      <c r="AD6" s="65"/>
      <c r="AE6" s="59"/>
      <c r="AF6" s="65"/>
      <c r="AG6" s="59"/>
      <c r="AH6" s="65"/>
      <c r="AI6" s="59"/>
      <c r="AJ6" s="65"/>
      <c r="AK6" s="67"/>
      <c r="AL6" s="2"/>
    </row>
    <row r="7">
      <c r="A7" s="59"/>
      <c r="B7" s="59"/>
      <c r="C7" s="60" t="s">
        <v>84</v>
      </c>
      <c r="D7" s="8"/>
      <c r="E7" s="57" t="s">
        <v>85</v>
      </c>
      <c r="F7" s="8"/>
      <c r="G7" s="57" t="s">
        <v>84</v>
      </c>
      <c r="H7" s="8"/>
      <c r="I7" s="57" t="s">
        <v>85</v>
      </c>
      <c r="J7" s="8"/>
      <c r="K7" s="71" t="s">
        <v>84</v>
      </c>
      <c r="L7" s="70"/>
      <c r="M7" s="71" t="s">
        <v>85</v>
      </c>
      <c r="N7" s="70"/>
      <c r="O7" s="71" t="s">
        <v>84</v>
      </c>
      <c r="P7" s="70"/>
      <c r="Q7" s="71" t="s">
        <v>85</v>
      </c>
      <c r="R7" s="70"/>
      <c r="S7" s="71" t="s">
        <v>84</v>
      </c>
      <c r="T7" s="70"/>
      <c r="U7" s="71" t="s">
        <v>85</v>
      </c>
      <c r="V7" s="70"/>
      <c r="W7" s="67"/>
      <c r="X7" s="67"/>
      <c r="Y7" s="67"/>
      <c r="Z7" s="67"/>
      <c r="AA7" s="68"/>
      <c r="AB7" s="70"/>
      <c r="AC7" s="68"/>
      <c r="AD7" s="70"/>
      <c r="AE7" s="68"/>
      <c r="AF7" s="70"/>
      <c r="AG7" s="68"/>
      <c r="AH7" s="70"/>
      <c r="AI7" s="68"/>
      <c r="AJ7" s="70"/>
      <c r="AK7" s="67"/>
      <c r="AL7" s="2"/>
    </row>
    <row r="8">
      <c r="A8" s="68"/>
      <c r="B8" s="68"/>
      <c r="C8" s="72" t="s">
        <v>86</v>
      </c>
      <c r="D8" s="73" t="s">
        <v>87</v>
      </c>
      <c r="E8" s="73" t="s">
        <v>86</v>
      </c>
      <c r="F8" s="73" t="s">
        <v>87</v>
      </c>
      <c r="G8" s="73" t="s">
        <v>86</v>
      </c>
      <c r="H8" s="73" t="s">
        <v>87</v>
      </c>
      <c r="I8" s="73" t="s">
        <v>86</v>
      </c>
      <c r="J8" s="73" t="s">
        <v>87</v>
      </c>
      <c r="K8" s="74" t="s">
        <v>86</v>
      </c>
      <c r="L8" s="74" t="s">
        <v>87</v>
      </c>
      <c r="M8" s="74" t="s">
        <v>86</v>
      </c>
      <c r="N8" s="74" t="s">
        <v>87</v>
      </c>
      <c r="O8" s="74" t="s">
        <v>86</v>
      </c>
      <c r="P8" s="74" t="s">
        <v>87</v>
      </c>
      <c r="Q8" s="74" t="s">
        <v>86</v>
      </c>
      <c r="R8" s="74" t="s">
        <v>87</v>
      </c>
      <c r="S8" s="74" t="s">
        <v>86</v>
      </c>
      <c r="T8" s="74" t="s">
        <v>87</v>
      </c>
      <c r="U8" s="74" t="s">
        <v>86</v>
      </c>
      <c r="V8" s="74" t="s">
        <v>87</v>
      </c>
      <c r="W8" s="10"/>
      <c r="X8" s="10"/>
      <c r="Y8" s="10"/>
      <c r="Z8" s="10"/>
      <c r="AA8" s="73" t="s">
        <v>86</v>
      </c>
      <c r="AB8" s="73" t="s">
        <v>87</v>
      </c>
      <c r="AC8" s="73" t="s">
        <v>86</v>
      </c>
      <c r="AD8" s="73" t="s">
        <v>87</v>
      </c>
      <c r="AE8" s="73" t="s">
        <v>86</v>
      </c>
      <c r="AF8" s="73" t="s">
        <v>87</v>
      </c>
      <c r="AG8" s="73" t="s">
        <v>86</v>
      </c>
      <c r="AH8" s="73" t="s">
        <v>87</v>
      </c>
      <c r="AI8" s="73" t="s">
        <v>86</v>
      </c>
      <c r="AJ8" s="73" t="s">
        <v>87</v>
      </c>
      <c r="AK8" s="10"/>
      <c r="AL8" s="2"/>
    </row>
    <row r="9">
      <c r="A9" s="75">
        <v>1.0</v>
      </c>
      <c r="B9" s="76">
        <v>2.0</v>
      </c>
      <c r="C9" s="76">
        <v>3.0</v>
      </c>
      <c r="D9" s="76">
        <v>4.0</v>
      </c>
      <c r="E9" s="76">
        <v>5.0</v>
      </c>
      <c r="F9" s="76">
        <v>6.0</v>
      </c>
      <c r="G9" s="76">
        <v>7.0</v>
      </c>
      <c r="H9" s="76">
        <v>8.0</v>
      </c>
      <c r="I9" s="76">
        <v>9.0</v>
      </c>
      <c r="J9" s="76">
        <v>10.0</v>
      </c>
      <c r="K9" s="77">
        <v>11.0</v>
      </c>
      <c r="L9" s="77">
        <v>12.0</v>
      </c>
      <c r="M9" s="77">
        <v>13.0</v>
      </c>
      <c r="N9" s="77">
        <v>14.0</v>
      </c>
      <c r="O9" s="77">
        <v>15.0</v>
      </c>
      <c r="P9" s="77">
        <v>16.0</v>
      </c>
      <c r="Q9" s="77">
        <v>17.0</v>
      </c>
      <c r="R9" s="77">
        <v>18.0</v>
      </c>
      <c r="S9" s="77">
        <v>19.0</v>
      </c>
      <c r="T9" s="77">
        <v>20.0</v>
      </c>
      <c r="U9" s="77">
        <v>21.0</v>
      </c>
      <c r="V9" s="77">
        <v>22.0</v>
      </c>
      <c r="W9" s="77">
        <v>23.0</v>
      </c>
      <c r="X9" s="77">
        <v>24.0</v>
      </c>
      <c r="Y9" s="77">
        <v>25.0</v>
      </c>
      <c r="Z9" s="77">
        <v>26.0</v>
      </c>
      <c r="AA9" s="77">
        <v>27.0</v>
      </c>
      <c r="AB9" s="77">
        <v>28.0</v>
      </c>
      <c r="AC9" s="77">
        <v>29.0</v>
      </c>
      <c r="AD9" s="77">
        <v>30.0</v>
      </c>
      <c r="AE9" s="77">
        <v>31.0</v>
      </c>
      <c r="AF9" s="77">
        <v>32.0</v>
      </c>
      <c r="AG9" s="77">
        <v>33.0</v>
      </c>
      <c r="AH9" s="77">
        <v>34.0</v>
      </c>
      <c r="AI9" s="77">
        <v>35.0</v>
      </c>
      <c r="AJ9" s="77">
        <v>36.0</v>
      </c>
      <c r="AK9" s="77">
        <v>37.0</v>
      </c>
      <c r="AL9" s="2"/>
    </row>
    <row r="10">
      <c r="A10" s="78">
        <v>1.0</v>
      </c>
      <c r="B10" s="79" t="s">
        <v>88</v>
      </c>
      <c r="C10" s="80">
        <v>3.0</v>
      </c>
      <c r="D10" s="80">
        <v>1.0</v>
      </c>
      <c r="E10" s="81">
        <v>7.0</v>
      </c>
      <c r="F10" s="81">
        <v>13.0</v>
      </c>
      <c r="G10" s="80">
        <v>58.0</v>
      </c>
      <c r="H10" s="80">
        <v>56.0</v>
      </c>
      <c r="I10" s="81"/>
      <c r="J10" s="81"/>
      <c r="K10" s="74">
        <v>0.0</v>
      </c>
      <c r="L10" s="74">
        <v>0.0</v>
      </c>
      <c r="M10" s="74">
        <v>0.0</v>
      </c>
      <c r="N10" s="74">
        <v>0.0</v>
      </c>
      <c r="O10" s="74" t="s">
        <v>32</v>
      </c>
      <c r="P10" s="77">
        <v>26.0</v>
      </c>
      <c r="Q10" s="74" t="s">
        <v>32</v>
      </c>
      <c r="R10" s="81">
        <v>27.0</v>
      </c>
      <c r="S10" s="74" t="s">
        <v>32</v>
      </c>
      <c r="T10" s="74">
        <v>7.0</v>
      </c>
      <c r="U10" s="74" t="s">
        <v>32</v>
      </c>
      <c r="V10" s="74">
        <v>7.0</v>
      </c>
      <c r="W10" s="81">
        <v>64.0</v>
      </c>
      <c r="X10" s="81">
        <v>525.0</v>
      </c>
      <c r="Y10" s="81">
        <v>2.0</v>
      </c>
      <c r="Z10" s="81">
        <v>27.0</v>
      </c>
      <c r="AA10" s="80" t="s">
        <v>32</v>
      </c>
      <c r="AB10" s="81">
        <v>9.0</v>
      </c>
      <c r="AC10" s="80"/>
      <c r="AD10" s="80">
        <v>1.0</v>
      </c>
      <c r="AE10" s="80"/>
      <c r="AF10" s="81">
        <v>3.0</v>
      </c>
      <c r="AG10" s="81"/>
      <c r="AH10" s="80"/>
      <c r="AI10" s="80"/>
      <c r="AJ10" s="80"/>
      <c r="AK10" s="23"/>
      <c r="AL10" s="2"/>
    </row>
    <row r="11">
      <c r="A11" s="78">
        <v>2.0</v>
      </c>
      <c r="B11" s="79" t="s">
        <v>89</v>
      </c>
      <c r="C11" s="80">
        <f>1+1</f>
        <v>2</v>
      </c>
      <c r="D11" s="80">
        <f>1+0+0</f>
        <v>1</v>
      </c>
      <c r="E11" s="81">
        <v>5.0</v>
      </c>
      <c r="F11" s="81">
        <v>5.0</v>
      </c>
      <c r="G11" s="80">
        <v>67.0</v>
      </c>
      <c r="H11" s="80">
        <v>58.0</v>
      </c>
      <c r="I11" s="81"/>
      <c r="J11" s="81"/>
      <c r="K11" s="74">
        <v>0.0</v>
      </c>
      <c r="L11" s="74">
        <v>0.0</v>
      </c>
      <c r="M11" s="74">
        <v>0.0</v>
      </c>
      <c r="N11" s="74">
        <v>0.0</v>
      </c>
      <c r="O11" s="74" t="s">
        <v>32</v>
      </c>
      <c r="P11" s="81">
        <v>27.0</v>
      </c>
      <c r="Q11" s="74" t="s">
        <v>32</v>
      </c>
      <c r="R11" s="81">
        <v>36.0</v>
      </c>
      <c r="S11" s="74" t="s">
        <v>32</v>
      </c>
      <c r="T11" s="74">
        <v>6.0</v>
      </c>
      <c r="U11" s="74" t="s">
        <v>32</v>
      </c>
      <c r="V11" s="74">
        <v>7.0</v>
      </c>
      <c r="W11" s="81">
        <v>64.0</v>
      </c>
      <c r="X11" s="27">
        <v>525.0</v>
      </c>
      <c r="Y11" s="81">
        <v>3.0</v>
      </c>
      <c r="Z11" s="81">
        <v>36.0</v>
      </c>
      <c r="AA11" s="80" t="s">
        <v>32</v>
      </c>
      <c r="AB11" s="81">
        <v>9.0</v>
      </c>
      <c r="AC11" s="80"/>
      <c r="AD11" s="80">
        <v>1.0</v>
      </c>
      <c r="AE11" s="80"/>
      <c r="AF11" s="81">
        <v>3.0</v>
      </c>
      <c r="AG11" s="81"/>
      <c r="AH11" s="80"/>
      <c r="AI11" s="80"/>
      <c r="AJ11" s="80"/>
      <c r="AK11" s="23"/>
      <c r="AL11" s="2"/>
    </row>
    <row r="12">
      <c r="A12" s="78">
        <v>3.0</v>
      </c>
      <c r="B12" s="79" t="s">
        <v>90</v>
      </c>
      <c r="C12" s="80">
        <v>1.0</v>
      </c>
      <c r="D12" s="80">
        <v>1.0</v>
      </c>
      <c r="E12" s="81">
        <v>4.0</v>
      </c>
      <c r="F12" s="81">
        <v>6.0</v>
      </c>
      <c r="G12" s="80">
        <v>74.0</v>
      </c>
      <c r="H12" s="80">
        <v>63.0</v>
      </c>
      <c r="I12" s="81"/>
      <c r="J12" s="81"/>
      <c r="K12" s="74">
        <v>0.0</v>
      </c>
      <c r="L12" s="74">
        <v>0.0</v>
      </c>
      <c r="M12" s="74">
        <v>0.0</v>
      </c>
      <c r="N12" s="74">
        <v>0.0</v>
      </c>
      <c r="O12" s="74" t="s">
        <v>32</v>
      </c>
      <c r="P12" s="81">
        <v>36.0</v>
      </c>
      <c r="Q12" s="74" t="s">
        <v>32</v>
      </c>
      <c r="R12" s="81">
        <v>25.0</v>
      </c>
      <c r="S12" s="74" t="s">
        <v>32</v>
      </c>
      <c r="T12" s="74">
        <v>4.0</v>
      </c>
      <c r="U12" s="74" t="s">
        <v>32</v>
      </c>
      <c r="V12" s="74">
        <v>6.0</v>
      </c>
      <c r="W12" s="81">
        <v>56.0</v>
      </c>
      <c r="X12" s="81">
        <v>525.0</v>
      </c>
      <c r="Y12" s="81">
        <v>4.0</v>
      </c>
      <c r="Z12" s="81">
        <v>25.0</v>
      </c>
      <c r="AA12" s="80" t="s">
        <v>32</v>
      </c>
      <c r="AB12" s="81">
        <v>9.0</v>
      </c>
      <c r="AC12" s="80"/>
      <c r="AD12" s="80">
        <v>1.0</v>
      </c>
      <c r="AE12" s="80"/>
      <c r="AF12" s="81">
        <v>3.0</v>
      </c>
      <c r="AG12" s="80"/>
      <c r="AH12" s="80"/>
      <c r="AI12" s="80"/>
      <c r="AJ12" s="80"/>
      <c r="AK12" s="73"/>
      <c r="AL12" s="2"/>
    </row>
    <row r="13">
      <c r="A13" s="78">
        <v>4.0</v>
      </c>
      <c r="B13" s="79" t="s">
        <v>91</v>
      </c>
      <c r="C13" s="80">
        <f>2+1+2</f>
        <v>5</v>
      </c>
      <c r="D13" s="80">
        <v>2.0</v>
      </c>
      <c r="E13" s="81">
        <v>5.0</v>
      </c>
      <c r="F13" s="81">
        <v>5.0</v>
      </c>
      <c r="G13" s="80">
        <v>58.0</v>
      </c>
      <c r="H13" s="80">
        <v>52.0</v>
      </c>
      <c r="I13" s="81"/>
      <c r="J13" s="81"/>
      <c r="K13" s="74">
        <v>0.0</v>
      </c>
      <c r="L13" s="74">
        <v>0.0</v>
      </c>
      <c r="M13" s="74">
        <v>0.0</v>
      </c>
      <c r="N13" s="74">
        <v>0.0</v>
      </c>
      <c r="O13" s="74" t="s">
        <v>32</v>
      </c>
      <c r="P13" s="81">
        <v>25.0</v>
      </c>
      <c r="Q13" s="74" t="s">
        <v>32</v>
      </c>
      <c r="R13" s="81">
        <v>31.0</v>
      </c>
      <c r="S13" s="74" t="s">
        <v>32</v>
      </c>
      <c r="T13" s="74">
        <v>7.0</v>
      </c>
      <c r="U13" s="74" t="s">
        <v>32</v>
      </c>
      <c r="V13" s="74">
        <v>6.0</v>
      </c>
      <c r="W13" s="81">
        <v>63.0</v>
      </c>
      <c r="X13" s="82">
        <v>525.0</v>
      </c>
      <c r="Y13" s="81">
        <v>6.0</v>
      </c>
      <c r="Z13" s="81">
        <v>31.0</v>
      </c>
      <c r="AA13" s="80" t="s">
        <v>32</v>
      </c>
      <c r="AB13" s="81">
        <v>8.0</v>
      </c>
      <c r="AC13" s="80"/>
      <c r="AD13" s="80">
        <v>1.0</v>
      </c>
      <c r="AE13" s="80"/>
      <c r="AF13" s="81">
        <v>3.0</v>
      </c>
      <c r="AG13" s="80"/>
      <c r="AH13" s="80"/>
      <c r="AI13" s="80"/>
      <c r="AJ13" s="80"/>
      <c r="AK13" s="73"/>
      <c r="AL13" s="2"/>
    </row>
    <row r="14">
      <c r="A14" s="78">
        <v>5.0</v>
      </c>
      <c r="B14" s="79" t="s">
        <v>92</v>
      </c>
      <c r="C14" s="80">
        <f>1+2+1</f>
        <v>4</v>
      </c>
      <c r="D14" s="80">
        <f>1+1</f>
        <v>2</v>
      </c>
      <c r="E14" s="81">
        <v>5.0</v>
      </c>
      <c r="F14" s="81">
        <v>7.0</v>
      </c>
      <c r="G14" s="80">
        <v>32.0</v>
      </c>
      <c r="H14" s="80">
        <v>47.0</v>
      </c>
      <c r="I14" s="81"/>
      <c r="J14" s="81"/>
      <c r="K14" s="74">
        <v>0.0</v>
      </c>
      <c r="L14" s="74">
        <v>0.0</v>
      </c>
      <c r="M14" s="74">
        <v>0.0</v>
      </c>
      <c r="N14" s="74">
        <v>0.0</v>
      </c>
      <c r="O14" s="74" t="s">
        <v>32</v>
      </c>
      <c r="P14" s="81">
        <v>31.0</v>
      </c>
      <c r="Q14" s="74" t="s">
        <v>32</v>
      </c>
      <c r="R14" s="81">
        <v>19.0</v>
      </c>
      <c r="S14" s="74" t="s">
        <v>32</v>
      </c>
      <c r="T14" s="74">
        <v>5.0</v>
      </c>
      <c r="U14" s="74" t="s">
        <v>32</v>
      </c>
      <c r="V14" s="74">
        <v>8.0</v>
      </c>
      <c r="W14" s="81">
        <v>45.0</v>
      </c>
      <c r="X14" s="82">
        <v>525.0</v>
      </c>
      <c r="Y14" s="81">
        <v>6.0</v>
      </c>
      <c r="Z14" s="81">
        <v>19.0</v>
      </c>
      <c r="AA14" s="80" t="s">
        <v>32</v>
      </c>
      <c r="AB14" s="81">
        <v>9.0</v>
      </c>
      <c r="AC14" s="80"/>
      <c r="AD14" s="80">
        <v>1.0</v>
      </c>
      <c r="AE14" s="80"/>
      <c r="AF14" s="81">
        <v>3.0</v>
      </c>
      <c r="AG14" s="80"/>
      <c r="AH14" s="81"/>
      <c r="AI14" s="80"/>
      <c r="AJ14" s="80"/>
      <c r="AK14" s="73"/>
      <c r="AL14" s="2"/>
    </row>
    <row r="15">
      <c r="A15" s="78">
        <v>6.0</v>
      </c>
      <c r="B15" s="79" t="s">
        <v>93</v>
      </c>
      <c r="C15" s="80"/>
      <c r="D15" s="81"/>
      <c r="E15" s="81"/>
      <c r="F15" s="81"/>
      <c r="G15" s="80"/>
      <c r="H15" s="80"/>
      <c r="I15" s="81"/>
      <c r="J15" s="81"/>
      <c r="K15" s="74"/>
      <c r="L15" s="74"/>
      <c r="M15" s="74"/>
      <c r="N15" s="74"/>
      <c r="O15" s="74"/>
      <c r="P15" s="81"/>
      <c r="Q15" s="74"/>
      <c r="R15" s="81"/>
      <c r="S15" s="74"/>
      <c r="T15" s="74"/>
      <c r="U15" s="74"/>
      <c r="V15" s="74"/>
      <c r="W15" s="81"/>
      <c r="X15" s="81"/>
      <c r="Y15" s="81"/>
      <c r="Z15" s="81"/>
      <c r="AA15" s="80"/>
      <c r="AB15" s="81"/>
      <c r="AC15" s="80"/>
      <c r="AD15" s="80"/>
      <c r="AE15" s="80"/>
      <c r="AF15" s="81"/>
      <c r="AG15" s="80"/>
      <c r="AH15" s="81"/>
      <c r="AI15" s="80"/>
      <c r="AJ15" s="80"/>
      <c r="AK15" s="23"/>
      <c r="AL15" s="2"/>
    </row>
    <row r="16">
      <c r="A16" s="78">
        <v>7.0</v>
      </c>
      <c r="B16" s="79" t="s">
        <v>94</v>
      </c>
      <c r="C16" s="80"/>
      <c r="D16" s="81"/>
      <c r="E16" s="81"/>
      <c r="F16" s="81"/>
      <c r="G16" s="80"/>
      <c r="H16" s="80"/>
      <c r="I16" s="81"/>
      <c r="J16" s="81"/>
      <c r="K16" s="74"/>
      <c r="L16" s="74"/>
      <c r="M16" s="74"/>
      <c r="N16" s="74"/>
      <c r="O16" s="74"/>
      <c r="P16" s="81"/>
      <c r="Q16" s="74"/>
      <c r="R16" s="81"/>
      <c r="S16" s="74"/>
      <c r="T16" s="74"/>
      <c r="U16" s="74"/>
      <c r="V16" s="74"/>
      <c r="W16" s="81"/>
      <c r="X16" s="27"/>
      <c r="Y16" s="81"/>
      <c r="Z16" s="81"/>
      <c r="AA16" s="80"/>
      <c r="AB16" s="81"/>
      <c r="AC16" s="80"/>
      <c r="AD16" s="80"/>
      <c r="AE16" s="80"/>
      <c r="AF16" s="80"/>
      <c r="AG16" s="80"/>
      <c r="AH16" s="80"/>
      <c r="AI16" s="80"/>
      <c r="AJ16" s="80"/>
      <c r="AK16" s="73"/>
      <c r="AL16" s="2"/>
    </row>
    <row r="17">
      <c r="A17" s="78">
        <v>8.0</v>
      </c>
      <c r="B17" s="79" t="s">
        <v>95</v>
      </c>
      <c r="C17" s="80"/>
      <c r="D17" s="80"/>
      <c r="E17" s="27"/>
      <c r="F17" s="27"/>
      <c r="G17" s="80"/>
      <c r="H17" s="80"/>
      <c r="I17" s="27"/>
      <c r="J17" s="27"/>
      <c r="K17" s="74"/>
      <c r="L17" s="74"/>
      <c r="M17" s="74"/>
      <c r="N17" s="74"/>
      <c r="O17" s="83"/>
      <c r="P17" s="81"/>
      <c r="Q17" s="83"/>
      <c r="R17" s="27"/>
      <c r="S17" s="83"/>
      <c r="T17" s="83"/>
      <c r="U17" s="83"/>
      <c r="V17" s="83"/>
      <c r="W17" s="27"/>
      <c r="X17" s="81"/>
      <c r="Y17" s="27"/>
      <c r="Z17" s="27"/>
      <c r="AA17" s="80"/>
      <c r="AB17" s="27"/>
      <c r="AC17" s="80"/>
      <c r="AD17" s="80"/>
      <c r="AE17" s="80"/>
      <c r="AF17" s="80"/>
      <c r="AG17" s="80"/>
      <c r="AH17" s="80"/>
      <c r="AI17" s="80"/>
      <c r="AJ17" s="80"/>
      <c r="AK17" s="23"/>
      <c r="AL17" s="2"/>
    </row>
    <row r="18">
      <c r="A18" s="78">
        <v>9.0</v>
      </c>
      <c r="B18" s="79" t="s">
        <v>96</v>
      </c>
      <c r="C18" s="80"/>
      <c r="D18" s="80"/>
      <c r="E18" s="81"/>
      <c r="F18" s="81"/>
      <c r="G18" s="80"/>
      <c r="H18" s="80"/>
      <c r="I18" s="81"/>
      <c r="J18" s="81"/>
      <c r="K18" s="74"/>
      <c r="L18" s="74"/>
      <c r="M18" s="74"/>
      <c r="N18" s="74"/>
      <c r="O18" s="82"/>
      <c r="P18" s="27"/>
      <c r="Q18" s="82"/>
      <c r="R18" s="81"/>
      <c r="S18" s="82"/>
      <c r="T18" s="82"/>
      <c r="U18" s="84"/>
      <c r="V18" s="85"/>
      <c r="W18" s="81"/>
      <c r="X18" s="82"/>
      <c r="Y18" s="81"/>
      <c r="Z18" s="81"/>
      <c r="AA18" s="80"/>
      <c r="AB18" s="81"/>
      <c r="AC18" s="80"/>
      <c r="AD18" s="80"/>
      <c r="AE18" s="80"/>
      <c r="AF18" s="80"/>
      <c r="AG18" s="80"/>
      <c r="AH18" s="80"/>
      <c r="AI18" s="80"/>
      <c r="AJ18" s="80"/>
      <c r="AK18" s="23"/>
      <c r="AL18" s="2"/>
    </row>
    <row r="19">
      <c r="A19" s="78">
        <v>10.0</v>
      </c>
      <c r="B19" s="79" t="s">
        <v>97</v>
      </c>
      <c r="C19" s="86"/>
      <c r="D19" s="82"/>
      <c r="E19" s="82"/>
      <c r="F19" s="82"/>
      <c r="G19" s="82"/>
      <c r="H19" s="82"/>
      <c r="I19" s="23"/>
      <c r="J19" s="23"/>
      <c r="K19" s="74"/>
      <c r="L19" s="74"/>
      <c r="M19" s="74"/>
      <c r="N19" s="74"/>
      <c r="O19" s="82"/>
      <c r="P19" s="81"/>
      <c r="Q19" s="82"/>
      <c r="R19" s="82"/>
      <c r="S19" s="82"/>
      <c r="T19" s="82"/>
      <c r="U19" s="84"/>
      <c r="V19" s="85"/>
      <c r="W19" s="82"/>
      <c r="X19" s="82"/>
      <c r="Y19" s="82"/>
      <c r="Z19" s="82"/>
      <c r="AA19" s="87"/>
      <c r="AB19" s="82"/>
      <c r="AC19" s="23"/>
      <c r="AD19" s="82"/>
      <c r="AE19" s="23"/>
      <c r="AF19" s="82"/>
      <c r="AG19" s="23"/>
      <c r="AH19" s="23"/>
      <c r="AI19" s="23"/>
      <c r="AJ19" s="23"/>
      <c r="AK19" s="23"/>
      <c r="AL19" s="2"/>
    </row>
    <row r="20">
      <c r="A20" s="78">
        <v>11.0</v>
      </c>
      <c r="B20" s="79" t="s">
        <v>98</v>
      </c>
      <c r="C20" s="86"/>
      <c r="D20" s="82"/>
      <c r="E20" s="82"/>
      <c r="F20" s="82"/>
      <c r="G20" s="82"/>
      <c r="H20" s="82"/>
      <c r="I20" s="23"/>
      <c r="J20" s="23"/>
      <c r="K20" s="74"/>
      <c r="L20" s="74"/>
      <c r="M20" s="74"/>
      <c r="N20" s="74"/>
      <c r="O20" s="87"/>
      <c r="P20" s="82"/>
      <c r="Q20" s="87"/>
      <c r="R20" s="82"/>
      <c r="S20" s="82"/>
      <c r="T20" s="82"/>
      <c r="U20" s="84"/>
      <c r="V20" s="82"/>
      <c r="W20" s="82"/>
      <c r="X20" s="82"/>
      <c r="Y20" s="82"/>
      <c r="Z20" s="82"/>
      <c r="AA20" s="87"/>
      <c r="AB20" s="82"/>
      <c r="AC20" s="23"/>
      <c r="AD20" s="82"/>
      <c r="AE20" s="23"/>
      <c r="AF20" s="82"/>
      <c r="AG20" s="23"/>
      <c r="AH20" s="23"/>
      <c r="AI20" s="23"/>
      <c r="AJ20" s="23"/>
      <c r="AK20" s="23"/>
      <c r="AL20" s="2"/>
    </row>
    <row r="21">
      <c r="A21" s="78">
        <v>12.0</v>
      </c>
      <c r="B21" s="79" t="s">
        <v>99</v>
      </c>
      <c r="C21" s="88"/>
      <c r="D21" s="23"/>
      <c r="E21" s="23"/>
      <c r="F21" s="23"/>
      <c r="G21" s="23"/>
      <c r="H21" s="23"/>
      <c r="I21" s="23"/>
      <c r="J21" s="23"/>
      <c r="K21" s="74"/>
      <c r="L21" s="74"/>
      <c r="M21" s="74"/>
      <c r="N21" s="74"/>
      <c r="O21" s="23"/>
      <c r="P21" s="82"/>
      <c r="Q21" s="23"/>
      <c r="R21" s="82"/>
      <c r="S21" s="82"/>
      <c r="T21" s="82"/>
      <c r="U21" s="84"/>
      <c r="V21" s="82"/>
      <c r="W21" s="23"/>
      <c r="X21" s="82"/>
      <c r="Y21" s="23"/>
      <c r="Z21" s="23"/>
      <c r="AA21" s="87"/>
      <c r="AB21" s="82"/>
      <c r="AC21" s="23"/>
      <c r="AD21" s="82"/>
      <c r="AE21" s="23"/>
      <c r="AF21" s="23"/>
      <c r="AG21" s="23"/>
      <c r="AH21" s="23"/>
      <c r="AI21" s="23"/>
      <c r="AJ21" s="23"/>
      <c r="AK21" s="23"/>
      <c r="AL21" s="2"/>
    </row>
    <row r="22">
      <c r="A22" s="8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90" t="s">
        <v>100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91" t="s">
        <v>101</v>
      </c>
      <c r="B25" s="92" t="s">
        <v>102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91" t="s">
        <v>103</v>
      </c>
      <c r="B26" s="9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91"/>
      <c r="B27" s="9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3" t="s">
        <v>104</v>
      </c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5" t="s">
        <v>3</v>
      </c>
      <c r="B29" s="96" t="s">
        <v>105</v>
      </c>
      <c r="C29" s="62"/>
      <c r="D29" s="62"/>
      <c r="E29" s="56" t="s">
        <v>106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9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3" t="s">
        <v>107</v>
      </c>
      <c r="C30" s="83" t="s">
        <v>108</v>
      </c>
      <c r="D30" s="83" t="s">
        <v>109</v>
      </c>
      <c r="E30" s="83" t="s">
        <v>110</v>
      </c>
      <c r="F30" s="83" t="s">
        <v>111</v>
      </c>
      <c r="G30" s="83" t="s">
        <v>112</v>
      </c>
      <c r="H30" s="83" t="s">
        <v>113</v>
      </c>
      <c r="I30" s="83" t="s">
        <v>92</v>
      </c>
      <c r="J30" s="83" t="s">
        <v>114</v>
      </c>
      <c r="K30" s="83" t="s">
        <v>115</v>
      </c>
      <c r="L30" s="83" t="s">
        <v>116</v>
      </c>
      <c r="M30" s="83" t="s">
        <v>117</v>
      </c>
      <c r="N30" s="83" t="s">
        <v>118</v>
      </c>
      <c r="O30" s="83" t="s">
        <v>119</v>
      </c>
      <c r="P30" s="83" t="s">
        <v>120</v>
      </c>
      <c r="Q30" s="9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8">
        <v>1.0</v>
      </c>
      <c r="B31" s="98">
        <v>2.0</v>
      </c>
      <c r="C31" s="98">
        <v>3.0</v>
      </c>
      <c r="D31" s="98">
        <v>4.0</v>
      </c>
      <c r="E31" s="98">
        <v>5.0</v>
      </c>
      <c r="F31" s="98">
        <v>6.0</v>
      </c>
      <c r="G31" s="98">
        <v>7.0</v>
      </c>
      <c r="H31" s="98">
        <v>8.0</v>
      </c>
      <c r="I31" s="98">
        <v>9.0</v>
      </c>
      <c r="J31" s="98">
        <v>10.0</v>
      </c>
      <c r="K31" s="98">
        <v>11.0</v>
      </c>
      <c r="L31" s="98">
        <v>12.0</v>
      </c>
      <c r="M31" s="98">
        <v>13.0</v>
      </c>
      <c r="N31" s="98">
        <v>14.0</v>
      </c>
      <c r="O31" s="98">
        <v>15.0</v>
      </c>
      <c r="P31" s="98">
        <v>16.0</v>
      </c>
      <c r="Q31" s="9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00">
        <v>1.0</v>
      </c>
      <c r="B32" s="101" t="s">
        <v>121</v>
      </c>
      <c r="C32" s="102" t="s">
        <v>122</v>
      </c>
      <c r="D32" s="102" t="s">
        <v>123</v>
      </c>
      <c r="E32" s="17" t="s">
        <v>25</v>
      </c>
      <c r="F32" s="17" t="s">
        <v>25</v>
      </c>
      <c r="G32" s="17" t="s">
        <v>25</v>
      </c>
      <c r="H32" s="17" t="s">
        <v>25</v>
      </c>
      <c r="I32" s="17" t="s">
        <v>25</v>
      </c>
      <c r="J32" s="17"/>
      <c r="K32" s="17"/>
      <c r="L32" s="17"/>
      <c r="M32" s="102"/>
      <c r="N32" s="17"/>
      <c r="O32" s="17"/>
      <c r="P32" s="103"/>
      <c r="Q32" s="10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100">
        <f t="shared" ref="A33:A101" si="1">A32+1</f>
        <v>2</v>
      </c>
      <c r="B33" s="100" t="s">
        <v>124</v>
      </c>
      <c r="C33" s="102" t="s">
        <v>125</v>
      </c>
      <c r="D33" s="102" t="s">
        <v>126</v>
      </c>
      <c r="E33" s="17" t="s">
        <v>25</v>
      </c>
      <c r="F33" s="17" t="s">
        <v>25</v>
      </c>
      <c r="G33" s="17" t="s">
        <v>25</v>
      </c>
      <c r="H33" s="17" t="s">
        <v>25</v>
      </c>
      <c r="I33" s="17" t="s">
        <v>25</v>
      </c>
      <c r="J33" s="17"/>
      <c r="K33" s="17"/>
      <c r="L33" s="17"/>
      <c r="M33" s="102"/>
      <c r="N33" s="17"/>
      <c r="O33" s="17"/>
      <c r="P33" s="103"/>
      <c r="Q33" s="10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100">
        <f t="shared" si="1"/>
        <v>3</v>
      </c>
      <c r="B34" s="100" t="s">
        <v>127</v>
      </c>
      <c r="C34" s="102" t="s">
        <v>128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100">
        <f t="shared" si="1"/>
        <v>4</v>
      </c>
      <c r="B35" s="100" t="s">
        <v>129</v>
      </c>
      <c r="C35" s="102" t="s">
        <v>130</v>
      </c>
      <c r="D35" s="102" t="s">
        <v>131</v>
      </c>
      <c r="E35" s="17" t="s">
        <v>25</v>
      </c>
      <c r="F35" s="17" t="s">
        <v>25</v>
      </c>
      <c r="G35" s="17" t="s">
        <v>25</v>
      </c>
      <c r="H35" s="17" t="s">
        <v>25</v>
      </c>
      <c r="I35" s="17" t="s">
        <v>25</v>
      </c>
      <c r="J35" s="103"/>
      <c r="K35" s="103"/>
      <c r="L35" s="103"/>
      <c r="M35" s="103"/>
      <c r="N35" s="103"/>
      <c r="O35" s="103"/>
      <c r="P35" s="103"/>
      <c r="Q35" s="10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100">
        <f t="shared" si="1"/>
        <v>5</v>
      </c>
      <c r="B36" s="100" t="s">
        <v>132</v>
      </c>
      <c r="C36" s="102" t="s">
        <v>133</v>
      </c>
      <c r="D36" s="102" t="s">
        <v>134</v>
      </c>
      <c r="E36" s="102" t="s">
        <v>32</v>
      </c>
      <c r="F36" s="102" t="s">
        <v>32</v>
      </c>
      <c r="G36" s="17" t="s">
        <v>25</v>
      </c>
      <c r="H36" s="102" t="s">
        <v>32</v>
      </c>
      <c r="I36" s="17" t="s">
        <v>32</v>
      </c>
      <c r="J36" s="17"/>
      <c r="K36" s="17"/>
      <c r="L36" s="17"/>
      <c r="M36" s="17"/>
      <c r="N36" s="17"/>
      <c r="O36" s="102" t="s">
        <v>32</v>
      </c>
      <c r="P36" s="103"/>
      <c r="Q36" s="10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0">
        <f t="shared" si="1"/>
        <v>6</v>
      </c>
      <c r="B37" s="100" t="s">
        <v>135</v>
      </c>
      <c r="C37" s="102" t="s">
        <v>136</v>
      </c>
      <c r="D37" s="103"/>
      <c r="E37" s="102" t="s">
        <v>32</v>
      </c>
      <c r="F37" s="102" t="s">
        <v>32</v>
      </c>
      <c r="G37" s="17" t="s">
        <v>25</v>
      </c>
      <c r="H37" s="103"/>
      <c r="I37" s="103"/>
      <c r="J37" s="103"/>
      <c r="K37" s="103"/>
      <c r="L37" s="103"/>
      <c r="M37" s="103"/>
      <c r="N37" s="103"/>
      <c r="O37" s="103"/>
      <c r="P37" s="103"/>
      <c r="Q37" s="10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100">
        <f t="shared" si="1"/>
        <v>7</v>
      </c>
      <c r="B38" s="100" t="s">
        <v>137</v>
      </c>
      <c r="C38" s="102" t="s">
        <v>138</v>
      </c>
      <c r="D38" s="102" t="s">
        <v>139</v>
      </c>
      <c r="E38" s="17" t="s">
        <v>25</v>
      </c>
      <c r="F38" s="17" t="s">
        <v>25</v>
      </c>
      <c r="G38" s="17" t="s">
        <v>25</v>
      </c>
      <c r="H38" s="17" t="s">
        <v>25</v>
      </c>
      <c r="I38" s="17" t="s">
        <v>25</v>
      </c>
      <c r="J38" s="103"/>
      <c r="K38" s="103"/>
      <c r="L38" s="103"/>
      <c r="M38" s="103"/>
      <c r="N38" s="103"/>
      <c r="O38" s="103"/>
      <c r="P38" s="103"/>
      <c r="Q38" s="10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100">
        <f t="shared" si="1"/>
        <v>8</v>
      </c>
      <c r="B39" s="100" t="s">
        <v>140</v>
      </c>
      <c r="C39" s="102" t="s">
        <v>141</v>
      </c>
      <c r="D39" s="102" t="s">
        <v>142</v>
      </c>
      <c r="E39" s="102" t="s">
        <v>32</v>
      </c>
      <c r="F39" s="103"/>
      <c r="G39" s="17" t="s">
        <v>25</v>
      </c>
      <c r="H39" s="102" t="s">
        <v>32</v>
      </c>
      <c r="I39" s="103"/>
      <c r="J39" s="103"/>
      <c r="K39" s="103"/>
      <c r="L39" s="103"/>
      <c r="M39" s="103"/>
      <c r="N39" s="103"/>
      <c r="O39" s="103"/>
      <c r="P39" s="103"/>
      <c r="Q39" s="10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100">
        <f t="shared" si="1"/>
        <v>9</v>
      </c>
      <c r="B40" s="100" t="s">
        <v>143</v>
      </c>
      <c r="C40" s="102" t="s">
        <v>144</v>
      </c>
      <c r="D40" s="102" t="s">
        <v>145</v>
      </c>
      <c r="E40" s="17" t="s">
        <v>25</v>
      </c>
      <c r="F40" s="17" t="s">
        <v>25</v>
      </c>
      <c r="G40" s="17" t="s">
        <v>25</v>
      </c>
      <c r="H40" s="103"/>
      <c r="I40" s="103"/>
      <c r="J40" s="103"/>
      <c r="K40" s="103"/>
      <c r="L40" s="103"/>
      <c r="M40" s="103"/>
      <c r="N40" s="103"/>
      <c r="O40" s="103"/>
      <c r="P40" s="103"/>
      <c r="Q40" s="10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00">
        <f t="shared" si="1"/>
        <v>10</v>
      </c>
      <c r="B41" s="100" t="s">
        <v>146</v>
      </c>
      <c r="C41" s="102" t="s">
        <v>147</v>
      </c>
      <c r="D41" s="102" t="s">
        <v>148</v>
      </c>
      <c r="E41" s="17" t="s">
        <v>25</v>
      </c>
      <c r="F41" s="17" t="s">
        <v>25</v>
      </c>
      <c r="G41" s="17" t="s">
        <v>25</v>
      </c>
      <c r="H41" s="103"/>
      <c r="I41" s="103"/>
      <c r="J41" s="103"/>
      <c r="K41" s="103"/>
      <c r="L41" s="103"/>
      <c r="M41" s="103"/>
      <c r="N41" s="103"/>
      <c r="O41" s="103"/>
      <c r="P41" s="103"/>
      <c r="Q41" s="10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100">
        <f t="shared" si="1"/>
        <v>11</v>
      </c>
      <c r="B42" s="100" t="s">
        <v>149</v>
      </c>
      <c r="C42" s="102"/>
      <c r="D42" s="102" t="s">
        <v>150</v>
      </c>
      <c r="E42" s="102">
        <v>0.0</v>
      </c>
      <c r="F42" s="17" t="s">
        <v>25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103">
        <f t="shared" si="1"/>
        <v>12</v>
      </c>
      <c r="B43" s="105" t="s">
        <v>151</v>
      </c>
      <c r="C43" s="105" t="s">
        <v>152</v>
      </c>
      <c r="D43" s="105" t="s">
        <v>153</v>
      </c>
      <c r="E43" s="17" t="s">
        <v>25</v>
      </c>
      <c r="F43" s="17" t="s">
        <v>25</v>
      </c>
      <c r="G43" s="17" t="s">
        <v>25</v>
      </c>
      <c r="H43" s="17" t="s">
        <v>25</v>
      </c>
      <c r="I43" s="17" t="s">
        <v>25</v>
      </c>
      <c r="J43" s="103"/>
      <c r="K43" s="103"/>
      <c r="L43" s="103"/>
      <c r="M43" s="103"/>
      <c r="N43" s="103"/>
      <c r="O43" s="103"/>
      <c r="P43" s="103"/>
      <c r="Q43" s="10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103">
        <f t="shared" si="1"/>
        <v>13</v>
      </c>
      <c r="B44" s="105" t="s">
        <v>154</v>
      </c>
      <c r="C44" s="105" t="s">
        <v>155</v>
      </c>
      <c r="D44" s="105" t="s">
        <v>156</v>
      </c>
      <c r="E44" s="17" t="s">
        <v>25</v>
      </c>
      <c r="F44" s="17" t="s">
        <v>25</v>
      </c>
      <c r="G44" s="17" t="s">
        <v>25</v>
      </c>
      <c r="H44" s="103"/>
      <c r="I44" s="103"/>
      <c r="J44" s="103"/>
      <c r="K44" s="103"/>
      <c r="L44" s="103"/>
      <c r="M44" s="103"/>
      <c r="N44" s="103"/>
      <c r="O44" s="103"/>
      <c r="P44" s="106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103">
        <f t="shared" si="1"/>
        <v>14</v>
      </c>
      <c r="B45" s="105" t="s">
        <v>157</v>
      </c>
      <c r="C45" s="105" t="s">
        <v>158</v>
      </c>
      <c r="D45" s="105" t="s">
        <v>159</v>
      </c>
      <c r="E45" s="17" t="s">
        <v>25</v>
      </c>
      <c r="F45" s="17" t="s">
        <v>25</v>
      </c>
      <c r="G45" s="17" t="s">
        <v>25</v>
      </c>
      <c r="H45" s="17" t="s">
        <v>32</v>
      </c>
      <c r="I45" s="17" t="s">
        <v>32</v>
      </c>
      <c r="J45" s="107"/>
      <c r="K45" s="107"/>
      <c r="L45" s="107"/>
      <c r="M45" s="107"/>
      <c r="N45" s="107"/>
      <c r="O45" s="107"/>
      <c r="P45" s="107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103">
        <f t="shared" si="1"/>
        <v>15</v>
      </c>
      <c r="B46" s="105" t="s">
        <v>160</v>
      </c>
      <c r="C46" s="105" t="s">
        <v>161</v>
      </c>
      <c r="D46" s="105" t="s">
        <v>162</v>
      </c>
      <c r="E46" s="17" t="s">
        <v>25</v>
      </c>
      <c r="F46" s="17" t="s">
        <v>25</v>
      </c>
      <c r="G46" s="17" t="s">
        <v>25</v>
      </c>
      <c r="H46" s="17" t="s">
        <v>25</v>
      </c>
      <c r="I46" s="107"/>
      <c r="J46" s="107"/>
      <c r="K46" s="107"/>
      <c r="L46" s="107"/>
      <c r="M46" s="107"/>
      <c r="N46" s="107"/>
      <c r="O46" s="107"/>
      <c r="P46" s="107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103">
        <f t="shared" si="1"/>
        <v>16</v>
      </c>
      <c r="B47" s="105" t="s">
        <v>163</v>
      </c>
      <c r="C47" s="105" t="s">
        <v>164</v>
      </c>
      <c r="D47" s="105" t="s">
        <v>165</v>
      </c>
      <c r="E47" s="17" t="s">
        <v>25</v>
      </c>
      <c r="F47" s="17" t="s">
        <v>25</v>
      </c>
      <c r="G47" s="17" t="s">
        <v>25</v>
      </c>
      <c r="H47" s="17" t="s">
        <v>25</v>
      </c>
      <c r="I47" s="17" t="s">
        <v>25</v>
      </c>
      <c r="J47" s="107"/>
      <c r="K47" s="107"/>
      <c r="L47" s="107"/>
      <c r="M47" s="107"/>
      <c r="N47" s="107"/>
      <c r="O47" s="107"/>
      <c r="P47" s="107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3">
        <f t="shared" si="1"/>
        <v>17</v>
      </c>
      <c r="B48" s="105" t="s">
        <v>166</v>
      </c>
      <c r="C48" s="105" t="s">
        <v>167</v>
      </c>
      <c r="D48" s="105" t="s">
        <v>168</v>
      </c>
      <c r="E48" s="17" t="s">
        <v>25</v>
      </c>
      <c r="F48" s="107"/>
      <c r="G48" s="17" t="s">
        <v>25</v>
      </c>
      <c r="H48" s="107"/>
      <c r="I48" s="107"/>
      <c r="J48" s="107"/>
      <c r="K48" s="107"/>
      <c r="L48" s="107"/>
      <c r="M48" s="107"/>
      <c r="N48" s="107"/>
      <c r="O48" s="107"/>
      <c r="P48" s="107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03">
        <f t="shared" si="1"/>
        <v>18</v>
      </c>
      <c r="B49" s="105" t="s">
        <v>169</v>
      </c>
      <c r="C49" s="105" t="s">
        <v>170</v>
      </c>
      <c r="D49" s="105" t="s">
        <v>171</v>
      </c>
      <c r="E49" s="17" t="s">
        <v>25</v>
      </c>
      <c r="F49" s="17" t="s">
        <v>25</v>
      </c>
      <c r="G49" s="17" t="s">
        <v>25</v>
      </c>
      <c r="H49" s="17" t="s">
        <v>25</v>
      </c>
      <c r="I49" s="107"/>
      <c r="J49" s="107"/>
      <c r="K49" s="107"/>
      <c r="L49" s="107"/>
      <c r="M49" s="107"/>
      <c r="N49" s="107"/>
      <c r="O49" s="107"/>
      <c r="P49" s="107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3">
        <f t="shared" si="1"/>
        <v>19</v>
      </c>
      <c r="B50" s="105" t="s">
        <v>172</v>
      </c>
      <c r="C50" s="105" t="s">
        <v>173</v>
      </c>
      <c r="D50" s="105" t="s">
        <v>174</v>
      </c>
      <c r="E50" s="105" t="s">
        <v>32</v>
      </c>
      <c r="F50" s="17" t="s">
        <v>25</v>
      </c>
      <c r="G50" s="17" t="s">
        <v>25</v>
      </c>
      <c r="H50" s="107"/>
      <c r="I50" s="107"/>
      <c r="J50" s="107"/>
      <c r="K50" s="107"/>
      <c r="L50" s="107"/>
      <c r="M50" s="107"/>
      <c r="N50" s="107"/>
      <c r="O50" s="107"/>
      <c r="P50" s="107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3">
        <f t="shared" si="1"/>
        <v>20</v>
      </c>
      <c r="B51" s="105" t="s">
        <v>175</v>
      </c>
      <c r="C51" s="105" t="s">
        <v>176</v>
      </c>
      <c r="D51" s="105" t="s">
        <v>177</v>
      </c>
      <c r="E51" s="17" t="s">
        <v>25</v>
      </c>
      <c r="F51" s="17" t="s">
        <v>25</v>
      </c>
      <c r="G51" s="17" t="s">
        <v>25</v>
      </c>
      <c r="H51" s="17" t="s">
        <v>25</v>
      </c>
      <c r="I51" s="107"/>
      <c r="J51" s="107"/>
      <c r="K51" s="107"/>
      <c r="L51" s="107"/>
      <c r="M51" s="107"/>
      <c r="N51" s="107"/>
      <c r="O51" s="107"/>
      <c r="P51" s="107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3">
        <f t="shared" si="1"/>
        <v>21</v>
      </c>
      <c r="B52" s="105" t="s">
        <v>178</v>
      </c>
      <c r="C52" s="105" t="s">
        <v>179</v>
      </c>
      <c r="D52" s="105" t="s">
        <v>180</v>
      </c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3">
        <f t="shared" si="1"/>
        <v>22</v>
      </c>
      <c r="B53" s="105" t="s">
        <v>181</v>
      </c>
      <c r="C53" s="105" t="s">
        <v>182</v>
      </c>
      <c r="D53" s="105" t="s">
        <v>183</v>
      </c>
      <c r="E53" s="17" t="s">
        <v>25</v>
      </c>
      <c r="F53" s="17" t="s">
        <v>25</v>
      </c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3">
        <f t="shared" si="1"/>
        <v>23</v>
      </c>
      <c r="B54" s="105" t="s">
        <v>184</v>
      </c>
      <c r="C54" s="105" t="s">
        <v>185</v>
      </c>
      <c r="D54" s="105" t="s">
        <v>186</v>
      </c>
      <c r="E54" s="17" t="s">
        <v>25</v>
      </c>
      <c r="F54" s="17" t="s">
        <v>25</v>
      </c>
      <c r="G54" s="17" t="s">
        <v>25</v>
      </c>
      <c r="H54" s="105" t="s">
        <v>32</v>
      </c>
      <c r="I54" s="107"/>
      <c r="J54" s="107"/>
      <c r="K54" s="107"/>
      <c r="L54" s="107"/>
      <c r="M54" s="107"/>
      <c r="N54" s="107"/>
      <c r="O54" s="107"/>
      <c r="P54" s="107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3">
        <f t="shared" si="1"/>
        <v>24</v>
      </c>
      <c r="B55" s="105" t="s">
        <v>187</v>
      </c>
      <c r="C55" s="105" t="s">
        <v>188</v>
      </c>
      <c r="D55" s="105" t="s">
        <v>189</v>
      </c>
      <c r="E55" s="105">
        <v>0.0</v>
      </c>
      <c r="F55" s="105">
        <v>0.0</v>
      </c>
      <c r="G55" s="105" t="s">
        <v>32</v>
      </c>
      <c r="H55" s="17" t="s">
        <v>25</v>
      </c>
      <c r="I55" s="17" t="s">
        <v>25</v>
      </c>
      <c r="J55" s="107"/>
      <c r="K55" s="107"/>
      <c r="L55" s="107"/>
      <c r="M55" s="107"/>
      <c r="N55" s="107"/>
      <c r="O55" s="107"/>
      <c r="P55" s="107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3">
        <f t="shared" si="1"/>
        <v>25</v>
      </c>
      <c r="B56" s="105" t="s">
        <v>190</v>
      </c>
      <c r="C56" s="108" t="s">
        <v>191</v>
      </c>
      <c r="D56" s="105" t="s">
        <v>192</v>
      </c>
      <c r="E56" s="17" t="s">
        <v>25</v>
      </c>
      <c r="F56" s="17" t="s">
        <v>25</v>
      </c>
      <c r="G56" s="17" t="s">
        <v>25</v>
      </c>
      <c r="H56" s="17" t="s">
        <v>25</v>
      </c>
      <c r="I56" s="17" t="s">
        <v>25</v>
      </c>
      <c r="J56" s="107"/>
      <c r="K56" s="107"/>
      <c r="L56" s="107"/>
      <c r="M56" s="107"/>
      <c r="N56" s="107"/>
      <c r="O56" s="107"/>
      <c r="P56" s="107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3">
        <f t="shared" si="1"/>
        <v>26</v>
      </c>
      <c r="B57" s="105" t="s">
        <v>193</v>
      </c>
      <c r="C57" s="107"/>
      <c r="D57" s="105" t="s">
        <v>194</v>
      </c>
      <c r="E57" s="105">
        <v>0.0</v>
      </c>
      <c r="F57" s="17" t="s">
        <v>25</v>
      </c>
      <c r="G57" s="17" t="s">
        <v>25</v>
      </c>
      <c r="H57" s="17" t="s">
        <v>25</v>
      </c>
      <c r="I57" s="107"/>
      <c r="J57" s="107"/>
      <c r="K57" s="107"/>
      <c r="L57" s="107"/>
      <c r="M57" s="107"/>
      <c r="N57" s="107"/>
      <c r="O57" s="107"/>
      <c r="P57" s="107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103">
        <f t="shared" si="1"/>
        <v>27</v>
      </c>
      <c r="B58" s="105" t="s">
        <v>195</v>
      </c>
      <c r="C58" s="107"/>
      <c r="D58" s="105" t="s">
        <v>196</v>
      </c>
      <c r="E58" s="17" t="s">
        <v>32</v>
      </c>
      <c r="F58" s="17" t="s">
        <v>25</v>
      </c>
      <c r="G58" s="17" t="s">
        <v>25</v>
      </c>
      <c r="H58" s="17" t="s">
        <v>25</v>
      </c>
      <c r="I58" s="17" t="s">
        <v>25</v>
      </c>
      <c r="J58" s="107"/>
      <c r="K58" s="107"/>
      <c r="L58" s="107"/>
      <c r="M58" s="107"/>
      <c r="N58" s="107"/>
      <c r="O58" s="107"/>
      <c r="P58" s="107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103">
        <f t="shared" si="1"/>
        <v>28</v>
      </c>
      <c r="B59" s="108" t="s">
        <v>197</v>
      </c>
      <c r="C59" s="108" t="s">
        <v>198</v>
      </c>
      <c r="D59" s="108" t="s">
        <v>199</v>
      </c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103">
        <f t="shared" si="1"/>
        <v>29</v>
      </c>
      <c r="B60" s="108" t="s">
        <v>200</v>
      </c>
      <c r="C60" s="108" t="s">
        <v>201</v>
      </c>
      <c r="D60" s="108" t="s">
        <v>202</v>
      </c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03">
        <f t="shared" si="1"/>
        <v>30</v>
      </c>
      <c r="B61" s="108" t="s">
        <v>203</v>
      </c>
      <c r="C61" s="108" t="s">
        <v>204</v>
      </c>
      <c r="D61" s="108" t="s">
        <v>205</v>
      </c>
      <c r="E61" s="17" t="s">
        <v>25</v>
      </c>
      <c r="F61" s="17" t="s">
        <v>25</v>
      </c>
      <c r="G61" s="105" t="s">
        <v>32</v>
      </c>
      <c r="H61" s="17" t="s">
        <v>25</v>
      </c>
      <c r="I61" s="17" t="s">
        <v>25</v>
      </c>
      <c r="J61" s="107"/>
      <c r="K61" s="107"/>
      <c r="L61" s="107"/>
      <c r="M61" s="107"/>
      <c r="N61" s="107"/>
      <c r="O61" s="107"/>
      <c r="P61" s="107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103">
        <f t="shared" si="1"/>
        <v>31</v>
      </c>
      <c r="B62" s="105" t="s">
        <v>206</v>
      </c>
      <c r="C62" s="107"/>
      <c r="D62" s="108" t="s">
        <v>207</v>
      </c>
      <c r="E62" s="17" t="s">
        <v>25</v>
      </c>
      <c r="F62" s="17" t="s">
        <v>25</v>
      </c>
      <c r="G62" s="17" t="s">
        <v>25</v>
      </c>
      <c r="H62" s="17" t="s">
        <v>25</v>
      </c>
      <c r="I62" s="17" t="s">
        <v>25</v>
      </c>
      <c r="J62" s="107"/>
      <c r="K62" s="107"/>
      <c r="L62" s="107"/>
      <c r="M62" s="107"/>
      <c r="N62" s="107"/>
      <c r="O62" s="107"/>
      <c r="P62" s="107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3">
        <f t="shared" si="1"/>
        <v>32</v>
      </c>
      <c r="B63" s="109" t="s">
        <v>208</v>
      </c>
      <c r="C63" s="110"/>
      <c r="D63" s="111" t="s">
        <v>209</v>
      </c>
      <c r="E63" s="17" t="s">
        <v>25</v>
      </c>
      <c r="F63" s="105" t="s">
        <v>32</v>
      </c>
      <c r="G63" s="17" t="s">
        <v>25</v>
      </c>
      <c r="H63" s="112" t="s">
        <v>25</v>
      </c>
      <c r="I63" s="112" t="s">
        <v>25</v>
      </c>
      <c r="J63" s="107"/>
      <c r="K63" s="107"/>
      <c r="L63" s="107"/>
      <c r="M63" s="107"/>
      <c r="N63" s="107"/>
      <c r="O63" s="107"/>
      <c r="P63" s="107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103">
        <f t="shared" si="1"/>
        <v>33</v>
      </c>
      <c r="B64" s="110"/>
      <c r="C64" s="110"/>
      <c r="D64" s="111" t="s">
        <v>210</v>
      </c>
      <c r="E64" s="112" t="s">
        <v>25</v>
      </c>
      <c r="F64" s="112" t="s">
        <v>25</v>
      </c>
      <c r="G64" s="112" t="s">
        <v>25</v>
      </c>
      <c r="H64" s="112" t="s">
        <v>25</v>
      </c>
      <c r="I64" s="112" t="s">
        <v>25</v>
      </c>
      <c r="J64" s="107"/>
      <c r="K64" s="107"/>
      <c r="L64" s="107"/>
      <c r="M64" s="107"/>
      <c r="N64" s="107"/>
      <c r="O64" s="107"/>
      <c r="P64" s="107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3">
        <f t="shared" si="1"/>
        <v>34</v>
      </c>
      <c r="B65" s="113" t="s">
        <v>211</v>
      </c>
      <c r="C65" s="113" t="s">
        <v>212</v>
      </c>
      <c r="D65" s="114" t="s">
        <v>213</v>
      </c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3">
        <f t="shared" si="1"/>
        <v>35</v>
      </c>
      <c r="B66" s="116"/>
      <c r="C66" s="116"/>
      <c r="D66" s="114" t="s">
        <v>214</v>
      </c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6">
        <f t="shared" si="1"/>
        <v>36</v>
      </c>
      <c r="B67" s="116"/>
      <c r="C67" s="116"/>
      <c r="D67" s="114" t="s">
        <v>215</v>
      </c>
      <c r="E67" s="117" t="s">
        <v>32</v>
      </c>
      <c r="F67" s="117" t="s">
        <v>32</v>
      </c>
      <c r="G67" s="118" t="s">
        <v>25</v>
      </c>
      <c r="H67" s="115"/>
      <c r="I67" s="115"/>
      <c r="J67" s="115"/>
      <c r="K67" s="115"/>
      <c r="L67" s="115"/>
      <c r="M67" s="115"/>
      <c r="N67" s="115"/>
      <c r="O67" s="115"/>
      <c r="P67" s="11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6">
        <f t="shared" si="1"/>
        <v>37</v>
      </c>
      <c r="B68" s="113" t="s">
        <v>216</v>
      </c>
      <c r="C68" s="113" t="s">
        <v>217</v>
      </c>
      <c r="D68" s="114" t="s">
        <v>218</v>
      </c>
      <c r="E68" s="117" t="s">
        <v>32</v>
      </c>
      <c r="F68" s="118" t="s">
        <v>25</v>
      </c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6">
        <f t="shared" si="1"/>
        <v>38</v>
      </c>
      <c r="B69" s="113" t="s">
        <v>219</v>
      </c>
      <c r="C69" s="113" t="s">
        <v>220</v>
      </c>
      <c r="D69" s="114" t="s">
        <v>221</v>
      </c>
      <c r="E69" s="117" t="s">
        <v>32</v>
      </c>
      <c r="F69" s="119" t="s">
        <v>25</v>
      </c>
      <c r="G69" s="118" t="s">
        <v>25</v>
      </c>
      <c r="H69" s="119" t="s">
        <v>25</v>
      </c>
      <c r="I69" s="119" t="s">
        <v>25</v>
      </c>
      <c r="J69" s="115"/>
      <c r="K69" s="115"/>
      <c r="L69" s="115"/>
      <c r="M69" s="115"/>
      <c r="N69" s="115"/>
      <c r="O69" s="115"/>
      <c r="P69" s="115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6">
        <f t="shared" si="1"/>
        <v>39</v>
      </c>
      <c r="B70" s="117" t="s">
        <v>222</v>
      </c>
      <c r="C70" s="117" t="s">
        <v>223</v>
      </c>
      <c r="D70" s="114" t="s">
        <v>224</v>
      </c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6">
        <f t="shared" si="1"/>
        <v>40</v>
      </c>
      <c r="B71" s="117" t="s">
        <v>225</v>
      </c>
      <c r="C71" s="114" t="s">
        <v>226</v>
      </c>
      <c r="D71" s="114" t="s">
        <v>227</v>
      </c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6">
        <f t="shared" si="1"/>
        <v>41</v>
      </c>
      <c r="B72" s="120" t="s">
        <v>228</v>
      </c>
      <c r="C72" s="120" t="s">
        <v>229</v>
      </c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106">
        <f t="shared" si="1"/>
        <v>42</v>
      </c>
      <c r="B73" s="114" t="s">
        <v>230</v>
      </c>
      <c r="C73" s="120" t="s">
        <v>231</v>
      </c>
      <c r="D73" s="121" t="s">
        <v>232</v>
      </c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106">
        <f t="shared" si="1"/>
        <v>43</v>
      </c>
      <c r="B74" s="117" t="s">
        <v>233</v>
      </c>
      <c r="C74" s="120" t="s">
        <v>234</v>
      </c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106">
        <f t="shared" si="1"/>
        <v>44</v>
      </c>
      <c r="B75" s="117" t="s">
        <v>235</v>
      </c>
      <c r="C75" s="117" t="s">
        <v>236</v>
      </c>
      <c r="D75" s="121" t="s">
        <v>237</v>
      </c>
      <c r="E75" s="117" t="s">
        <v>32</v>
      </c>
      <c r="F75" s="117" t="s">
        <v>32</v>
      </c>
      <c r="G75" s="118" t="s">
        <v>25</v>
      </c>
      <c r="H75" s="118" t="s">
        <v>25</v>
      </c>
      <c r="I75" s="118" t="s">
        <v>25</v>
      </c>
      <c r="J75" s="115"/>
      <c r="K75" s="115"/>
      <c r="L75" s="115"/>
      <c r="M75" s="115"/>
      <c r="N75" s="115"/>
      <c r="O75" s="115"/>
      <c r="P75" s="115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06">
        <f t="shared" si="1"/>
        <v>45</v>
      </c>
      <c r="B76" s="117" t="s">
        <v>238</v>
      </c>
      <c r="C76" s="117" t="s">
        <v>239</v>
      </c>
      <c r="D76" s="121" t="s">
        <v>240</v>
      </c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06">
        <f t="shared" si="1"/>
        <v>46</v>
      </c>
      <c r="B77" s="114" t="s">
        <v>241</v>
      </c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22">
        <f t="shared" si="1"/>
        <v>47</v>
      </c>
      <c r="B78" s="123" t="s">
        <v>242</v>
      </c>
      <c r="C78" s="124" t="s">
        <v>243</v>
      </c>
      <c r="D78" s="125" t="s">
        <v>244</v>
      </c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22">
        <f t="shared" si="1"/>
        <v>48</v>
      </c>
      <c r="B79" s="126"/>
      <c r="C79" s="126"/>
      <c r="D79" s="127" t="s">
        <v>245</v>
      </c>
      <c r="E79" s="126"/>
      <c r="F79" s="126"/>
      <c r="G79" s="126"/>
      <c r="H79" s="126"/>
      <c r="I79" s="118" t="s">
        <v>25</v>
      </c>
      <c r="J79" s="126"/>
      <c r="K79" s="126"/>
      <c r="L79" s="126"/>
      <c r="M79" s="126"/>
      <c r="N79" s="126"/>
      <c r="O79" s="126"/>
      <c r="P79" s="126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22">
        <f t="shared" si="1"/>
        <v>49</v>
      </c>
      <c r="B80" s="126"/>
      <c r="C80" s="124" t="s">
        <v>246</v>
      </c>
      <c r="D80" s="124" t="s">
        <v>247</v>
      </c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22">
        <f t="shared" si="1"/>
        <v>50</v>
      </c>
      <c r="B81" s="126"/>
      <c r="C81" s="124" t="s">
        <v>246</v>
      </c>
      <c r="D81" s="124" t="s">
        <v>248</v>
      </c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22">
        <f t="shared" si="1"/>
        <v>51</v>
      </c>
      <c r="B82" s="124" t="s">
        <v>249</v>
      </c>
      <c r="C82" s="124" t="s">
        <v>250</v>
      </c>
      <c r="D82" s="124" t="s">
        <v>251</v>
      </c>
      <c r="E82" s="122"/>
      <c r="F82" s="122"/>
      <c r="G82" s="122"/>
      <c r="H82" s="122"/>
      <c r="I82" s="118" t="s">
        <v>25</v>
      </c>
      <c r="J82" s="122"/>
      <c r="K82" s="122"/>
      <c r="L82" s="122"/>
      <c r="M82" s="122"/>
      <c r="N82" s="122"/>
      <c r="O82" s="122"/>
      <c r="P82" s="12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22">
        <f t="shared" si="1"/>
        <v>52</v>
      </c>
      <c r="B83" s="124" t="s">
        <v>252</v>
      </c>
      <c r="C83" s="126"/>
      <c r="D83" s="127" t="s">
        <v>253</v>
      </c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22">
        <f t="shared" si="1"/>
        <v>53</v>
      </c>
      <c r="B84" s="124" t="s">
        <v>254</v>
      </c>
      <c r="C84" s="126"/>
      <c r="D84" s="124" t="s">
        <v>255</v>
      </c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22">
        <f t="shared" si="1"/>
        <v>54</v>
      </c>
      <c r="B85" s="124" t="s">
        <v>256</v>
      </c>
      <c r="C85" s="126"/>
      <c r="D85" s="124" t="s">
        <v>257</v>
      </c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22">
        <f t="shared" si="1"/>
        <v>55</v>
      </c>
      <c r="B86" s="126"/>
      <c r="C86" s="124" t="s">
        <v>258</v>
      </c>
      <c r="D86" s="127" t="s">
        <v>259</v>
      </c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22">
        <f t="shared" si="1"/>
        <v>56</v>
      </c>
      <c r="B87" s="126"/>
      <c r="C87" s="127" t="s">
        <v>260</v>
      </c>
      <c r="D87" s="127" t="s">
        <v>261</v>
      </c>
      <c r="E87" s="122"/>
      <c r="F87" s="122"/>
      <c r="G87" s="122"/>
      <c r="H87" s="128"/>
      <c r="I87" s="122"/>
      <c r="J87" s="122"/>
      <c r="K87" s="122"/>
      <c r="L87" s="122"/>
      <c r="M87" s="122"/>
      <c r="N87" s="122"/>
      <c r="O87" s="122"/>
      <c r="P87" s="12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22">
        <f t="shared" si="1"/>
        <v>57</v>
      </c>
      <c r="B88" s="126"/>
      <c r="C88" s="124" t="s">
        <v>262</v>
      </c>
      <c r="D88" s="127" t="s">
        <v>263</v>
      </c>
      <c r="E88" s="129" t="s">
        <v>32</v>
      </c>
      <c r="F88" s="130"/>
      <c r="G88" s="130"/>
      <c r="H88" s="130"/>
      <c r="I88" s="130" t="s">
        <v>25</v>
      </c>
      <c r="J88" s="122"/>
      <c r="K88" s="122"/>
      <c r="L88" s="122"/>
      <c r="M88" s="122"/>
      <c r="N88" s="122"/>
      <c r="O88" s="122"/>
      <c r="P88" s="12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122">
        <f t="shared" si="1"/>
        <v>58</v>
      </c>
      <c r="B89" s="126"/>
      <c r="C89" s="124" t="s">
        <v>264</v>
      </c>
      <c r="D89" s="127" t="s">
        <v>265</v>
      </c>
      <c r="E89" s="129" t="s">
        <v>32</v>
      </c>
      <c r="F89" s="129"/>
      <c r="G89" s="129"/>
      <c r="H89" s="130"/>
      <c r="I89" s="130" t="s">
        <v>25</v>
      </c>
      <c r="J89" s="122"/>
      <c r="K89" s="122"/>
      <c r="L89" s="122"/>
      <c r="M89" s="122"/>
      <c r="N89" s="122"/>
      <c r="O89" s="122"/>
      <c r="P89" s="12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122">
        <f t="shared" si="1"/>
        <v>59</v>
      </c>
      <c r="B90" s="126"/>
      <c r="C90" s="124" t="s">
        <v>266</v>
      </c>
      <c r="D90" s="124" t="s">
        <v>267</v>
      </c>
      <c r="E90" s="129" t="s">
        <v>32</v>
      </c>
      <c r="F90" s="129"/>
      <c r="G90" s="129"/>
      <c r="H90" s="130"/>
      <c r="I90" s="130" t="s">
        <v>25</v>
      </c>
      <c r="J90" s="122"/>
      <c r="K90" s="122"/>
      <c r="L90" s="122"/>
      <c r="M90" s="122"/>
      <c r="N90" s="122"/>
      <c r="O90" s="122"/>
      <c r="P90" s="12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122">
        <f t="shared" si="1"/>
        <v>60</v>
      </c>
      <c r="B91" s="126"/>
      <c r="C91" s="124" t="s">
        <v>268</v>
      </c>
      <c r="D91" s="124" t="s">
        <v>269</v>
      </c>
      <c r="E91" s="129" t="s">
        <v>32</v>
      </c>
      <c r="F91" s="130"/>
      <c r="G91" s="130"/>
      <c r="H91" s="130"/>
      <c r="I91" s="130" t="s">
        <v>25</v>
      </c>
      <c r="J91" s="122"/>
      <c r="K91" s="122"/>
      <c r="L91" s="122"/>
      <c r="M91" s="122"/>
      <c r="N91" s="122"/>
      <c r="O91" s="122"/>
      <c r="P91" s="12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22">
        <f t="shared" si="1"/>
        <v>61</v>
      </c>
      <c r="B92" s="126"/>
      <c r="C92" s="126"/>
      <c r="D92" s="126"/>
      <c r="E92" s="124"/>
      <c r="F92" s="124"/>
      <c r="G92" s="124"/>
      <c r="H92" s="124" t="s">
        <v>32</v>
      </c>
      <c r="I92" s="126"/>
      <c r="J92" s="126"/>
      <c r="K92" s="126"/>
      <c r="L92" s="126"/>
      <c r="M92" s="126"/>
      <c r="N92" s="126"/>
      <c r="O92" s="126"/>
      <c r="P92" s="126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106">
        <f t="shared" si="1"/>
        <v>62</v>
      </c>
      <c r="B93" s="131" t="s">
        <v>270</v>
      </c>
      <c r="C93" s="132"/>
      <c r="D93" s="131" t="s">
        <v>271</v>
      </c>
      <c r="E93" s="17" t="s">
        <v>25</v>
      </c>
      <c r="F93" s="17" t="s">
        <v>25</v>
      </c>
      <c r="G93" s="132"/>
      <c r="H93" s="17" t="s">
        <v>25</v>
      </c>
      <c r="I93" s="132"/>
      <c r="J93" s="132"/>
      <c r="K93" s="132"/>
      <c r="L93" s="132"/>
      <c r="M93" s="132"/>
      <c r="N93" s="132"/>
      <c r="O93" s="132"/>
      <c r="P93" s="13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06">
        <f t="shared" si="1"/>
        <v>63</v>
      </c>
      <c r="B94" s="131" t="s">
        <v>272</v>
      </c>
      <c r="C94" s="132"/>
      <c r="D94" s="131" t="s">
        <v>273</v>
      </c>
      <c r="E94" s="17" t="s">
        <v>25</v>
      </c>
      <c r="F94" s="132"/>
      <c r="G94" s="132"/>
      <c r="H94" s="17" t="s">
        <v>25</v>
      </c>
      <c r="I94" s="132"/>
      <c r="J94" s="132"/>
      <c r="K94" s="132"/>
      <c r="L94" s="132"/>
      <c r="M94" s="132"/>
      <c r="N94" s="132"/>
      <c r="O94" s="132"/>
      <c r="P94" s="13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06">
        <f t="shared" si="1"/>
        <v>64</v>
      </c>
      <c r="B95" s="132"/>
      <c r="C95" s="132"/>
      <c r="D95" s="131" t="s">
        <v>274</v>
      </c>
      <c r="E95" s="17" t="s">
        <v>25</v>
      </c>
      <c r="F95" s="17" t="s">
        <v>25</v>
      </c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106">
        <f t="shared" si="1"/>
        <v>65</v>
      </c>
      <c r="B96" s="132"/>
      <c r="C96" s="132"/>
      <c r="D96" s="131" t="s">
        <v>275</v>
      </c>
      <c r="E96" s="17" t="s">
        <v>25</v>
      </c>
      <c r="F96" s="17" t="s">
        <v>25</v>
      </c>
      <c r="G96" s="17" t="s">
        <v>25</v>
      </c>
      <c r="H96" s="131" t="s">
        <v>32</v>
      </c>
      <c r="I96" s="131" t="s">
        <v>32</v>
      </c>
      <c r="J96" s="131" t="s">
        <v>32</v>
      </c>
      <c r="K96" s="131" t="s">
        <v>32</v>
      </c>
      <c r="L96" s="131" t="s">
        <v>32</v>
      </c>
      <c r="M96" s="131" t="s">
        <v>32</v>
      </c>
      <c r="N96" s="131" t="s">
        <v>32</v>
      </c>
      <c r="O96" s="132"/>
      <c r="P96" s="13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106">
        <f t="shared" si="1"/>
        <v>66</v>
      </c>
      <c r="B97" s="131" t="s">
        <v>276</v>
      </c>
      <c r="C97" s="132"/>
      <c r="D97" s="131" t="s">
        <v>277</v>
      </c>
      <c r="H97" s="132"/>
      <c r="I97" s="132"/>
      <c r="J97" s="132"/>
      <c r="K97" s="132"/>
      <c r="L97" s="132"/>
      <c r="M97" s="132"/>
      <c r="N97" s="132"/>
      <c r="O97" s="132"/>
      <c r="P97" s="13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106">
        <f t="shared" si="1"/>
        <v>67</v>
      </c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133">
        <f t="shared" si="1"/>
        <v>68</v>
      </c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133">
        <f t="shared" si="1"/>
        <v>69</v>
      </c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133">
        <f t="shared" si="1"/>
        <v>70</v>
      </c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5" t="s">
        <v>3</v>
      </c>
      <c r="B111" s="135" t="s">
        <v>278</v>
      </c>
      <c r="C111" s="95" t="s">
        <v>279</v>
      </c>
      <c r="D111" s="95" t="s">
        <v>280</v>
      </c>
      <c r="E111" s="56" t="s">
        <v>281</v>
      </c>
      <c r="F111" s="8"/>
      <c r="G111" s="56" t="s">
        <v>282</v>
      </c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8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10"/>
      <c r="B112" s="10"/>
      <c r="C112" s="10"/>
      <c r="D112" s="10"/>
      <c r="E112" s="83" t="s">
        <v>73</v>
      </c>
      <c r="F112" s="83" t="s">
        <v>283</v>
      </c>
      <c r="G112" s="83" t="s">
        <v>110</v>
      </c>
      <c r="H112" s="83" t="s">
        <v>111</v>
      </c>
      <c r="I112" s="83" t="s">
        <v>112</v>
      </c>
      <c r="J112" s="83" t="s">
        <v>113</v>
      </c>
      <c r="K112" s="83" t="s">
        <v>92</v>
      </c>
      <c r="L112" s="83" t="s">
        <v>114</v>
      </c>
      <c r="M112" s="83" t="s">
        <v>115</v>
      </c>
      <c r="N112" s="83" t="s">
        <v>116</v>
      </c>
      <c r="O112" s="83" t="s">
        <v>117</v>
      </c>
      <c r="P112" s="83" t="s">
        <v>118</v>
      </c>
      <c r="Q112" s="83" t="s">
        <v>119</v>
      </c>
      <c r="R112" s="102" t="s">
        <v>120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8">
        <v>1.0</v>
      </c>
      <c r="B113" s="98">
        <v>2.0</v>
      </c>
      <c r="C113" s="98">
        <v>3.0</v>
      </c>
      <c r="D113" s="98">
        <v>4.0</v>
      </c>
      <c r="E113" s="98">
        <v>5.0</v>
      </c>
      <c r="F113" s="98">
        <v>6.0</v>
      </c>
      <c r="G113" s="98">
        <v>7.0</v>
      </c>
      <c r="H113" s="98">
        <v>8.0</v>
      </c>
      <c r="I113" s="98">
        <v>9.0</v>
      </c>
      <c r="J113" s="98">
        <v>10.0</v>
      </c>
      <c r="K113" s="98">
        <v>11.0</v>
      </c>
      <c r="L113" s="98">
        <v>12.0</v>
      </c>
      <c r="M113" s="98">
        <v>13.0</v>
      </c>
      <c r="N113" s="98">
        <v>14.0</v>
      </c>
      <c r="O113" s="98">
        <v>15.0</v>
      </c>
      <c r="P113" s="98">
        <v>16.0</v>
      </c>
      <c r="Q113" s="98">
        <v>17.0</v>
      </c>
      <c r="R113" s="98">
        <v>18.0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102">
        <v>1.0</v>
      </c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102">
        <v>2.0</v>
      </c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102">
        <v>3.0</v>
      </c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102">
        <v>4.0</v>
      </c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102">
        <v>5.0</v>
      </c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102">
        <v>6.0</v>
      </c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102">
        <v>7.0</v>
      </c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102">
        <v>8.0</v>
      </c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3" t="s">
        <v>284</v>
      </c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5" t="s">
        <v>3</v>
      </c>
      <c r="B126" s="95" t="s">
        <v>285</v>
      </c>
      <c r="C126" s="95" t="s">
        <v>279</v>
      </c>
      <c r="D126" s="95" t="s">
        <v>280</v>
      </c>
      <c r="E126" s="56" t="s">
        <v>281</v>
      </c>
      <c r="F126" s="8"/>
      <c r="G126" s="56" t="s">
        <v>286</v>
      </c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8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10"/>
      <c r="B127" s="10"/>
      <c r="C127" s="10"/>
      <c r="D127" s="10"/>
      <c r="E127" s="83" t="s">
        <v>73</v>
      </c>
      <c r="F127" s="83" t="s">
        <v>283</v>
      </c>
      <c r="G127" s="83" t="s">
        <v>110</v>
      </c>
      <c r="H127" s="83" t="s">
        <v>111</v>
      </c>
      <c r="I127" s="83" t="s">
        <v>112</v>
      </c>
      <c r="J127" s="83" t="s">
        <v>113</v>
      </c>
      <c r="K127" s="83" t="s">
        <v>92</v>
      </c>
      <c r="L127" s="83" t="s">
        <v>114</v>
      </c>
      <c r="M127" s="83" t="s">
        <v>115</v>
      </c>
      <c r="N127" s="83" t="s">
        <v>116</v>
      </c>
      <c r="O127" s="83" t="s">
        <v>117</v>
      </c>
      <c r="P127" s="83" t="s">
        <v>118</v>
      </c>
      <c r="Q127" s="83" t="s">
        <v>119</v>
      </c>
      <c r="R127" s="102" t="s">
        <v>120</v>
      </c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8">
        <v>1.0</v>
      </c>
      <c r="B128" s="98">
        <v>2.0</v>
      </c>
      <c r="C128" s="98">
        <v>3.0</v>
      </c>
      <c r="D128" s="98">
        <v>4.0</v>
      </c>
      <c r="E128" s="98">
        <v>5.0</v>
      </c>
      <c r="F128" s="98">
        <v>6.0</v>
      </c>
      <c r="G128" s="98">
        <v>7.0</v>
      </c>
      <c r="H128" s="98">
        <v>8.0</v>
      </c>
      <c r="I128" s="98">
        <v>9.0</v>
      </c>
      <c r="J128" s="98">
        <v>10.0</v>
      </c>
      <c r="K128" s="98">
        <v>11.0</v>
      </c>
      <c r="L128" s="98">
        <v>12.0</v>
      </c>
      <c r="M128" s="98">
        <v>13.0</v>
      </c>
      <c r="N128" s="98">
        <v>14.0</v>
      </c>
      <c r="O128" s="98">
        <v>15.0</v>
      </c>
      <c r="P128" s="98">
        <v>16.0</v>
      </c>
      <c r="Q128" s="98">
        <v>17.0</v>
      </c>
      <c r="R128" s="98">
        <v>18.0</v>
      </c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102">
        <v>1.0</v>
      </c>
      <c r="B129" s="102" t="s">
        <v>287</v>
      </c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102">
        <v>2.0</v>
      </c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102">
        <v>3.0</v>
      </c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102">
        <v>4.0</v>
      </c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102">
        <v>5.0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102">
        <v>6.0</v>
      </c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102">
        <v>7.0</v>
      </c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102">
        <v>8.0</v>
      </c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93" t="s">
        <v>288</v>
      </c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95" t="s">
        <v>3</v>
      </c>
      <c r="B141" s="95" t="s">
        <v>281</v>
      </c>
      <c r="C141" s="95" t="s">
        <v>279</v>
      </c>
      <c r="D141" s="95" t="s">
        <v>280</v>
      </c>
      <c r="E141" s="56" t="s">
        <v>281</v>
      </c>
      <c r="F141" s="8"/>
      <c r="G141" s="56" t="s">
        <v>289</v>
      </c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8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10"/>
      <c r="B142" s="10"/>
      <c r="C142" s="10"/>
      <c r="D142" s="10"/>
      <c r="E142" s="83" t="s">
        <v>73</v>
      </c>
      <c r="F142" s="83" t="s">
        <v>283</v>
      </c>
      <c r="G142" s="83" t="s">
        <v>110</v>
      </c>
      <c r="H142" s="83" t="s">
        <v>111</v>
      </c>
      <c r="I142" s="83" t="s">
        <v>112</v>
      </c>
      <c r="J142" s="83" t="s">
        <v>113</v>
      </c>
      <c r="K142" s="83" t="s">
        <v>92</v>
      </c>
      <c r="L142" s="83" t="s">
        <v>114</v>
      </c>
      <c r="M142" s="83" t="s">
        <v>115</v>
      </c>
      <c r="N142" s="83" t="s">
        <v>116</v>
      </c>
      <c r="O142" s="83" t="s">
        <v>117</v>
      </c>
      <c r="P142" s="83" t="s">
        <v>118</v>
      </c>
      <c r="Q142" s="83" t="s">
        <v>119</v>
      </c>
      <c r="R142" s="102" t="s">
        <v>120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8">
        <v>1.0</v>
      </c>
      <c r="B143" s="98">
        <v>2.0</v>
      </c>
      <c r="C143" s="98">
        <v>3.0</v>
      </c>
      <c r="D143" s="98">
        <v>4.0</v>
      </c>
      <c r="E143" s="98">
        <v>5.0</v>
      </c>
      <c r="F143" s="98">
        <v>6.0</v>
      </c>
      <c r="G143" s="98">
        <v>7.0</v>
      </c>
      <c r="H143" s="98">
        <v>8.0</v>
      </c>
      <c r="I143" s="98">
        <v>9.0</v>
      </c>
      <c r="J143" s="98">
        <v>10.0</v>
      </c>
      <c r="K143" s="98">
        <v>11.0</v>
      </c>
      <c r="L143" s="98">
        <v>12.0</v>
      </c>
      <c r="M143" s="98">
        <v>13.0</v>
      </c>
      <c r="N143" s="98">
        <v>14.0</v>
      </c>
      <c r="O143" s="98">
        <v>15.0</v>
      </c>
      <c r="P143" s="98">
        <v>16.0</v>
      </c>
      <c r="Q143" s="98">
        <v>17.0</v>
      </c>
      <c r="R143" s="98">
        <v>18.0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102">
        <v>1.0</v>
      </c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102">
        <v>2.0</v>
      </c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102">
        <v>3.0</v>
      </c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102">
        <v>4.0</v>
      </c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102">
        <v>5.0</v>
      </c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102">
        <v>6.0</v>
      </c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102">
        <v>7.0</v>
      </c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102">
        <v>8.0</v>
      </c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93" t="s">
        <v>290</v>
      </c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D111:D112"/>
    <mergeCell ref="A140:C140"/>
    <mergeCell ref="A141:A142"/>
    <mergeCell ref="B141:B142"/>
    <mergeCell ref="C141:C142"/>
    <mergeCell ref="D141:D142"/>
    <mergeCell ref="E141:F141"/>
    <mergeCell ref="D201:F201"/>
    <mergeCell ref="A111:A112"/>
    <mergeCell ref="A125:C125"/>
    <mergeCell ref="A126:A127"/>
    <mergeCell ref="B126:B127"/>
    <mergeCell ref="C126:C127"/>
    <mergeCell ref="D126:D127"/>
    <mergeCell ref="E126:F12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B111:B112"/>
    <mergeCell ref="C111:C112"/>
    <mergeCell ref="E111:F111"/>
    <mergeCell ref="G111:R111"/>
    <mergeCell ref="G126:R126"/>
    <mergeCell ref="G141:R1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20.25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291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8" t="s">
        <v>3</v>
      </c>
      <c r="B4" s="58" t="s">
        <v>63</v>
      </c>
      <c r="C4" s="57" t="s">
        <v>292</v>
      </c>
      <c r="D4" s="33"/>
      <c r="E4" s="8"/>
      <c r="F4" s="136" t="s">
        <v>293</v>
      </c>
      <c r="G4" s="57" t="s">
        <v>294</v>
      </c>
      <c r="H4" s="33"/>
      <c r="I4" s="33"/>
      <c r="J4" s="33"/>
      <c r="K4" s="33"/>
      <c r="L4" s="33"/>
      <c r="M4" s="33"/>
      <c r="N4" s="8"/>
      <c r="O4" s="57" t="s">
        <v>295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137" t="s">
        <v>296</v>
      </c>
      <c r="AB4" s="138" t="s">
        <v>297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60" t="s">
        <v>298</v>
      </c>
      <c r="BA4" s="33"/>
      <c r="BB4" s="33"/>
      <c r="BC4" s="8"/>
      <c r="BD4" s="58" t="s">
        <v>299</v>
      </c>
    </row>
    <row r="5">
      <c r="A5" s="67"/>
      <c r="B5" s="67"/>
      <c r="C5" s="139" t="s">
        <v>33</v>
      </c>
      <c r="D5" s="139" t="s">
        <v>300</v>
      </c>
      <c r="E5" s="139" t="s">
        <v>301</v>
      </c>
      <c r="F5" s="67"/>
      <c r="G5" s="139" t="s">
        <v>302</v>
      </c>
      <c r="H5" s="139" t="s">
        <v>303</v>
      </c>
      <c r="I5" s="139" t="s">
        <v>304</v>
      </c>
      <c r="J5" s="139" t="s">
        <v>305</v>
      </c>
      <c r="K5" s="139" t="s">
        <v>306</v>
      </c>
      <c r="L5" s="139" t="s">
        <v>307</v>
      </c>
      <c r="M5" s="139" t="s">
        <v>308</v>
      </c>
      <c r="N5" s="139" t="s">
        <v>309</v>
      </c>
      <c r="O5" s="140" t="s">
        <v>310</v>
      </c>
      <c r="P5" s="63"/>
      <c r="Q5" s="140" t="s">
        <v>311</v>
      </c>
      <c r="R5" s="63"/>
      <c r="S5" s="140" t="s">
        <v>312</v>
      </c>
      <c r="T5" s="63"/>
      <c r="U5" s="140" t="s">
        <v>313</v>
      </c>
      <c r="V5" s="63"/>
      <c r="W5" s="140" t="s">
        <v>314</v>
      </c>
      <c r="X5" s="63"/>
      <c r="Y5" s="140" t="s">
        <v>315</v>
      </c>
      <c r="Z5" s="63"/>
      <c r="AA5" s="67"/>
      <c r="AB5" s="140" t="s">
        <v>316</v>
      </c>
      <c r="AC5" s="63"/>
      <c r="AD5" s="140" t="s">
        <v>317</v>
      </c>
      <c r="AE5" s="62"/>
      <c r="AF5" s="62"/>
      <c r="AG5" s="62"/>
      <c r="AH5" s="62"/>
      <c r="AI5" s="63"/>
      <c r="AJ5" s="140" t="s">
        <v>318</v>
      </c>
      <c r="AK5" s="62"/>
      <c r="AL5" s="62"/>
      <c r="AM5" s="62"/>
      <c r="AN5" s="62"/>
      <c r="AO5" s="62"/>
      <c r="AP5" s="62"/>
      <c r="AQ5" s="63"/>
      <c r="AR5" s="140" t="s">
        <v>319</v>
      </c>
      <c r="AS5" s="63"/>
      <c r="AT5" s="140" t="s">
        <v>320</v>
      </c>
      <c r="AU5" s="62"/>
      <c r="AV5" s="62"/>
      <c r="AW5" s="62"/>
      <c r="AX5" s="62"/>
      <c r="AY5" s="63"/>
      <c r="AZ5" s="140" t="s">
        <v>33</v>
      </c>
      <c r="BA5" s="63"/>
      <c r="BB5" s="140" t="s">
        <v>321</v>
      </c>
      <c r="BC5" s="63"/>
      <c r="BD5" s="67"/>
    </row>
    <row r="6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59"/>
      <c r="P6" s="65"/>
      <c r="Q6" s="59"/>
      <c r="R6" s="65"/>
      <c r="S6" s="59"/>
      <c r="T6" s="65"/>
      <c r="U6" s="59"/>
      <c r="V6" s="65"/>
      <c r="W6" s="59"/>
      <c r="X6" s="65"/>
      <c r="Y6" s="59"/>
      <c r="Z6" s="65"/>
      <c r="AA6" s="67"/>
      <c r="AB6" s="59"/>
      <c r="AC6" s="65"/>
      <c r="AD6" s="68"/>
      <c r="AE6" s="69"/>
      <c r="AF6" s="69"/>
      <c r="AG6" s="69"/>
      <c r="AH6" s="69"/>
      <c r="AI6" s="70"/>
      <c r="AJ6" s="68"/>
      <c r="AK6" s="69"/>
      <c r="AL6" s="69"/>
      <c r="AM6" s="69"/>
      <c r="AN6" s="69"/>
      <c r="AO6" s="69"/>
      <c r="AP6" s="69"/>
      <c r="AQ6" s="70"/>
      <c r="AR6" s="59"/>
      <c r="AS6" s="65"/>
      <c r="AT6" s="68"/>
      <c r="AU6" s="69"/>
      <c r="AV6" s="69"/>
      <c r="AW6" s="69"/>
      <c r="AX6" s="69"/>
      <c r="AY6" s="70"/>
      <c r="AZ6" s="59"/>
      <c r="BA6" s="65"/>
      <c r="BB6" s="59"/>
      <c r="BC6" s="65"/>
      <c r="BD6" s="67"/>
    </row>
    <row r="7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59"/>
      <c r="P7" s="65"/>
      <c r="Q7" s="59"/>
      <c r="R7" s="65"/>
      <c r="S7" s="59"/>
      <c r="T7" s="65"/>
      <c r="U7" s="59"/>
      <c r="V7" s="65"/>
      <c r="W7" s="59"/>
      <c r="X7" s="65"/>
      <c r="Y7" s="59"/>
      <c r="Z7" s="65"/>
      <c r="AA7" s="67"/>
      <c r="AB7" s="59"/>
      <c r="AC7" s="65"/>
      <c r="AD7" s="140" t="s">
        <v>322</v>
      </c>
      <c r="AE7" s="63"/>
      <c r="AF7" s="140" t="s">
        <v>323</v>
      </c>
      <c r="AG7" s="63"/>
      <c r="AH7" s="140" t="s">
        <v>324</v>
      </c>
      <c r="AI7" s="63"/>
      <c r="AJ7" s="140" t="s">
        <v>322</v>
      </c>
      <c r="AK7" s="63"/>
      <c r="AL7" s="140" t="s">
        <v>323</v>
      </c>
      <c r="AM7" s="63"/>
      <c r="AN7" s="140" t="s">
        <v>324</v>
      </c>
      <c r="AO7" s="63"/>
      <c r="AP7" s="140" t="s">
        <v>325</v>
      </c>
      <c r="AQ7" s="63"/>
      <c r="AR7" s="59"/>
      <c r="AS7" s="65"/>
      <c r="AT7" s="140" t="s">
        <v>322</v>
      </c>
      <c r="AU7" s="63"/>
      <c r="AV7" s="140" t="s">
        <v>323</v>
      </c>
      <c r="AW7" s="63"/>
      <c r="AX7" s="140" t="s">
        <v>324</v>
      </c>
      <c r="AY7" s="63"/>
      <c r="AZ7" s="59"/>
      <c r="BA7" s="65"/>
      <c r="BB7" s="59"/>
      <c r="BC7" s="65"/>
      <c r="BD7" s="67"/>
    </row>
    <row r="8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59"/>
      <c r="P8" s="65"/>
      <c r="Q8" s="68"/>
      <c r="R8" s="70"/>
      <c r="S8" s="68"/>
      <c r="T8" s="70"/>
      <c r="U8" s="68"/>
      <c r="V8" s="70"/>
      <c r="W8" s="68"/>
      <c r="X8" s="70"/>
      <c r="Y8" s="68"/>
      <c r="Z8" s="70"/>
      <c r="AA8" s="10"/>
      <c r="AB8" s="68"/>
      <c r="AC8" s="70"/>
      <c r="AD8" s="68"/>
      <c r="AE8" s="70"/>
      <c r="AF8" s="68"/>
      <c r="AG8" s="70"/>
      <c r="AH8" s="68"/>
      <c r="AI8" s="70"/>
      <c r="AJ8" s="68"/>
      <c r="AK8" s="70"/>
      <c r="AL8" s="68"/>
      <c r="AM8" s="70"/>
      <c r="AN8" s="68"/>
      <c r="AO8" s="70"/>
      <c r="AP8" s="68"/>
      <c r="AQ8" s="70"/>
      <c r="AR8" s="68"/>
      <c r="AS8" s="70"/>
      <c r="AT8" s="68"/>
      <c r="AU8" s="70"/>
      <c r="AV8" s="68"/>
      <c r="AW8" s="70"/>
      <c r="AX8" s="68"/>
      <c r="AY8" s="70"/>
      <c r="AZ8" s="68"/>
      <c r="BA8" s="70"/>
      <c r="BB8" s="68"/>
      <c r="BC8" s="70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41" t="s">
        <v>86</v>
      </c>
      <c r="P9" s="141" t="s">
        <v>87</v>
      </c>
      <c r="Q9" s="142" t="s">
        <v>86</v>
      </c>
      <c r="R9" s="142" t="s">
        <v>87</v>
      </c>
      <c r="S9" s="142" t="s">
        <v>86</v>
      </c>
      <c r="T9" s="142" t="s">
        <v>87</v>
      </c>
      <c r="U9" s="142" t="s">
        <v>86</v>
      </c>
      <c r="V9" s="142" t="s">
        <v>87</v>
      </c>
      <c r="W9" s="142" t="s">
        <v>86</v>
      </c>
      <c r="X9" s="142" t="s">
        <v>87</v>
      </c>
      <c r="Y9" s="142" t="s">
        <v>86</v>
      </c>
      <c r="Z9" s="142" t="s">
        <v>87</v>
      </c>
      <c r="AA9" s="23"/>
      <c r="AB9" s="142" t="s">
        <v>86</v>
      </c>
      <c r="AC9" s="142" t="s">
        <v>87</v>
      </c>
      <c r="AD9" s="142" t="s">
        <v>86</v>
      </c>
      <c r="AE9" s="142" t="s">
        <v>87</v>
      </c>
      <c r="AF9" s="142" t="s">
        <v>86</v>
      </c>
      <c r="AG9" s="142" t="s">
        <v>87</v>
      </c>
      <c r="AH9" s="142" t="s">
        <v>86</v>
      </c>
      <c r="AI9" s="142" t="s">
        <v>87</v>
      </c>
      <c r="AJ9" s="142" t="s">
        <v>86</v>
      </c>
      <c r="AK9" s="142" t="s">
        <v>87</v>
      </c>
      <c r="AL9" s="142" t="s">
        <v>86</v>
      </c>
      <c r="AM9" s="142" t="s">
        <v>87</v>
      </c>
      <c r="AN9" s="142" t="s">
        <v>86</v>
      </c>
      <c r="AO9" s="142" t="s">
        <v>87</v>
      </c>
      <c r="AP9" s="142" t="s">
        <v>86</v>
      </c>
      <c r="AQ9" s="142" t="s">
        <v>87</v>
      </c>
      <c r="AR9" s="142" t="s">
        <v>86</v>
      </c>
      <c r="AS9" s="142" t="s">
        <v>87</v>
      </c>
      <c r="AT9" s="142" t="s">
        <v>86</v>
      </c>
      <c r="AU9" s="142" t="s">
        <v>87</v>
      </c>
      <c r="AV9" s="142" t="s">
        <v>86</v>
      </c>
      <c r="AW9" s="142" t="s">
        <v>87</v>
      </c>
      <c r="AX9" s="142" t="s">
        <v>86</v>
      </c>
      <c r="AY9" s="142" t="s">
        <v>87</v>
      </c>
      <c r="AZ9" s="142" t="s">
        <v>86</v>
      </c>
      <c r="BA9" s="142" t="s">
        <v>87</v>
      </c>
      <c r="BB9" s="142" t="s">
        <v>86</v>
      </c>
      <c r="BC9" s="142" t="s">
        <v>87</v>
      </c>
      <c r="BD9" s="23"/>
    </row>
    <row r="10">
      <c r="A10" s="75">
        <v>1.0</v>
      </c>
      <c r="B10" s="76">
        <v>2.0</v>
      </c>
      <c r="C10" s="76">
        <v>3.0</v>
      </c>
      <c r="D10" s="76">
        <v>4.0</v>
      </c>
      <c r="E10" s="76">
        <v>5.0</v>
      </c>
      <c r="F10" s="76">
        <v>6.0</v>
      </c>
      <c r="G10" s="76">
        <v>7.0</v>
      </c>
      <c r="H10" s="76">
        <v>8.0</v>
      </c>
      <c r="I10" s="76">
        <v>9.0</v>
      </c>
      <c r="J10" s="76">
        <v>10.0</v>
      </c>
      <c r="K10" s="76">
        <v>11.0</v>
      </c>
      <c r="L10" s="76">
        <v>12.0</v>
      </c>
      <c r="M10" s="76">
        <v>13.0</v>
      </c>
      <c r="N10" s="76">
        <v>14.0</v>
      </c>
      <c r="O10" s="76">
        <v>15.0</v>
      </c>
      <c r="P10" s="76">
        <v>16.0</v>
      </c>
      <c r="Q10" s="76">
        <v>17.0</v>
      </c>
      <c r="R10" s="76">
        <v>18.0</v>
      </c>
      <c r="S10" s="76">
        <v>19.0</v>
      </c>
      <c r="T10" s="76">
        <v>20.0</v>
      </c>
      <c r="U10" s="76">
        <v>21.0</v>
      </c>
      <c r="V10" s="76">
        <v>22.0</v>
      </c>
      <c r="W10" s="76">
        <v>23.0</v>
      </c>
      <c r="X10" s="76">
        <v>24.0</v>
      </c>
      <c r="Y10" s="76">
        <v>25.0</v>
      </c>
      <c r="Z10" s="76">
        <v>26.0</v>
      </c>
      <c r="AA10" s="76">
        <v>27.0</v>
      </c>
      <c r="AB10" s="76">
        <v>28.0</v>
      </c>
      <c r="AC10" s="76">
        <v>29.0</v>
      </c>
      <c r="AD10" s="76">
        <v>30.0</v>
      </c>
      <c r="AE10" s="76">
        <v>31.0</v>
      </c>
      <c r="AF10" s="76">
        <v>32.0</v>
      </c>
      <c r="AG10" s="76">
        <v>33.0</v>
      </c>
      <c r="AH10" s="76">
        <v>34.0</v>
      </c>
      <c r="AI10" s="76">
        <v>35.0</v>
      </c>
      <c r="AJ10" s="76">
        <v>36.0</v>
      </c>
      <c r="AK10" s="76">
        <v>37.0</v>
      </c>
      <c r="AL10" s="76">
        <v>38.0</v>
      </c>
      <c r="AM10" s="76">
        <v>39.0</v>
      </c>
      <c r="AN10" s="76">
        <v>40.0</v>
      </c>
      <c r="AO10" s="76">
        <v>41.0</v>
      </c>
      <c r="AP10" s="76">
        <v>42.0</v>
      </c>
      <c r="AQ10" s="76">
        <v>43.0</v>
      </c>
      <c r="AR10" s="76">
        <v>44.0</v>
      </c>
      <c r="AS10" s="76">
        <v>45.0</v>
      </c>
      <c r="AT10" s="76">
        <v>46.0</v>
      </c>
      <c r="AU10" s="76">
        <v>47.0</v>
      </c>
      <c r="AV10" s="76">
        <v>48.0</v>
      </c>
      <c r="AW10" s="76">
        <v>49.0</v>
      </c>
      <c r="AX10" s="76">
        <v>50.0</v>
      </c>
      <c r="AY10" s="76">
        <v>51.0</v>
      </c>
      <c r="AZ10" s="76">
        <v>52.0</v>
      </c>
      <c r="BA10" s="76">
        <v>53.0</v>
      </c>
      <c r="BB10" s="76">
        <v>54.0</v>
      </c>
      <c r="BC10" s="76">
        <v>55.0</v>
      </c>
      <c r="BD10" s="76">
        <v>56.0</v>
      </c>
    </row>
    <row r="11">
      <c r="A11" s="72">
        <v>1.0</v>
      </c>
      <c r="B11" s="143" t="s">
        <v>88</v>
      </c>
      <c r="C11" s="81">
        <v>15.0</v>
      </c>
      <c r="D11" s="81">
        <v>10.0</v>
      </c>
      <c r="E11" s="81">
        <v>300.0</v>
      </c>
      <c r="F11" s="80">
        <v>58.0</v>
      </c>
      <c r="G11" s="80">
        <v>89.0</v>
      </c>
      <c r="H11" s="80">
        <v>98.0</v>
      </c>
      <c r="I11" s="80">
        <v>80.0</v>
      </c>
      <c r="J11" s="81">
        <v>2.0</v>
      </c>
      <c r="K11" s="81">
        <v>10.0</v>
      </c>
      <c r="L11" s="81">
        <v>25.0</v>
      </c>
      <c r="M11" s="81">
        <v>159.0</v>
      </c>
      <c r="N11" s="81">
        <v>54.0</v>
      </c>
      <c r="O11" s="80">
        <v>58.0</v>
      </c>
      <c r="P11" s="80">
        <v>56.0</v>
      </c>
      <c r="Q11" s="80">
        <v>58.0</v>
      </c>
      <c r="R11" s="80">
        <v>56.0</v>
      </c>
      <c r="S11" s="80">
        <v>58.0</v>
      </c>
      <c r="T11" s="80">
        <v>56.0</v>
      </c>
      <c r="U11" s="81">
        <v>43.0</v>
      </c>
      <c r="V11" s="81">
        <v>39.0</v>
      </c>
      <c r="W11" s="81"/>
      <c r="X11" s="81"/>
      <c r="Y11" s="81"/>
      <c r="Z11" s="81"/>
      <c r="AA11" s="81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3"/>
    </row>
    <row r="12">
      <c r="A12" s="72">
        <v>2.0</v>
      </c>
      <c r="B12" s="143" t="s">
        <v>89</v>
      </c>
      <c r="C12" s="81">
        <v>310.0</v>
      </c>
      <c r="D12" s="81">
        <v>9.0</v>
      </c>
      <c r="E12" s="81">
        <v>270.0</v>
      </c>
      <c r="F12" s="80">
        <v>67.0</v>
      </c>
      <c r="G12" s="80">
        <v>89.0</v>
      </c>
      <c r="H12" s="80">
        <v>98.0</v>
      </c>
      <c r="I12" s="80">
        <v>80.0</v>
      </c>
      <c r="J12" s="81">
        <v>2.0</v>
      </c>
      <c r="K12" s="81">
        <v>10.0</v>
      </c>
      <c r="L12" s="81">
        <v>25.0</v>
      </c>
      <c r="M12" s="81">
        <v>159.0</v>
      </c>
      <c r="N12" s="81">
        <v>54.0</v>
      </c>
      <c r="O12" s="80">
        <v>67.0</v>
      </c>
      <c r="P12" s="80">
        <v>58.0</v>
      </c>
      <c r="Q12" s="80">
        <v>67.0</v>
      </c>
      <c r="R12" s="80">
        <v>58.0</v>
      </c>
      <c r="S12" s="80">
        <v>67.0</v>
      </c>
      <c r="T12" s="80">
        <v>58.0</v>
      </c>
      <c r="U12" s="81"/>
      <c r="V12" s="81"/>
      <c r="W12" s="81"/>
      <c r="X12" s="81"/>
      <c r="Y12" s="81"/>
      <c r="Z12" s="81"/>
      <c r="AA12" s="81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3"/>
    </row>
    <row r="13">
      <c r="A13" s="72">
        <v>3.0</v>
      </c>
      <c r="B13" s="143" t="s">
        <v>90</v>
      </c>
      <c r="C13" s="81">
        <v>13.0</v>
      </c>
      <c r="D13" s="144">
        <v>9.0</v>
      </c>
      <c r="E13" s="81">
        <v>270.0</v>
      </c>
      <c r="F13" s="80">
        <v>74.0</v>
      </c>
      <c r="G13" s="80">
        <v>89.0</v>
      </c>
      <c r="H13" s="80">
        <v>98.0</v>
      </c>
      <c r="I13" s="80">
        <v>80.0</v>
      </c>
      <c r="J13" s="81">
        <v>2.0</v>
      </c>
      <c r="K13" s="81">
        <v>10.0</v>
      </c>
      <c r="L13" s="81">
        <v>25.0</v>
      </c>
      <c r="M13" s="81">
        <v>159.0</v>
      </c>
      <c r="N13" s="81">
        <v>54.0</v>
      </c>
      <c r="O13" s="80">
        <v>74.0</v>
      </c>
      <c r="P13" s="80">
        <v>63.0</v>
      </c>
      <c r="Q13" s="80">
        <v>74.0</v>
      </c>
      <c r="R13" s="80">
        <v>63.0</v>
      </c>
      <c r="S13" s="80">
        <v>74.0</v>
      </c>
      <c r="T13" s="80">
        <v>63.0</v>
      </c>
      <c r="U13" s="81"/>
      <c r="V13" s="81"/>
      <c r="W13" s="81"/>
      <c r="X13" s="81"/>
      <c r="Y13" s="81"/>
      <c r="Z13" s="81"/>
      <c r="AA13" s="81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3"/>
    </row>
    <row r="14">
      <c r="A14" s="72">
        <v>4.0</v>
      </c>
      <c r="B14" s="143" t="s">
        <v>91</v>
      </c>
      <c r="C14" s="81">
        <v>8.0</v>
      </c>
      <c r="D14" s="144">
        <v>7.0</v>
      </c>
      <c r="E14" s="81">
        <v>210.0</v>
      </c>
      <c r="F14" s="80">
        <v>58.0</v>
      </c>
      <c r="G14" s="80">
        <v>89.0</v>
      </c>
      <c r="H14" s="80">
        <v>98.0</v>
      </c>
      <c r="I14" s="80">
        <v>80.0</v>
      </c>
      <c r="J14" s="81">
        <v>2.0</v>
      </c>
      <c r="K14" s="81">
        <v>10.0</v>
      </c>
      <c r="L14" s="81">
        <v>25.0</v>
      </c>
      <c r="M14" s="81">
        <v>159.0</v>
      </c>
      <c r="N14" s="81">
        <v>54.0</v>
      </c>
      <c r="O14" s="80">
        <v>58.0</v>
      </c>
      <c r="P14" s="80">
        <v>52.0</v>
      </c>
      <c r="Q14" s="80">
        <v>58.0</v>
      </c>
      <c r="R14" s="80">
        <v>52.0</v>
      </c>
      <c r="S14" s="80">
        <v>58.0</v>
      </c>
      <c r="T14" s="80">
        <v>52.0</v>
      </c>
      <c r="U14" s="81"/>
      <c r="V14" s="81"/>
      <c r="W14" s="81"/>
      <c r="X14" s="81"/>
      <c r="Y14" s="81"/>
      <c r="Z14" s="81"/>
      <c r="AA14" s="81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3"/>
    </row>
    <row r="15">
      <c r="A15" s="72">
        <v>5.0</v>
      </c>
      <c r="B15" s="143" t="s">
        <v>92</v>
      </c>
      <c r="C15" s="81">
        <v>9.0</v>
      </c>
      <c r="D15" s="144">
        <v>6.0</v>
      </c>
      <c r="E15" s="81">
        <v>180.0</v>
      </c>
      <c r="F15" s="80">
        <v>32.0</v>
      </c>
      <c r="G15" s="80">
        <v>89.0</v>
      </c>
      <c r="H15" s="80">
        <v>98.0</v>
      </c>
      <c r="I15" s="80">
        <v>80.0</v>
      </c>
      <c r="J15" s="81">
        <v>2.0</v>
      </c>
      <c r="K15" s="81">
        <v>10.0</v>
      </c>
      <c r="L15" s="81">
        <v>25.0</v>
      </c>
      <c r="M15" s="81">
        <v>159.0</v>
      </c>
      <c r="N15" s="81">
        <v>54.0</v>
      </c>
      <c r="O15" s="80">
        <v>32.0</v>
      </c>
      <c r="P15" s="80">
        <v>47.0</v>
      </c>
      <c r="Q15" s="80">
        <v>32.0</v>
      </c>
      <c r="R15" s="80">
        <v>47.0</v>
      </c>
      <c r="S15" s="80">
        <v>32.0</v>
      </c>
      <c r="T15" s="80">
        <v>47.0</v>
      </c>
      <c r="U15" s="81"/>
      <c r="V15" s="81"/>
      <c r="W15" s="81"/>
      <c r="X15" s="81"/>
      <c r="Y15" s="81"/>
      <c r="Z15" s="81"/>
      <c r="AA15" s="81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3"/>
    </row>
    <row r="16">
      <c r="A16" s="72">
        <v>6.0</v>
      </c>
      <c r="B16" s="143" t="s">
        <v>93</v>
      </c>
      <c r="C16" s="81">
        <v>14.0</v>
      </c>
      <c r="D16" s="144">
        <v>8.0</v>
      </c>
      <c r="E16" s="81">
        <v>240.0</v>
      </c>
      <c r="F16" s="80">
        <v>48.0</v>
      </c>
      <c r="G16" s="80">
        <v>89.0</v>
      </c>
      <c r="H16" s="80">
        <v>98.0</v>
      </c>
      <c r="I16" s="80">
        <v>80.0</v>
      </c>
      <c r="J16" s="81">
        <v>2.0</v>
      </c>
      <c r="K16" s="81">
        <v>10.0</v>
      </c>
      <c r="L16" s="81">
        <v>25.0</v>
      </c>
      <c r="M16" s="81">
        <v>159.0</v>
      </c>
      <c r="N16" s="81">
        <v>54.0</v>
      </c>
      <c r="O16" s="80">
        <v>48.0</v>
      </c>
      <c r="P16" s="80">
        <v>54.0</v>
      </c>
      <c r="Q16" s="80">
        <v>48.0</v>
      </c>
      <c r="R16" s="80">
        <v>54.0</v>
      </c>
      <c r="S16" s="80">
        <v>48.0</v>
      </c>
      <c r="T16" s="80">
        <v>54.0</v>
      </c>
      <c r="U16" s="81"/>
      <c r="V16" s="81"/>
      <c r="W16" s="81"/>
      <c r="X16" s="81"/>
      <c r="Y16" s="81"/>
      <c r="Z16" s="81"/>
      <c r="AA16" s="81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3"/>
    </row>
    <row r="17">
      <c r="A17" s="72">
        <v>7.0</v>
      </c>
      <c r="B17" s="143" t="s">
        <v>94</v>
      </c>
      <c r="C17" s="81">
        <v>8.0</v>
      </c>
      <c r="D17" s="144">
        <v>6.0</v>
      </c>
      <c r="E17" s="81">
        <v>180.0</v>
      </c>
      <c r="F17" s="80">
        <v>55.0</v>
      </c>
      <c r="G17" s="80">
        <v>89.0</v>
      </c>
      <c r="H17" s="80">
        <v>98.0</v>
      </c>
      <c r="I17" s="80">
        <v>80.0</v>
      </c>
      <c r="J17" s="81">
        <v>2.0</v>
      </c>
      <c r="K17" s="81">
        <v>10.0</v>
      </c>
      <c r="L17" s="81">
        <v>25.0</v>
      </c>
      <c r="M17" s="81">
        <v>159.0</v>
      </c>
      <c r="N17" s="81">
        <v>54.0</v>
      </c>
      <c r="O17" s="80">
        <v>55.0</v>
      </c>
      <c r="P17" s="80">
        <v>61.0</v>
      </c>
      <c r="Q17" s="80">
        <v>55.0</v>
      </c>
      <c r="R17" s="80">
        <v>61.0</v>
      </c>
      <c r="S17" s="80">
        <v>55.0</v>
      </c>
      <c r="T17" s="80">
        <v>61.0</v>
      </c>
      <c r="U17" s="81"/>
      <c r="V17" s="81"/>
      <c r="W17" s="81"/>
      <c r="X17" s="81"/>
      <c r="Y17" s="81"/>
      <c r="Z17" s="81"/>
      <c r="AA17" s="81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3"/>
    </row>
    <row r="18">
      <c r="A18" s="72">
        <v>8.0</v>
      </c>
      <c r="B18" s="143" t="s">
        <v>95</v>
      </c>
      <c r="C18" s="27">
        <v>9.0</v>
      </c>
      <c r="D18" s="27">
        <v>7.0</v>
      </c>
      <c r="E18" s="27">
        <v>210.0</v>
      </c>
      <c r="F18" s="80">
        <v>35.0</v>
      </c>
      <c r="G18" s="80">
        <v>89.0</v>
      </c>
      <c r="H18" s="80">
        <v>98.0</v>
      </c>
      <c r="I18" s="80">
        <v>80.0</v>
      </c>
      <c r="J18" s="81">
        <v>2.0</v>
      </c>
      <c r="K18" s="81">
        <v>10.0</v>
      </c>
      <c r="L18" s="81">
        <v>25.0</v>
      </c>
      <c r="M18" s="81">
        <v>159.0</v>
      </c>
      <c r="N18" s="81">
        <v>54.0</v>
      </c>
      <c r="O18" s="80">
        <v>35.0</v>
      </c>
      <c r="P18" s="80">
        <v>49.0</v>
      </c>
      <c r="Q18" s="80">
        <v>35.0</v>
      </c>
      <c r="R18" s="80">
        <v>49.0</v>
      </c>
      <c r="S18" s="80">
        <v>35.0</v>
      </c>
      <c r="T18" s="80">
        <v>49.0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3"/>
    </row>
    <row r="19">
      <c r="A19" s="72">
        <v>9.0</v>
      </c>
      <c r="B19" s="143" t="s">
        <v>96</v>
      </c>
      <c r="C19" s="81">
        <v>13.0</v>
      </c>
      <c r="D19" s="81">
        <v>8.0</v>
      </c>
      <c r="E19" s="81">
        <v>240.0</v>
      </c>
      <c r="F19" s="80">
        <v>42.0</v>
      </c>
      <c r="G19" s="80">
        <v>89.0</v>
      </c>
      <c r="H19" s="80">
        <v>98.0</v>
      </c>
      <c r="I19" s="80">
        <v>80.0</v>
      </c>
      <c r="J19" s="81">
        <v>2.0</v>
      </c>
      <c r="K19" s="81">
        <v>10.0</v>
      </c>
      <c r="L19" s="81">
        <v>25.0</v>
      </c>
      <c r="M19" s="81">
        <v>159.0</v>
      </c>
      <c r="N19" s="81">
        <v>54.0</v>
      </c>
      <c r="O19" s="80">
        <v>42.0</v>
      </c>
      <c r="P19" s="80">
        <v>50.0</v>
      </c>
      <c r="Q19" s="80">
        <v>42.0</v>
      </c>
      <c r="R19" s="80">
        <v>50.0</v>
      </c>
      <c r="S19" s="80">
        <v>42.0</v>
      </c>
      <c r="T19" s="80">
        <v>50.0</v>
      </c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27"/>
      <c r="AK19" s="27"/>
      <c r="AL19" s="27"/>
      <c r="AM19" s="27"/>
      <c r="AN19" s="81"/>
      <c r="AO19" s="27"/>
      <c r="AP19" s="27"/>
      <c r="AQ19" s="27"/>
      <c r="AR19" s="27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23"/>
    </row>
    <row r="20">
      <c r="A20" s="72">
        <v>10.0</v>
      </c>
      <c r="B20" s="143" t="s">
        <v>97</v>
      </c>
      <c r="C20" s="82">
        <v>14.0</v>
      </c>
      <c r="D20" s="81">
        <v>9.0</v>
      </c>
      <c r="E20" s="85">
        <v>270.0</v>
      </c>
      <c r="F20" s="82">
        <v>47.0</v>
      </c>
      <c r="G20" s="80">
        <v>89.0</v>
      </c>
      <c r="H20" s="80">
        <v>98.0</v>
      </c>
      <c r="I20" s="80">
        <v>80.0</v>
      </c>
      <c r="J20" s="81">
        <v>2.0</v>
      </c>
      <c r="K20" s="81">
        <v>10.0</v>
      </c>
      <c r="L20" s="81">
        <v>25.0</v>
      </c>
      <c r="M20" s="81">
        <v>159.0</v>
      </c>
      <c r="N20" s="81">
        <v>54.0</v>
      </c>
      <c r="O20" s="82">
        <v>47.0</v>
      </c>
      <c r="P20" s="82">
        <v>53.0</v>
      </c>
      <c r="Q20" s="82">
        <v>47.0</v>
      </c>
      <c r="R20" s="82">
        <v>53.0</v>
      </c>
      <c r="S20" s="82">
        <v>47.0</v>
      </c>
      <c r="T20" s="82">
        <v>53.0</v>
      </c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72">
        <v>11.0</v>
      </c>
      <c r="B21" s="143" t="s">
        <v>98</v>
      </c>
      <c r="C21" s="82">
        <v>14.0</v>
      </c>
      <c r="D21" s="81">
        <v>6.0</v>
      </c>
      <c r="E21" s="85">
        <v>180.0</v>
      </c>
      <c r="F21" s="82">
        <v>39.0</v>
      </c>
      <c r="G21" s="80">
        <v>89.0</v>
      </c>
      <c r="H21" s="80">
        <v>98.0</v>
      </c>
      <c r="I21" s="80">
        <v>80.0</v>
      </c>
      <c r="J21" s="81">
        <v>2.0</v>
      </c>
      <c r="K21" s="81">
        <v>10.0</v>
      </c>
      <c r="L21" s="81">
        <v>25.0</v>
      </c>
      <c r="M21" s="81">
        <v>159.0</v>
      </c>
      <c r="N21" s="81">
        <v>54.0</v>
      </c>
      <c r="O21" s="82">
        <v>39.0</v>
      </c>
      <c r="P21" s="82">
        <v>58.0</v>
      </c>
      <c r="Q21" s="82">
        <v>39.0</v>
      </c>
      <c r="R21" s="82">
        <v>58.0</v>
      </c>
      <c r="S21" s="82">
        <v>39.0</v>
      </c>
      <c r="T21" s="82">
        <v>58.0</v>
      </c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72">
        <v>12.0</v>
      </c>
      <c r="B22" s="143" t="s">
        <v>99</v>
      </c>
      <c r="C22" s="84"/>
      <c r="D22" s="81"/>
      <c r="E22" s="23"/>
      <c r="F22" s="23"/>
      <c r="G22" s="80"/>
      <c r="H22" s="80"/>
      <c r="I22" s="80"/>
      <c r="J22" s="81"/>
      <c r="K22" s="81"/>
      <c r="L22" s="81"/>
      <c r="M22" s="81"/>
      <c r="N22" s="81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145"/>
      <c r="H23" s="145"/>
      <c r="I23" s="145"/>
      <c r="J23" s="145"/>
      <c r="K23" s="145"/>
      <c r="L23" s="145"/>
      <c r="M23" s="145"/>
      <c r="N23" s="14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89">
        <f>SUM(C11:C22)</f>
        <v>427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>
        <f t="shared" ref="O24:BD24" si="1">SUM(O11:O22)</f>
        <v>555</v>
      </c>
      <c r="P24" s="89">
        <f t="shared" si="1"/>
        <v>601</v>
      </c>
      <c r="Q24" s="89">
        <f t="shared" si="1"/>
        <v>555</v>
      </c>
      <c r="R24" s="89">
        <f t="shared" si="1"/>
        <v>601</v>
      </c>
      <c r="S24" s="89">
        <f t="shared" si="1"/>
        <v>555</v>
      </c>
      <c r="T24" s="89">
        <f t="shared" si="1"/>
        <v>601</v>
      </c>
      <c r="U24" s="89">
        <f t="shared" si="1"/>
        <v>43</v>
      </c>
      <c r="V24" s="89">
        <f t="shared" si="1"/>
        <v>39</v>
      </c>
      <c r="W24" s="89">
        <f t="shared" si="1"/>
        <v>0</v>
      </c>
      <c r="X24" s="89">
        <f t="shared" si="1"/>
        <v>0</v>
      </c>
      <c r="Y24" s="89">
        <f t="shared" si="1"/>
        <v>0</v>
      </c>
      <c r="Z24" s="89">
        <f t="shared" si="1"/>
        <v>0</v>
      </c>
      <c r="AA24" s="89">
        <f t="shared" si="1"/>
        <v>0</v>
      </c>
      <c r="AB24" s="89">
        <f t="shared" si="1"/>
        <v>0</v>
      </c>
      <c r="AC24" s="89">
        <f t="shared" si="1"/>
        <v>0</v>
      </c>
      <c r="AD24" s="89">
        <f t="shared" si="1"/>
        <v>0</v>
      </c>
      <c r="AE24" s="89">
        <f t="shared" si="1"/>
        <v>0</v>
      </c>
      <c r="AF24" s="89">
        <f t="shared" si="1"/>
        <v>0</v>
      </c>
      <c r="AG24" s="89">
        <f t="shared" si="1"/>
        <v>0</v>
      </c>
      <c r="AH24" s="89">
        <f t="shared" si="1"/>
        <v>0</v>
      </c>
      <c r="AI24" s="89">
        <f t="shared" si="1"/>
        <v>0</v>
      </c>
      <c r="AJ24" s="89">
        <f t="shared" si="1"/>
        <v>0</v>
      </c>
      <c r="AK24" s="89">
        <f t="shared" si="1"/>
        <v>0</v>
      </c>
      <c r="AL24" s="89">
        <f t="shared" si="1"/>
        <v>0</v>
      </c>
      <c r="AM24" s="89">
        <f t="shared" si="1"/>
        <v>0</v>
      </c>
      <c r="AN24" s="89">
        <f t="shared" si="1"/>
        <v>0</v>
      </c>
      <c r="AO24" s="89">
        <f t="shared" si="1"/>
        <v>0</v>
      </c>
      <c r="AP24" s="89">
        <f t="shared" si="1"/>
        <v>0</v>
      </c>
      <c r="AQ24" s="89">
        <f t="shared" si="1"/>
        <v>0</v>
      </c>
      <c r="AR24" s="89">
        <f t="shared" si="1"/>
        <v>0</v>
      </c>
      <c r="AS24" s="89">
        <f t="shared" si="1"/>
        <v>0</v>
      </c>
      <c r="AT24" s="89">
        <f t="shared" si="1"/>
        <v>0</v>
      </c>
      <c r="AU24" s="89">
        <f t="shared" si="1"/>
        <v>0</v>
      </c>
      <c r="AV24" s="89">
        <f t="shared" si="1"/>
        <v>0</v>
      </c>
      <c r="AW24" s="89">
        <f t="shared" si="1"/>
        <v>0</v>
      </c>
      <c r="AX24" s="89">
        <f t="shared" si="1"/>
        <v>0</v>
      </c>
      <c r="AY24" s="89">
        <f t="shared" si="1"/>
        <v>0</v>
      </c>
      <c r="AZ24" s="89">
        <f t="shared" si="1"/>
        <v>0</v>
      </c>
      <c r="BA24" s="89">
        <f t="shared" si="1"/>
        <v>0</v>
      </c>
      <c r="BB24" s="89">
        <f t="shared" si="1"/>
        <v>0</v>
      </c>
      <c r="BC24" s="89">
        <f t="shared" si="1"/>
        <v>0</v>
      </c>
      <c r="BD24" s="8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46" t="s">
        <v>326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47" t="s">
        <v>327</v>
      </c>
      <c r="B30" s="94"/>
      <c r="C30" s="94"/>
      <c r="D30" s="94"/>
      <c r="E30" s="94"/>
      <c r="F30" s="94"/>
      <c r="G30" s="94"/>
      <c r="H30" s="9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5" t="s">
        <v>328</v>
      </c>
      <c r="B31" s="148" t="s">
        <v>329</v>
      </c>
      <c r="C31" s="148" t="s">
        <v>330</v>
      </c>
      <c r="D31" s="56"/>
      <c r="E31" s="33"/>
      <c r="F31" s="33"/>
      <c r="G31" s="8"/>
      <c r="H31" s="56"/>
      <c r="I31" s="33"/>
      <c r="J31" s="33"/>
      <c r="K31" s="33"/>
      <c r="L31" s="33"/>
      <c r="M31" s="33"/>
      <c r="N31" s="8"/>
      <c r="O31" s="56" t="s">
        <v>331</v>
      </c>
      <c r="P31" s="33"/>
      <c r="Q31" s="8"/>
      <c r="R31" s="56" t="s">
        <v>332</v>
      </c>
      <c r="S31" s="33"/>
      <c r="T31" s="8"/>
      <c r="U31" s="96" t="s">
        <v>333</v>
      </c>
      <c r="V31" s="63"/>
      <c r="W31" s="96" t="s">
        <v>334</v>
      </c>
      <c r="X31" s="63"/>
      <c r="Y31" s="149" t="s">
        <v>335</v>
      </c>
      <c r="Z31" s="63"/>
      <c r="AA31" s="150" t="s">
        <v>336</v>
      </c>
      <c r="AB31" s="151" t="s">
        <v>337</v>
      </c>
      <c r="AC31" s="63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7"/>
      <c r="B32" s="67"/>
      <c r="C32" s="67"/>
      <c r="D32" s="56"/>
      <c r="E32" s="8"/>
      <c r="F32" s="56"/>
      <c r="G32" s="8"/>
      <c r="H32" s="56"/>
      <c r="I32" s="8"/>
      <c r="J32" s="56"/>
      <c r="K32" s="8"/>
      <c r="L32" s="56"/>
      <c r="M32" s="8"/>
      <c r="N32" s="95"/>
      <c r="O32" s="150" t="s">
        <v>338</v>
      </c>
      <c r="P32" s="56" t="s">
        <v>339</v>
      </c>
      <c r="Q32" s="8"/>
      <c r="R32" s="150" t="s">
        <v>338</v>
      </c>
      <c r="S32" s="56" t="s">
        <v>340</v>
      </c>
      <c r="T32" s="8"/>
      <c r="U32" s="68"/>
      <c r="V32" s="70"/>
      <c r="W32" s="68"/>
      <c r="X32" s="70"/>
      <c r="Y32" s="152" t="s">
        <v>341</v>
      </c>
      <c r="Z32" s="153"/>
      <c r="AA32" s="154" t="s">
        <v>342</v>
      </c>
      <c r="AB32" s="69"/>
      <c r="AC32" s="70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10"/>
      <c r="O33" s="155" t="s">
        <v>343</v>
      </c>
      <c r="P33" s="83" t="s">
        <v>344</v>
      </c>
      <c r="Q33" s="83" t="s">
        <v>345</v>
      </c>
      <c r="R33" s="155" t="s">
        <v>346</v>
      </c>
      <c r="S33" s="83" t="s">
        <v>344</v>
      </c>
      <c r="T33" s="83" t="s">
        <v>345</v>
      </c>
      <c r="U33" s="83" t="s">
        <v>347</v>
      </c>
      <c r="V33" s="83" t="s">
        <v>345</v>
      </c>
      <c r="W33" s="83" t="s">
        <v>347</v>
      </c>
      <c r="X33" s="83" t="s">
        <v>345</v>
      </c>
      <c r="Y33" s="83" t="s">
        <v>347</v>
      </c>
      <c r="Z33" s="56" t="s">
        <v>345</v>
      </c>
      <c r="AA33" s="156"/>
      <c r="AB33" s="157" t="s">
        <v>329</v>
      </c>
      <c r="AC33" s="83" t="s">
        <v>348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58">
        <v>1.0</v>
      </c>
      <c r="B34" s="158">
        <v>2.0</v>
      </c>
      <c r="C34" s="159">
        <v>3.0</v>
      </c>
      <c r="D34" s="158">
        <v>4.0</v>
      </c>
      <c r="E34" s="158">
        <v>5.0</v>
      </c>
      <c r="F34" s="158">
        <v>6.0</v>
      </c>
      <c r="G34" s="158">
        <v>7.0</v>
      </c>
      <c r="H34" s="158">
        <v>8.0</v>
      </c>
      <c r="I34" s="160">
        <v>9.0</v>
      </c>
      <c r="J34" s="160">
        <v>10.0</v>
      </c>
      <c r="K34" s="160">
        <v>11.0</v>
      </c>
      <c r="L34" s="160">
        <v>12.0</v>
      </c>
      <c r="M34" s="160">
        <v>13.0</v>
      </c>
      <c r="N34" s="160">
        <v>14.0</v>
      </c>
      <c r="O34" s="161">
        <v>15.0</v>
      </c>
      <c r="P34" s="160">
        <v>16.0</v>
      </c>
      <c r="Q34" s="160">
        <v>17.0</v>
      </c>
      <c r="R34" s="161">
        <v>18.0</v>
      </c>
      <c r="S34" s="160">
        <v>19.0</v>
      </c>
      <c r="T34" s="160">
        <v>20.0</v>
      </c>
      <c r="U34" s="158">
        <v>21.0</v>
      </c>
      <c r="V34" s="158">
        <v>22.0</v>
      </c>
      <c r="W34" s="158">
        <v>23.0</v>
      </c>
      <c r="X34" s="158">
        <v>24.0</v>
      </c>
      <c r="Y34" s="158">
        <v>25.0</v>
      </c>
      <c r="Z34" s="162">
        <v>26.0</v>
      </c>
      <c r="AA34" s="163">
        <v>27.0</v>
      </c>
      <c r="AB34" s="164">
        <v>28.0</v>
      </c>
      <c r="AC34" s="15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65">
        <v>45658.0</v>
      </c>
      <c r="B35" s="166">
        <v>17.0</v>
      </c>
      <c r="C35" s="167">
        <v>26.0</v>
      </c>
      <c r="D35" s="168"/>
      <c r="E35" s="168"/>
      <c r="F35" s="168"/>
      <c r="G35" s="168"/>
      <c r="H35" s="169"/>
      <c r="I35" s="170"/>
      <c r="J35" s="170"/>
      <c r="K35" s="170"/>
      <c r="L35" s="170"/>
      <c r="M35" s="170"/>
      <c r="N35" s="170"/>
      <c r="O35" s="103"/>
      <c r="P35" s="103"/>
      <c r="Q35" s="103"/>
      <c r="R35" s="103"/>
      <c r="S35" s="103"/>
      <c r="T35" s="103"/>
      <c r="U35" s="168"/>
      <c r="V35" s="168"/>
      <c r="W35" s="168"/>
      <c r="X35" s="168"/>
      <c r="Y35" s="168"/>
      <c r="Z35" s="168"/>
      <c r="AA35" s="166"/>
      <c r="AB35" s="168"/>
      <c r="AC35" s="168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65">
        <v>45689.0</v>
      </c>
      <c r="B36" s="102">
        <v>15.0</v>
      </c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65">
        <v>45717.0</v>
      </c>
      <c r="B37" s="102">
        <v>12.0</v>
      </c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65">
        <v>45748.0</v>
      </c>
      <c r="B38" s="102">
        <v>11.0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65">
        <v>45778.0</v>
      </c>
      <c r="B39" s="102">
        <v>11.0</v>
      </c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65">
        <v>45809.0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65">
        <v>45839.0</v>
      </c>
      <c r="B41" s="103"/>
      <c r="C41" s="103"/>
      <c r="D41" s="103"/>
      <c r="E41" s="103"/>
      <c r="F41" s="103"/>
      <c r="G41" s="103"/>
      <c r="H41" s="103"/>
      <c r="I41" s="103"/>
      <c r="J41" s="103"/>
      <c r="K41" s="102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65">
        <v>45870.0</v>
      </c>
      <c r="B42" s="103"/>
      <c r="C42" s="103"/>
      <c r="D42" s="103"/>
      <c r="E42" s="103"/>
      <c r="F42" s="103"/>
      <c r="G42" s="103"/>
      <c r="H42" s="103"/>
      <c r="I42" s="103"/>
      <c r="J42" s="103"/>
      <c r="K42" s="102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65">
        <v>45901.0</v>
      </c>
      <c r="B43" s="103"/>
      <c r="C43" s="103"/>
      <c r="D43" s="103"/>
      <c r="E43" s="103"/>
      <c r="F43" s="103"/>
      <c r="G43" s="103"/>
      <c r="H43" s="103"/>
      <c r="I43" s="103"/>
      <c r="J43" s="103"/>
      <c r="K43" s="102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65">
        <v>45931.0</v>
      </c>
      <c r="B44" s="103"/>
      <c r="C44" s="103"/>
      <c r="D44" s="103"/>
      <c r="E44" s="103"/>
      <c r="F44" s="103"/>
      <c r="G44" s="103"/>
      <c r="H44" s="103"/>
      <c r="I44" s="103"/>
      <c r="J44" s="103"/>
      <c r="K44" s="102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65">
        <v>45962.0</v>
      </c>
      <c r="B45" s="103"/>
      <c r="C45" s="103"/>
      <c r="D45" s="103"/>
      <c r="E45" s="103"/>
      <c r="F45" s="103"/>
      <c r="G45" s="103"/>
      <c r="H45" s="103"/>
      <c r="I45" s="103"/>
      <c r="J45" s="103"/>
      <c r="K45" s="102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65">
        <v>45992.0</v>
      </c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47" t="s">
        <v>349</v>
      </c>
      <c r="B50" s="94"/>
      <c r="C50" s="94"/>
      <c r="D50" s="94"/>
      <c r="E50" s="94"/>
      <c r="F50" s="94"/>
      <c r="G50" s="94"/>
      <c r="H50" s="9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5" t="s">
        <v>328</v>
      </c>
      <c r="B51" s="95" t="s">
        <v>350</v>
      </c>
      <c r="C51" s="95" t="s">
        <v>351</v>
      </c>
      <c r="D51" s="56" t="s">
        <v>352</v>
      </c>
      <c r="E51" s="33"/>
      <c r="F51" s="33"/>
      <c r="G51" s="8"/>
      <c r="H51" s="56" t="s">
        <v>353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96" t="s">
        <v>354</v>
      </c>
      <c r="X51" s="62"/>
      <c r="Y51" s="62"/>
      <c r="Z51" s="62"/>
      <c r="AA51" s="62"/>
      <c r="AB51" s="62"/>
      <c r="AC51" s="63"/>
      <c r="AD51" s="95" t="s">
        <v>355</v>
      </c>
      <c r="AE51" s="56" t="s">
        <v>356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7"/>
      <c r="B52" s="171" t="s">
        <v>357</v>
      </c>
      <c r="C52" s="171" t="s">
        <v>358</v>
      </c>
      <c r="D52" s="56" t="s">
        <v>359</v>
      </c>
      <c r="E52" s="8"/>
      <c r="F52" s="56" t="s">
        <v>360</v>
      </c>
      <c r="G52" s="8"/>
      <c r="H52" s="56" t="s">
        <v>361</v>
      </c>
      <c r="I52" s="8"/>
      <c r="J52" s="56" t="s">
        <v>362</v>
      </c>
      <c r="K52" s="33"/>
      <c r="L52" s="33"/>
      <c r="M52" s="8"/>
      <c r="N52" s="172" t="s">
        <v>363</v>
      </c>
      <c r="O52" s="8"/>
      <c r="P52" s="56" t="s">
        <v>364</v>
      </c>
      <c r="Q52" s="8"/>
      <c r="R52" s="173" t="s">
        <v>365</v>
      </c>
      <c r="S52" s="8"/>
      <c r="T52" s="138" t="s">
        <v>366</v>
      </c>
      <c r="U52" s="8"/>
      <c r="V52" s="174" t="s">
        <v>367</v>
      </c>
      <c r="W52" s="68"/>
      <c r="X52" s="69"/>
      <c r="Y52" s="69"/>
      <c r="Z52" s="69"/>
      <c r="AA52" s="69"/>
      <c r="AB52" s="69"/>
      <c r="AC52" s="70"/>
      <c r="AD52" s="67"/>
      <c r="AE52" s="100" t="s">
        <v>350</v>
      </c>
      <c r="AF52" s="100" t="s">
        <v>368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75"/>
      <c r="C53" s="176" t="s">
        <v>369</v>
      </c>
      <c r="D53" s="83" t="s">
        <v>350</v>
      </c>
      <c r="E53" s="83" t="s">
        <v>370</v>
      </c>
      <c r="F53" s="83" t="s">
        <v>350</v>
      </c>
      <c r="G53" s="83" t="s">
        <v>370</v>
      </c>
      <c r="H53" s="83" t="s">
        <v>371</v>
      </c>
      <c r="I53" s="83" t="s">
        <v>372</v>
      </c>
      <c r="J53" s="83" t="s">
        <v>373</v>
      </c>
      <c r="K53" s="83" t="s">
        <v>374</v>
      </c>
      <c r="L53" s="83" t="s">
        <v>375</v>
      </c>
      <c r="M53" s="83" t="s">
        <v>376</v>
      </c>
      <c r="N53" s="177" t="s">
        <v>377</v>
      </c>
      <c r="O53" s="19" t="s">
        <v>378</v>
      </c>
      <c r="P53" s="83" t="s">
        <v>375</v>
      </c>
      <c r="Q53" s="83" t="s">
        <v>376</v>
      </c>
      <c r="R53" s="155" t="s">
        <v>377</v>
      </c>
      <c r="S53" s="83" t="s">
        <v>378</v>
      </c>
      <c r="T53" s="83" t="s">
        <v>377</v>
      </c>
      <c r="U53" s="83" t="s">
        <v>378</v>
      </c>
      <c r="V53" s="83" t="s">
        <v>379</v>
      </c>
      <c r="W53" s="83" t="s">
        <v>380</v>
      </c>
      <c r="X53" s="83" t="s">
        <v>381</v>
      </c>
      <c r="Y53" s="178" t="s">
        <v>382</v>
      </c>
      <c r="Z53" s="56" t="s">
        <v>383</v>
      </c>
      <c r="AA53" s="156" t="s">
        <v>384</v>
      </c>
      <c r="AB53" s="157" t="s">
        <v>385</v>
      </c>
      <c r="AC53" s="83" t="s">
        <v>386</v>
      </c>
      <c r="AD53" s="10"/>
      <c r="AE53" s="100" t="s">
        <v>387</v>
      </c>
      <c r="AF53" s="100" t="s">
        <v>388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58">
        <v>1.0</v>
      </c>
      <c r="B54" s="158">
        <v>2.0</v>
      </c>
      <c r="C54" s="159">
        <v>3.0</v>
      </c>
      <c r="D54" s="158">
        <v>4.0</v>
      </c>
      <c r="E54" s="158">
        <v>5.0</v>
      </c>
      <c r="F54" s="158">
        <v>6.0</v>
      </c>
      <c r="G54" s="158">
        <v>7.0</v>
      </c>
      <c r="H54" s="158">
        <v>8.0</v>
      </c>
      <c r="I54" s="160">
        <v>9.0</v>
      </c>
      <c r="J54" s="160">
        <v>10.0</v>
      </c>
      <c r="K54" s="160">
        <v>11.0</v>
      </c>
      <c r="L54" s="160">
        <v>12.0</v>
      </c>
      <c r="M54" s="160">
        <v>13.0</v>
      </c>
      <c r="N54" s="160">
        <v>14.0</v>
      </c>
      <c r="O54" s="161">
        <v>15.0</v>
      </c>
      <c r="P54" s="160">
        <v>16.0</v>
      </c>
      <c r="Q54" s="160">
        <v>17.0</v>
      </c>
      <c r="R54" s="161">
        <v>18.0</v>
      </c>
      <c r="S54" s="160">
        <v>19.0</v>
      </c>
      <c r="T54" s="160">
        <v>20.0</v>
      </c>
      <c r="U54" s="158">
        <v>21.0</v>
      </c>
      <c r="V54" s="158">
        <v>22.0</v>
      </c>
      <c r="W54" s="158">
        <v>23.0</v>
      </c>
      <c r="X54" s="158">
        <v>24.0</v>
      </c>
      <c r="Y54" s="158">
        <v>25.0</v>
      </c>
      <c r="Z54" s="162">
        <v>26.0</v>
      </c>
      <c r="AA54" s="163">
        <v>27.0</v>
      </c>
      <c r="AB54" s="164">
        <v>28.0</v>
      </c>
      <c r="AC54" s="158">
        <v>29.0</v>
      </c>
      <c r="AD54" s="158">
        <v>30.0</v>
      </c>
      <c r="AE54" s="158">
        <v>31.0</v>
      </c>
      <c r="AF54" s="15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65">
        <v>46023.0</v>
      </c>
      <c r="B55" s="166">
        <f>1+10</f>
        <v>11</v>
      </c>
      <c r="C55" s="167">
        <f>93+69</f>
        <v>162</v>
      </c>
      <c r="D55" s="166">
        <f>1+6</f>
        <v>7</v>
      </c>
      <c r="E55" s="166">
        <f>73+47</f>
        <v>120</v>
      </c>
      <c r="F55" s="166">
        <v>4.0</v>
      </c>
      <c r="G55" s="166">
        <f>30+22</f>
        <v>52</v>
      </c>
      <c r="H55" s="100">
        <f>30+53</f>
        <v>83</v>
      </c>
      <c r="I55" s="179" t="s">
        <v>32</v>
      </c>
      <c r="J55" s="179">
        <v>49.0</v>
      </c>
      <c r="K55" s="179">
        <v>4.0</v>
      </c>
      <c r="L55" s="179">
        <v>53.0</v>
      </c>
      <c r="M55" s="179" t="s">
        <v>32</v>
      </c>
      <c r="N55" s="179">
        <v>53.0</v>
      </c>
      <c r="O55" s="102">
        <v>2.0</v>
      </c>
      <c r="P55" s="102">
        <v>52.0</v>
      </c>
      <c r="Q55" s="102">
        <v>1.0</v>
      </c>
      <c r="R55" s="180">
        <v>53.0</v>
      </c>
      <c r="S55" s="102" t="s">
        <v>32</v>
      </c>
      <c r="T55" s="180">
        <v>53.0</v>
      </c>
      <c r="U55" s="166" t="s">
        <v>32</v>
      </c>
      <c r="V55" s="166" t="s">
        <v>32</v>
      </c>
      <c r="W55" s="166">
        <v>6.0</v>
      </c>
      <c r="X55" s="166">
        <v>46.0</v>
      </c>
      <c r="Y55" s="166">
        <v>7.0</v>
      </c>
      <c r="Z55" s="168"/>
      <c r="AA55" s="166"/>
      <c r="AB55" s="166" t="s">
        <v>389</v>
      </c>
      <c r="AC55" s="166">
        <v>53.0</v>
      </c>
      <c r="AD55" s="102" t="s">
        <v>390</v>
      </c>
      <c r="AE55" s="102" t="s">
        <v>32</v>
      </c>
      <c r="AF55" s="102" t="s">
        <v>32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81" t="s">
        <v>391</v>
      </c>
      <c r="B56" s="102">
        <f>1+12</f>
        <v>13</v>
      </c>
      <c r="C56" s="102">
        <f>93+63</f>
        <v>156</v>
      </c>
      <c r="D56" s="102">
        <f>1+5</f>
        <v>6</v>
      </c>
      <c r="E56" s="102">
        <f>74+57</f>
        <v>131</v>
      </c>
      <c r="F56" s="102">
        <v>7.0</v>
      </c>
      <c r="G56" s="102">
        <f>30+6</f>
        <v>36</v>
      </c>
      <c r="H56" s="102">
        <f>30+62</f>
        <v>92</v>
      </c>
      <c r="I56" s="102" t="s">
        <v>32</v>
      </c>
      <c r="J56" s="102">
        <v>55.0</v>
      </c>
      <c r="K56" s="102">
        <v>7.0</v>
      </c>
      <c r="L56" s="102">
        <v>62.0</v>
      </c>
      <c r="M56" s="102" t="s">
        <v>32</v>
      </c>
      <c r="N56" s="102">
        <v>62.0</v>
      </c>
      <c r="O56" s="102">
        <v>2.0</v>
      </c>
      <c r="P56" s="102">
        <v>62.0</v>
      </c>
      <c r="Q56" s="102">
        <v>0.0</v>
      </c>
      <c r="R56" s="102">
        <v>62.0</v>
      </c>
      <c r="S56" s="102" t="s">
        <v>32</v>
      </c>
      <c r="T56" s="102">
        <v>62.0</v>
      </c>
      <c r="U56" s="102" t="s">
        <v>32</v>
      </c>
      <c r="V56" s="102" t="s">
        <v>32</v>
      </c>
      <c r="W56" s="102">
        <v>5.0</v>
      </c>
      <c r="X56" s="102">
        <v>57.0</v>
      </c>
      <c r="Y56" s="102">
        <v>7.0</v>
      </c>
      <c r="Z56" s="103"/>
      <c r="AA56" s="103"/>
      <c r="AB56" s="102" t="s">
        <v>32</v>
      </c>
      <c r="AC56" s="102">
        <v>62.0</v>
      </c>
      <c r="AD56" s="102" t="s">
        <v>390</v>
      </c>
      <c r="AE56" s="102" t="s">
        <v>32</v>
      </c>
      <c r="AF56" s="102" t="s">
        <v>32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65">
        <v>45717.0</v>
      </c>
      <c r="B57" s="102">
        <f>2+11</f>
        <v>13</v>
      </c>
      <c r="C57" s="102">
        <f>93+58</f>
        <v>151</v>
      </c>
      <c r="D57" s="102">
        <f>3+8</f>
        <v>11</v>
      </c>
      <c r="E57" s="102">
        <f>75+40</f>
        <v>115</v>
      </c>
      <c r="F57" s="102">
        <v>3.0</v>
      </c>
      <c r="G57" s="102">
        <f>G56+18</f>
        <v>54</v>
      </c>
      <c r="H57" s="102">
        <f>31+48</f>
        <v>79</v>
      </c>
      <c r="I57" s="102" t="s">
        <v>32</v>
      </c>
      <c r="J57" s="102">
        <v>39.0</v>
      </c>
      <c r="K57" s="102">
        <v>9.0</v>
      </c>
      <c r="L57" s="102">
        <v>48.0</v>
      </c>
      <c r="M57" s="102" t="s">
        <v>32</v>
      </c>
      <c r="N57" s="102">
        <v>48.0</v>
      </c>
      <c r="O57" s="102">
        <v>2.0</v>
      </c>
      <c r="P57" s="102">
        <v>48.0</v>
      </c>
      <c r="Q57" s="102">
        <v>0.0</v>
      </c>
      <c r="R57" s="102">
        <v>48.0</v>
      </c>
      <c r="S57" s="102" t="s">
        <v>32</v>
      </c>
      <c r="T57" s="102">
        <v>48.0</v>
      </c>
      <c r="U57" s="102" t="s">
        <v>32</v>
      </c>
      <c r="V57" s="102" t="s">
        <v>32</v>
      </c>
      <c r="W57" s="102">
        <v>8.0</v>
      </c>
      <c r="X57" s="102">
        <v>40.0</v>
      </c>
      <c r="Y57" s="102">
        <v>7.0</v>
      </c>
      <c r="Z57" s="103"/>
      <c r="AA57" s="103"/>
      <c r="AB57" s="102" t="s">
        <v>32</v>
      </c>
      <c r="AC57" s="102">
        <v>48.0</v>
      </c>
      <c r="AD57" s="102" t="s">
        <v>390</v>
      </c>
      <c r="AE57" s="102" t="s">
        <v>32</v>
      </c>
      <c r="AF57" s="102" t="s">
        <v>32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65">
        <v>45748.0</v>
      </c>
      <c r="B58" s="102">
        <f>4+13</f>
        <v>17</v>
      </c>
      <c r="C58" s="102">
        <f>96+65</f>
        <v>161</v>
      </c>
      <c r="D58" s="102">
        <f>4+10</f>
        <v>14</v>
      </c>
      <c r="E58" s="102">
        <f>75+33</f>
        <v>108</v>
      </c>
      <c r="F58" s="102">
        <v>3.0</v>
      </c>
      <c r="G58" s="102">
        <f>31+32</f>
        <v>63</v>
      </c>
      <c r="H58" s="102">
        <f>31+43</f>
        <v>74</v>
      </c>
      <c r="I58" s="102" t="s">
        <v>32</v>
      </c>
      <c r="J58" s="102">
        <v>19.0</v>
      </c>
      <c r="K58" s="102">
        <v>24.0</v>
      </c>
      <c r="L58" s="102">
        <v>41.0</v>
      </c>
      <c r="M58" s="102" t="s">
        <v>32</v>
      </c>
      <c r="N58" s="102">
        <v>42.0</v>
      </c>
      <c r="O58" s="102">
        <v>2.0</v>
      </c>
      <c r="P58" s="102">
        <v>41.0</v>
      </c>
      <c r="Q58" s="102">
        <v>0.0</v>
      </c>
      <c r="R58" s="102">
        <v>42.0</v>
      </c>
      <c r="S58" s="102" t="s">
        <v>32</v>
      </c>
      <c r="T58" s="102">
        <v>42.0</v>
      </c>
      <c r="U58" s="102" t="s">
        <v>32</v>
      </c>
      <c r="V58" s="102" t="s">
        <v>32</v>
      </c>
      <c r="W58" s="102">
        <v>8.0</v>
      </c>
      <c r="X58" s="102">
        <v>35.0</v>
      </c>
      <c r="Y58" s="102">
        <v>12.0</v>
      </c>
      <c r="Z58" s="103"/>
      <c r="AA58" s="103"/>
      <c r="AB58" s="102" t="s">
        <v>32</v>
      </c>
      <c r="AC58" s="102">
        <v>43.0</v>
      </c>
      <c r="AD58" s="102" t="s">
        <v>390</v>
      </c>
      <c r="AE58" s="102" t="s">
        <v>32</v>
      </c>
      <c r="AF58" s="10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65">
        <v>45778.0</v>
      </c>
      <c r="B59" s="102">
        <f>4+11</f>
        <v>15</v>
      </c>
      <c r="C59" s="102">
        <f>96+67</f>
        <v>163</v>
      </c>
      <c r="D59" s="102">
        <f>4+11</f>
        <v>15</v>
      </c>
      <c r="E59" s="102">
        <f>77+39</f>
        <v>116</v>
      </c>
      <c r="F59" s="102">
        <v>0.0</v>
      </c>
      <c r="G59" s="102">
        <f>30+28</f>
        <v>58</v>
      </c>
      <c r="H59" s="102">
        <f>30+50</f>
        <v>80</v>
      </c>
      <c r="I59" s="102" t="s">
        <v>32</v>
      </c>
      <c r="J59" s="102">
        <v>10.0</v>
      </c>
      <c r="K59" s="102">
        <v>40.0</v>
      </c>
      <c r="L59" s="102">
        <v>48.0</v>
      </c>
      <c r="M59" s="102" t="s">
        <v>32</v>
      </c>
      <c r="N59" s="102">
        <v>49.0</v>
      </c>
      <c r="O59" s="102">
        <v>1.0</v>
      </c>
      <c r="P59" s="102">
        <v>48.0</v>
      </c>
      <c r="Q59" s="102">
        <v>2.0</v>
      </c>
      <c r="R59" s="102">
        <v>53.0</v>
      </c>
      <c r="S59" s="102" t="s">
        <v>32</v>
      </c>
      <c r="T59" s="102">
        <v>53.0</v>
      </c>
      <c r="U59" s="102" t="s">
        <v>32</v>
      </c>
      <c r="V59" s="102" t="s">
        <v>32</v>
      </c>
      <c r="W59" s="102">
        <v>8.0</v>
      </c>
      <c r="X59" s="102">
        <v>42.0</v>
      </c>
      <c r="Y59" s="102">
        <v>10.0</v>
      </c>
      <c r="Z59" s="103"/>
      <c r="AA59" s="103"/>
      <c r="AB59" s="102" t="s">
        <v>32</v>
      </c>
      <c r="AC59" s="102">
        <v>50.0</v>
      </c>
      <c r="AD59" s="102" t="s">
        <v>390</v>
      </c>
      <c r="AE59" s="103"/>
      <c r="AF59" s="10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65">
        <v>45809.0</v>
      </c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65">
        <v>45839.0</v>
      </c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65">
        <v>45870.0</v>
      </c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65">
        <v>45901.0</v>
      </c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65">
        <v>45931.0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65">
        <v>45962.0</v>
      </c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82">
        <v>45992.0</v>
      </c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47" t="s">
        <v>392</v>
      </c>
      <c r="B70" s="94"/>
      <c r="C70" s="94"/>
      <c r="D70" s="94"/>
      <c r="E70" s="94"/>
      <c r="F70" s="94"/>
      <c r="G70" s="94"/>
      <c r="H70" s="9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5" t="s">
        <v>328</v>
      </c>
      <c r="B71" s="183" t="s">
        <v>352</v>
      </c>
      <c r="C71" s="62"/>
      <c r="D71" s="62"/>
      <c r="E71" s="62"/>
      <c r="F71" s="62"/>
      <c r="G71" s="63"/>
      <c r="H71" s="56" t="s">
        <v>393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95" t="s">
        <v>394</v>
      </c>
      <c r="Y71" s="95" t="s">
        <v>394</v>
      </c>
      <c r="Z71" s="184"/>
      <c r="AA71" s="184"/>
      <c r="AB71" s="184"/>
      <c r="AC71" s="184"/>
      <c r="AD71" s="184"/>
      <c r="AE71" s="18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7"/>
      <c r="B72" s="96" t="s">
        <v>395</v>
      </c>
      <c r="C72" s="95" t="s">
        <v>396</v>
      </c>
      <c r="D72" s="138" t="s">
        <v>359</v>
      </c>
      <c r="E72" s="8"/>
      <c r="F72" s="56" t="s">
        <v>360</v>
      </c>
      <c r="G72" s="8"/>
      <c r="H72" s="56" t="s">
        <v>397</v>
      </c>
      <c r="I72" s="33"/>
      <c r="J72" s="33"/>
      <c r="K72" s="33"/>
      <c r="L72" s="8"/>
      <c r="M72" s="56" t="s">
        <v>398</v>
      </c>
      <c r="N72" s="33"/>
      <c r="O72" s="33"/>
      <c r="P72" s="33"/>
      <c r="Q72" s="33"/>
      <c r="R72" s="33"/>
      <c r="S72" s="33"/>
      <c r="T72" s="33"/>
      <c r="U72" s="8"/>
      <c r="V72" s="96" t="s">
        <v>367</v>
      </c>
      <c r="W72" s="171" t="s">
        <v>399</v>
      </c>
      <c r="X72" s="171" t="s">
        <v>400</v>
      </c>
      <c r="Y72" s="171" t="s">
        <v>401</v>
      </c>
      <c r="Z72" s="184"/>
      <c r="AA72" s="184"/>
      <c r="AB72" s="184"/>
      <c r="AC72" s="184"/>
      <c r="AE72" s="92"/>
      <c r="AF72" s="9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7"/>
      <c r="B73" s="186" t="s">
        <v>402</v>
      </c>
      <c r="C73" s="171" t="s">
        <v>402</v>
      </c>
      <c r="D73" s="187" t="s">
        <v>403</v>
      </c>
      <c r="E73" s="95" t="s">
        <v>404</v>
      </c>
      <c r="F73" s="95" t="s">
        <v>403</v>
      </c>
      <c r="G73" s="95" t="s">
        <v>404</v>
      </c>
      <c r="H73" s="95" t="s">
        <v>405</v>
      </c>
      <c r="I73" s="95" t="s">
        <v>406</v>
      </c>
      <c r="J73" s="95" t="s">
        <v>377</v>
      </c>
      <c r="K73" s="95" t="s">
        <v>407</v>
      </c>
      <c r="L73" s="95" t="s">
        <v>408</v>
      </c>
      <c r="M73" s="95" t="s">
        <v>409</v>
      </c>
      <c r="N73" s="56" t="s">
        <v>410</v>
      </c>
      <c r="O73" s="33"/>
      <c r="P73" s="8"/>
      <c r="Q73" s="56" t="s">
        <v>411</v>
      </c>
      <c r="R73" s="33"/>
      <c r="S73" s="8"/>
      <c r="T73" s="188" t="s">
        <v>412</v>
      </c>
      <c r="U73" s="8"/>
      <c r="V73" s="189" t="s">
        <v>413</v>
      </c>
      <c r="W73" s="190" t="s">
        <v>414</v>
      </c>
      <c r="X73" s="190" t="s">
        <v>415</v>
      </c>
      <c r="Y73" s="190" t="s">
        <v>416</v>
      </c>
      <c r="Z73" s="185"/>
      <c r="AA73" s="191"/>
      <c r="AB73" s="185"/>
      <c r="AC73" s="185"/>
      <c r="AE73" s="92"/>
      <c r="AF73" s="9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92"/>
      <c r="C74" s="193"/>
      <c r="D74" s="70"/>
      <c r="E74" s="10"/>
      <c r="F74" s="10"/>
      <c r="G74" s="10"/>
      <c r="H74" s="10"/>
      <c r="I74" s="10"/>
      <c r="J74" s="10"/>
      <c r="K74" s="10"/>
      <c r="L74" s="10"/>
      <c r="M74" s="10"/>
      <c r="N74" s="83" t="s">
        <v>417</v>
      </c>
      <c r="O74" s="194" t="s">
        <v>377</v>
      </c>
      <c r="P74" s="83" t="s">
        <v>418</v>
      </c>
      <c r="Q74" s="83" t="s">
        <v>417</v>
      </c>
      <c r="R74" s="83" t="s">
        <v>377</v>
      </c>
      <c r="S74" s="83" t="s">
        <v>418</v>
      </c>
      <c r="T74" s="195" t="s">
        <v>419</v>
      </c>
      <c r="U74" s="196" t="s">
        <v>420</v>
      </c>
      <c r="V74" s="197" t="s">
        <v>367</v>
      </c>
      <c r="W74" s="194" t="s">
        <v>421</v>
      </c>
      <c r="X74" s="194" t="s">
        <v>386</v>
      </c>
      <c r="Y74" s="194" t="s">
        <v>422</v>
      </c>
      <c r="Z74" s="198"/>
      <c r="AA74" s="198"/>
      <c r="AB74" s="198"/>
      <c r="AC74" s="198"/>
      <c r="AD74" s="198"/>
      <c r="AE74" s="198"/>
      <c r="AF74" s="19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58">
        <v>1.0</v>
      </c>
      <c r="B75" s="163">
        <v>2.0</v>
      </c>
      <c r="C75" s="193">
        <v>3.0</v>
      </c>
      <c r="D75" s="158"/>
      <c r="E75" s="158">
        <v>5.0</v>
      </c>
      <c r="F75" s="158">
        <v>6.0</v>
      </c>
      <c r="G75" s="158">
        <v>7.0</v>
      </c>
      <c r="H75" s="158">
        <v>8.0</v>
      </c>
      <c r="I75" s="160">
        <v>9.0</v>
      </c>
      <c r="J75" s="160">
        <v>10.0</v>
      </c>
      <c r="K75" s="160">
        <v>11.0</v>
      </c>
      <c r="L75" s="160">
        <v>12.0</v>
      </c>
      <c r="M75" s="160">
        <v>13.0</v>
      </c>
      <c r="N75" s="160">
        <v>14.0</v>
      </c>
      <c r="O75" s="161">
        <v>15.0</v>
      </c>
      <c r="P75" s="160">
        <v>16.0</v>
      </c>
      <c r="Q75" s="160">
        <v>17.0</v>
      </c>
      <c r="R75" s="161">
        <v>18.0</v>
      </c>
      <c r="S75" s="160">
        <v>19.0</v>
      </c>
      <c r="T75" s="160">
        <v>20.0</v>
      </c>
      <c r="U75" s="158">
        <v>21.0</v>
      </c>
      <c r="V75" s="163">
        <v>22.0</v>
      </c>
      <c r="W75" s="163">
        <v>23.0</v>
      </c>
      <c r="X75" s="163">
        <v>24.0</v>
      </c>
      <c r="Y75" s="163">
        <v>25.0</v>
      </c>
      <c r="Z75" s="198"/>
      <c r="AA75" s="198"/>
      <c r="AB75" s="198"/>
      <c r="AC75" s="198"/>
      <c r="AD75" s="198"/>
      <c r="AE75" s="198"/>
      <c r="AF75" s="19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65">
        <v>45658.0</v>
      </c>
      <c r="B76" s="166" t="s">
        <v>287</v>
      </c>
      <c r="C76" s="167" t="s">
        <v>287</v>
      </c>
      <c r="D76" s="166" t="s">
        <v>287</v>
      </c>
      <c r="E76" s="166" t="s">
        <v>287</v>
      </c>
      <c r="F76" s="168"/>
      <c r="G76" s="168"/>
      <c r="H76" s="169"/>
      <c r="I76" s="170"/>
      <c r="J76" s="170"/>
      <c r="K76" s="170"/>
      <c r="L76" s="170"/>
      <c r="M76" s="170"/>
      <c r="N76" s="170"/>
      <c r="O76" s="103"/>
      <c r="P76" s="103"/>
      <c r="Q76" s="103"/>
      <c r="R76" s="103"/>
      <c r="S76" s="103"/>
      <c r="T76" s="103"/>
      <c r="U76" s="168"/>
      <c r="V76" s="168"/>
      <c r="W76" s="168"/>
      <c r="X76" s="168"/>
      <c r="Y76" s="168"/>
      <c r="Z76" s="94"/>
      <c r="AA76" s="199"/>
      <c r="AB76" s="94"/>
      <c r="AC76" s="9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81" t="s">
        <v>391</v>
      </c>
      <c r="B77" s="166" t="s">
        <v>287</v>
      </c>
      <c r="C77" s="167" t="s">
        <v>287</v>
      </c>
      <c r="D77" s="166" t="s">
        <v>287</v>
      </c>
      <c r="E77" s="166" t="s">
        <v>287</v>
      </c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65">
        <v>45717.0</v>
      </c>
      <c r="B78" s="166" t="s">
        <v>287</v>
      </c>
      <c r="C78" s="167" t="s">
        <v>287</v>
      </c>
      <c r="D78" s="166" t="s">
        <v>287</v>
      </c>
      <c r="E78" s="166" t="s">
        <v>287</v>
      </c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65">
        <v>45748.0</v>
      </c>
      <c r="B79" s="166" t="s">
        <v>287</v>
      </c>
      <c r="C79" s="167" t="s">
        <v>287</v>
      </c>
      <c r="D79" s="166" t="s">
        <v>287</v>
      </c>
      <c r="E79" s="166" t="s">
        <v>287</v>
      </c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65">
        <v>45778.0</v>
      </c>
      <c r="B80" s="166" t="s">
        <v>287</v>
      </c>
      <c r="C80" s="167" t="s">
        <v>287</v>
      </c>
      <c r="D80" s="166" t="s">
        <v>287</v>
      </c>
      <c r="E80" s="166" t="s">
        <v>287</v>
      </c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65">
        <v>45809.0</v>
      </c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65">
        <v>45839.0</v>
      </c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65">
        <v>45870.0</v>
      </c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65">
        <v>45901.0</v>
      </c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65">
        <v>45931.0</v>
      </c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65">
        <v>45962.0</v>
      </c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65">
        <v>45992.0</v>
      </c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47" t="s">
        <v>423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200" t="s">
        <v>328</v>
      </c>
      <c r="B92" s="138" t="s">
        <v>424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201" t="s">
        <v>425</v>
      </c>
      <c r="AL92" s="202" t="s">
        <v>394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7"/>
      <c r="B93" s="56" t="s">
        <v>397</v>
      </c>
      <c r="C93" s="33"/>
      <c r="D93" s="33"/>
      <c r="E93" s="33"/>
      <c r="F93" s="8"/>
      <c r="G93" s="56" t="s">
        <v>426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96" t="s">
        <v>427</v>
      </c>
      <c r="S93" s="63"/>
      <c r="T93" s="138" t="s">
        <v>428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203" t="s">
        <v>429</v>
      </c>
      <c r="AL93" s="204" t="s">
        <v>429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7"/>
      <c r="B94" s="95" t="s">
        <v>405</v>
      </c>
      <c r="C94" s="95" t="s">
        <v>406</v>
      </c>
      <c r="D94" s="95" t="s">
        <v>377</v>
      </c>
      <c r="E94" s="95" t="s">
        <v>407</v>
      </c>
      <c r="F94" s="95" t="s">
        <v>408</v>
      </c>
      <c r="G94" s="205" t="s">
        <v>409</v>
      </c>
      <c r="H94" s="8"/>
      <c r="I94" s="56" t="s">
        <v>410</v>
      </c>
      <c r="J94" s="33"/>
      <c r="K94" s="33"/>
      <c r="L94" s="188" t="s">
        <v>411</v>
      </c>
      <c r="M94" s="33"/>
      <c r="N94" s="8"/>
      <c r="O94" s="206" t="s">
        <v>430</v>
      </c>
      <c r="P94" s="33"/>
      <c r="Q94" s="8"/>
      <c r="R94" s="207" t="s">
        <v>418</v>
      </c>
      <c r="S94" s="95" t="s">
        <v>377</v>
      </c>
      <c r="T94" s="138" t="s">
        <v>431</v>
      </c>
      <c r="U94" s="33"/>
      <c r="V94" s="33"/>
      <c r="W94" s="33"/>
      <c r="X94" s="8"/>
      <c r="Y94" s="208" t="s">
        <v>432</v>
      </c>
      <c r="Z94" s="33"/>
      <c r="AA94" s="33"/>
      <c r="AB94" s="8"/>
      <c r="AC94" s="208" t="s">
        <v>432</v>
      </c>
      <c r="AD94" s="33"/>
      <c r="AE94" s="33"/>
      <c r="AF94" s="8"/>
      <c r="AG94" s="208" t="s">
        <v>432</v>
      </c>
      <c r="AH94" s="33"/>
      <c r="AI94" s="33"/>
      <c r="AJ94" s="8"/>
      <c r="AK94" s="203" t="s">
        <v>428</v>
      </c>
      <c r="AL94" s="204" t="s">
        <v>428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7"/>
      <c r="B95" s="67"/>
      <c r="C95" s="67"/>
      <c r="D95" s="67"/>
      <c r="E95" s="67"/>
      <c r="F95" s="67"/>
      <c r="G95" s="209" t="s">
        <v>433</v>
      </c>
      <c r="H95" s="210" t="s">
        <v>434</v>
      </c>
      <c r="I95" s="171" t="s">
        <v>417</v>
      </c>
      <c r="J95" s="95" t="s">
        <v>377</v>
      </c>
      <c r="K95" s="95" t="s">
        <v>418</v>
      </c>
      <c r="L95" s="95" t="s">
        <v>417</v>
      </c>
      <c r="M95" s="95" t="s">
        <v>377</v>
      </c>
      <c r="N95" s="211" t="s">
        <v>418</v>
      </c>
      <c r="O95" s="212" t="s">
        <v>435</v>
      </c>
      <c r="P95" s="33"/>
      <c r="Q95" s="8"/>
      <c r="R95" s="10"/>
      <c r="S95" s="10"/>
      <c r="T95" s="83" t="s">
        <v>436</v>
      </c>
      <c r="U95" s="56" t="s">
        <v>437</v>
      </c>
      <c r="V95" s="8"/>
      <c r="W95" s="56" t="s">
        <v>438</v>
      </c>
      <c r="X95" s="8"/>
      <c r="Y95" s="56" t="s">
        <v>439</v>
      </c>
      <c r="Z95" s="8"/>
      <c r="AA95" s="213" t="s">
        <v>440</v>
      </c>
      <c r="AB95" s="70"/>
      <c r="AC95" s="56" t="s">
        <v>441</v>
      </c>
      <c r="AD95" s="8"/>
      <c r="AE95" s="213" t="s">
        <v>442</v>
      </c>
      <c r="AF95" s="70"/>
      <c r="AG95" s="56" t="s">
        <v>443</v>
      </c>
      <c r="AH95" s="8"/>
      <c r="AI95" s="213" t="s">
        <v>444</v>
      </c>
      <c r="AJ95" s="70"/>
      <c r="AK95" s="203" t="s">
        <v>445</v>
      </c>
      <c r="AL95" s="204" t="s">
        <v>422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208" t="s">
        <v>446</v>
      </c>
      <c r="P96" s="83" t="s">
        <v>447</v>
      </c>
      <c r="Q96" s="83" t="s">
        <v>448</v>
      </c>
      <c r="R96" s="156" t="s">
        <v>446</v>
      </c>
      <c r="S96" s="83" t="s">
        <v>449</v>
      </c>
      <c r="T96" s="214" t="s">
        <v>450</v>
      </c>
      <c r="U96" s="214" t="s">
        <v>451</v>
      </c>
      <c r="V96" s="214" t="s">
        <v>452</v>
      </c>
      <c r="W96" s="83" t="s">
        <v>453</v>
      </c>
      <c r="X96" s="83" t="s">
        <v>454</v>
      </c>
      <c r="Y96" s="83" t="s">
        <v>347</v>
      </c>
      <c r="Z96" s="56" t="s">
        <v>345</v>
      </c>
      <c r="AA96" s="156" t="s">
        <v>347</v>
      </c>
      <c r="AB96" s="157" t="s">
        <v>345</v>
      </c>
      <c r="AC96" s="83" t="s">
        <v>347</v>
      </c>
      <c r="AD96" s="56" t="s">
        <v>345</v>
      </c>
      <c r="AE96" s="156" t="s">
        <v>347</v>
      </c>
      <c r="AF96" s="157" t="s">
        <v>345</v>
      </c>
      <c r="AG96" s="83" t="s">
        <v>347</v>
      </c>
      <c r="AH96" s="56" t="s">
        <v>345</v>
      </c>
      <c r="AI96" s="156" t="s">
        <v>347</v>
      </c>
      <c r="AJ96" s="138" t="s">
        <v>345</v>
      </c>
      <c r="AK96" s="215" t="s">
        <v>386</v>
      </c>
      <c r="AL96" s="5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16">
        <v>1.0</v>
      </c>
      <c r="B97" s="217">
        <v>2.0</v>
      </c>
      <c r="C97" s="217">
        <v>3.0</v>
      </c>
      <c r="D97" s="217">
        <v>4.0</v>
      </c>
      <c r="E97" s="217">
        <v>5.0</v>
      </c>
      <c r="F97" s="217">
        <v>6.0</v>
      </c>
      <c r="G97" s="217">
        <v>7.0</v>
      </c>
      <c r="H97" s="217">
        <v>8.0</v>
      </c>
      <c r="I97" s="218">
        <v>9.0</v>
      </c>
      <c r="J97" s="217">
        <v>10.0</v>
      </c>
      <c r="K97" s="217">
        <v>11.0</v>
      </c>
      <c r="L97" s="218">
        <v>12.0</v>
      </c>
      <c r="M97" s="217">
        <v>13.0</v>
      </c>
      <c r="N97" s="217">
        <v>14.0</v>
      </c>
      <c r="O97" s="217">
        <v>15.0</v>
      </c>
      <c r="P97" s="216">
        <v>16.0</v>
      </c>
      <c r="Q97" s="216">
        <v>17.0</v>
      </c>
      <c r="R97" s="219">
        <v>18.0</v>
      </c>
      <c r="S97" s="216">
        <v>19.0</v>
      </c>
      <c r="T97" s="216">
        <v>20.0</v>
      </c>
      <c r="U97" s="216">
        <v>21.0</v>
      </c>
      <c r="V97" s="216">
        <v>22.0</v>
      </c>
      <c r="W97" s="216">
        <v>23.0</v>
      </c>
      <c r="X97" s="216">
        <v>24.0</v>
      </c>
      <c r="Y97" s="216">
        <v>25.0</v>
      </c>
      <c r="Z97" s="220">
        <v>26.0</v>
      </c>
      <c r="AA97" s="219">
        <v>27.0</v>
      </c>
      <c r="AB97" s="221">
        <v>28.0</v>
      </c>
      <c r="AC97" s="216">
        <v>29.0</v>
      </c>
      <c r="AD97" s="216">
        <v>30.0</v>
      </c>
      <c r="AE97" s="216">
        <v>31.0</v>
      </c>
      <c r="AF97" s="216">
        <v>32.0</v>
      </c>
      <c r="AG97" s="222">
        <v>33.0</v>
      </c>
      <c r="AH97" s="222">
        <v>34.0</v>
      </c>
      <c r="AI97" s="222">
        <v>35.0</v>
      </c>
      <c r="AJ97" s="222">
        <v>36.0</v>
      </c>
      <c r="AK97" s="223">
        <v>37.0</v>
      </c>
      <c r="AL97" s="223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24">
        <v>45658.0</v>
      </c>
      <c r="B98" s="103"/>
      <c r="C98" s="225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26" t="s">
        <v>391</v>
      </c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24">
        <v>45717.0</v>
      </c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24">
        <v>45748.0</v>
      </c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24">
        <v>45778.0</v>
      </c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24">
        <v>45809.0</v>
      </c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24">
        <v>45839.0</v>
      </c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24">
        <v>45870.0</v>
      </c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24">
        <v>45901.0</v>
      </c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24">
        <v>45931.0</v>
      </c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24">
        <v>45962.0</v>
      </c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24">
        <v>45992.0</v>
      </c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70.75"/>
    <col customWidth="1" min="9" max="9" width="45.38"/>
  </cols>
  <sheetData>
    <row r="1">
      <c r="A1" s="35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455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27" t="s">
        <v>36</v>
      </c>
      <c r="B5" s="227" t="s">
        <v>37</v>
      </c>
      <c r="C5" s="227" t="s">
        <v>456</v>
      </c>
      <c r="D5" s="227" t="s">
        <v>457</v>
      </c>
      <c r="E5" s="227" t="s">
        <v>40</v>
      </c>
      <c r="F5" s="227" t="s">
        <v>39</v>
      </c>
      <c r="G5" s="227" t="s">
        <v>41</v>
      </c>
      <c r="H5" s="227" t="s">
        <v>458</v>
      </c>
      <c r="I5" s="227" t="s">
        <v>459</v>
      </c>
      <c r="J5" s="228" t="s">
        <v>460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29" t="s">
        <v>44</v>
      </c>
      <c r="K6" s="230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31">
        <v>1.0</v>
      </c>
      <c r="B7" s="232">
        <v>2.0</v>
      </c>
      <c r="C7" s="232">
        <v>3.0</v>
      </c>
      <c r="D7" s="231">
        <v>4.0</v>
      </c>
      <c r="E7" s="232">
        <v>5.0</v>
      </c>
      <c r="F7" s="232">
        <v>6.0</v>
      </c>
      <c r="G7" s="231">
        <v>7.0</v>
      </c>
      <c r="H7" s="232">
        <v>8.0</v>
      </c>
      <c r="I7" s="232">
        <v>9.0</v>
      </c>
      <c r="J7" s="231">
        <v>10.0</v>
      </c>
      <c r="K7" s="23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0" t="s">
        <v>287</v>
      </c>
      <c r="B8" s="43" t="s">
        <v>32</v>
      </c>
      <c r="C8" s="43" t="s">
        <v>32</v>
      </c>
      <c r="D8" s="14" t="s">
        <v>32</v>
      </c>
      <c r="E8" s="43" t="s">
        <v>32</v>
      </c>
      <c r="F8" s="43" t="s">
        <v>32</v>
      </c>
      <c r="G8" s="43" t="s">
        <v>32</v>
      </c>
      <c r="H8" s="43" t="s">
        <v>32</v>
      </c>
      <c r="I8" s="43" t="s">
        <v>32</v>
      </c>
      <c r="J8" s="46"/>
      <c r="K8" s="23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/>
      <c r="B9" s="46"/>
      <c r="C9" s="43"/>
      <c r="D9" s="46"/>
      <c r="E9" s="46"/>
      <c r="F9" s="46"/>
      <c r="G9" s="46"/>
      <c r="H9" s="43" t="s">
        <v>461</v>
      </c>
      <c r="I9" s="46"/>
      <c r="J9" s="23"/>
      <c r="K9" s="23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/>
      <c r="B10" s="46"/>
      <c r="C10" s="46"/>
      <c r="D10" s="46"/>
      <c r="E10" s="46"/>
      <c r="F10" s="46"/>
      <c r="G10" s="46"/>
      <c r="H10" s="46"/>
      <c r="I10" s="46"/>
      <c r="J10" s="23"/>
      <c r="K10" s="23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/>
      <c r="B11" s="46"/>
      <c r="C11" s="46"/>
      <c r="D11" s="46"/>
      <c r="E11" s="46"/>
      <c r="F11" s="46"/>
      <c r="G11" s="46"/>
      <c r="H11" s="46"/>
      <c r="I11" s="46"/>
      <c r="J11" s="23"/>
      <c r="K11" s="23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/>
      <c r="B12" s="46"/>
      <c r="C12" s="46"/>
      <c r="D12" s="26"/>
      <c r="E12" s="46"/>
      <c r="F12" s="46"/>
      <c r="G12" s="46"/>
      <c r="H12" s="46"/>
      <c r="I12" s="23"/>
      <c r="J12" s="23"/>
      <c r="K12" s="23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/>
      <c r="B13" s="234"/>
      <c r="C13" s="46"/>
      <c r="D13" s="46"/>
      <c r="E13" s="46"/>
      <c r="F13" s="23"/>
      <c r="G13" s="46"/>
      <c r="H13" s="46"/>
      <c r="I13" s="46"/>
      <c r="J13" s="23"/>
      <c r="K13" s="23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/>
      <c r="B14" s="51"/>
      <c r="C14" s="46"/>
      <c r="D14" s="46"/>
      <c r="E14" s="46"/>
      <c r="F14" s="23"/>
      <c r="G14" s="46"/>
      <c r="H14" s="46"/>
      <c r="I14" s="46"/>
      <c r="J14" s="23"/>
      <c r="K14" s="23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2"/>
      <c r="B15" s="23"/>
      <c r="C15" s="23"/>
      <c r="D15" s="23"/>
      <c r="E15" s="23"/>
      <c r="F15" s="23"/>
      <c r="G15" s="23"/>
      <c r="H15" s="23"/>
      <c r="I15" s="23"/>
      <c r="J15" s="23"/>
      <c r="K15" s="23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2"/>
      <c r="B16" s="23"/>
      <c r="C16" s="23"/>
      <c r="D16" s="23"/>
      <c r="E16" s="23"/>
      <c r="F16" s="23"/>
      <c r="G16" s="23"/>
      <c r="H16" s="23"/>
      <c r="I16" s="23"/>
      <c r="J16" s="23"/>
      <c r="K16" s="23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2"/>
      <c r="B17" s="23"/>
      <c r="C17" s="23"/>
      <c r="D17" s="23"/>
      <c r="E17" s="23"/>
      <c r="F17" s="23"/>
      <c r="G17" s="23"/>
      <c r="H17" s="23"/>
      <c r="I17" s="23"/>
      <c r="J17" s="23"/>
      <c r="K17" s="23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2"/>
      <c r="B18" s="23"/>
      <c r="C18" s="23"/>
      <c r="D18" s="23"/>
      <c r="E18" s="23"/>
      <c r="F18" s="23"/>
      <c r="G18" s="23"/>
      <c r="H18" s="23"/>
      <c r="I18" s="23"/>
      <c r="J18" s="23"/>
      <c r="K18" s="23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2"/>
      <c r="B19" s="23"/>
      <c r="C19" s="23"/>
      <c r="D19" s="23"/>
      <c r="E19" s="23"/>
      <c r="F19" s="23"/>
      <c r="G19" s="23"/>
      <c r="H19" s="23"/>
      <c r="I19" s="23"/>
      <c r="J19" s="23"/>
      <c r="K19" s="23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2"/>
      <c r="B20" s="23"/>
      <c r="C20" s="23"/>
      <c r="D20" s="23"/>
      <c r="E20" s="23"/>
      <c r="F20" s="23"/>
      <c r="G20" s="23"/>
      <c r="H20" s="23"/>
      <c r="I20" s="23"/>
      <c r="J20" s="23"/>
      <c r="K20" s="23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2"/>
      <c r="B21" s="23"/>
      <c r="C21" s="23"/>
      <c r="D21" s="23"/>
      <c r="E21" s="23"/>
      <c r="F21" s="23"/>
      <c r="G21" s="23"/>
      <c r="H21" s="23"/>
      <c r="I21" s="23"/>
      <c r="J21" s="23"/>
      <c r="K21" s="23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2"/>
      <c r="B22" s="23"/>
      <c r="C22" s="23"/>
      <c r="D22" s="23"/>
      <c r="E22" s="23"/>
      <c r="F22" s="23"/>
      <c r="G22" s="23"/>
      <c r="H22" s="23"/>
      <c r="I22" s="23"/>
      <c r="J22" s="23"/>
      <c r="K22" s="23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2"/>
      <c r="B23" s="23"/>
      <c r="C23" s="23"/>
      <c r="D23" s="23"/>
      <c r="E23" s="23"/>
      <c r="F23" s="23"/>
      <c r="G23" s="23"/>
      <c r="H23" s="23"/>
      <c r="I23" s="23"/>
      <c r="J23" s="235">
        <v>0.25</v>
      </c>
      <c r="K23" s="23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2"/>
      <c r="B24" s="23"/>
      <c r="C24" s="23"/>
      <c r="D24" s="23"/>
      <c r="E24" s="23"/>
      <c r="F24" s="23"/>
      <c r="G24" s="23"/>
      <c r="H24" s="23"/>
      <c r="I24" s="23"/>
      <c r="J24" s="23"/>
      <c r="K24" s="23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2"/>
      <c r="B25" s="23"/>
      <c r="C25" s="23"/>
      <c r="D25" s="23"/>
      <c r="E25" s="23"/>
      <c r="F25" s="23"/>
      <c r="G25" s="23"/>
      <c r="H25" s="23"/>
      <c r="I25" s="23"/>
      <c r="J25" s="23"/>
      <c r="K25" s="23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2"/>
      <c r="B26" s="23"/>
      <c r="C26" s="23"/>
      <c r="D26" s="23"/>
      <c r="E26" s="23"/>
      <c r="F26" s="23"/>
      <c r="G26" s="23"/>
      <c r="H26" s="23"/>
      <c r="I26" s="23"/>
      <c r="J26" s="23"/>
      <c r="K26" s="23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2"/>
      <c r="B27" s="23"/>
      <c r="C27" s="23"/>
      <c r="D27" s="23"/>
      <c r="E27" s="23"/>
      <c r="F27" s="23"/>
      <c r="G27" s="23"/>
      <c r="H27" s="23"/>
      <c r="I27" s="23"/>
      <c r="J27" s="23"/>
      <c r="K27" s="23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2"/>
      <c r="B28" s="23"/>
      <c r="C28" s="23"/>
      <c r="D28" s="23"/>
      <c r="E28" s="23"/>
      <c r="F28" s="23"/>
      <c r="G28" s="23"/>
      <c r="H28" s="23"/>
      <c r="I28" s="23"/>
      <c r="J28" s="23"/>
      <c r="K28" s="23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2"/>
      <c r="B29" s="23"/>
      <c r="C29" s="23"/>
      <c r="D29" s="23"/>
      <c r="E29" s="23"/>
      <c r="F29" s="23"/>
      <c r="G29" s="23"/>
      <c r="H29" s="23"/>
      <c r="I29" s="23"/>
      <c r="J29" s="23"/>
      <c r="K29" s="23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2"/>
      <c r="B30" s="23"/>
      <c r="C30" s="23"/>
      <c r="D30" s="23"/>
      <c r="E30" s="23"/>
      <c r="F30" s="23"/>
      <c r="G30" s="23"/>
      <c r="H30" s="23"/>
      <c r="I30" s="23"/>
      <c r="J30" s="23"/>
      <c r="K30" s="23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2"/>
      <c r="B31" s="23"/>
      <c r="C31" s="23"/>
      <c r="D31" s="23"/>
      <c r="E31" s="23"/>
      <c r="F31" s="23"/>
      <c r="G31" s="23"/>
      <c r="H31" s="23"/>
      <c r="I31" s="23"/>
      <c r="J31" s="23"/>
      <c r="K31" s="23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75"/>
    <col customWidth="1" min="11" max="11" width="22.75"/>
  </cols>
  <sheetData>
    <row r="1">
      <c r="A1" s="236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36" t="s">
        <v>462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36</v>
      </c>
      <c r="B4" s="37" t="s">
        <v>37</v>
      </c>
      <c r="C4" s="37" t="s">
        <v>38</v>
      </c>
      <c r="D4" s="37" t="s">
        <v>40</v>
      </c>
      <c r="E4" s="37" t="s">
        <v>39</v>
      </c>
      <c r="F4" s="37" t="s">
        <v>41</v>
      </c>
      <c r="G4" s="38" t="s">
        <v>463</v>
      </c>
      <c r="H4" s="33"/>
      <c r="I4" s="33"/>
      <c r="J4" s="33"/>
      <c r="K4" s="8"/>
      <c r="L4" s="38" t="s">
        <v>460</v>
      </c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464</v>
      </c>
      <c r="H5" s="39" t="s">
        <v>465</v>
      </c>
      <c r="I5" s="39" t="s">
        <v>466</v>
      </c>
      <c r="J5" s="39" t="s">
        <v>467</v>
      </c>
      <c r="K5" s="39" t="s">
        <v>468</v>
      </c>
      <c r="L5" s="39" t="s">
        <v>44</v>
      </c>
      <c r="M5" s="39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1">
        <v>2.0</v>
      </c>
      <c r="C6" s="41">
        <v>3.0</v>
      </c>
      <c r="D6" s="12">
        <v>4.0</v>
      </c>
      <c r="E6" s="41">
        <v>5.0</v>
      </c>
      <c r="F6" s="41">
        <v>6.0</v>
      </c>
      <c r="G6" s="12">
        <v>7.0</v>
      </c>
      <c r="H6" s="41">
        <v>8.0</v>
      </c>
      <c r="I6" s="41">
        <v>9.0</v>
      </c>
      <c r="J6" s="12">
        <v>10.0</v>
      </c>
      <c r="K6" s="41">
        <v>11.0</v>
      </c>
      <c r="L6" s="4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">
        <v>1.0</v>
      </c>
      <c r="B7" s="237">
        <v>46082.0</v>
      </c>
      <c r="C7" s="43" t="s">
        <v>23</v>
      </c>
      <c r="D7" s="43" t="s">
        <v>32</v>
      </c>
      <c r="E7" s="43" t="s">
        <v>32</v>
      </c>
      <c r="F7" s="43" t="s">
        <v>469</v>
      </c>
      <c r="G7" s="84" t="s">
        <v>32</v>
      </c>
      <c r="H7" s="84" t="s">
        <v>32</v>
      </c>
      <c r="I7" s="84" t="s">
        <v>32</v>
      </c>
      <c r="J7" s="84" t="s">
        <v>32</v>
      </c>
      <c r="K7" s="43" t="s">
        <v>32</v>
      </c>
      <c r="L7" s="84" t="s">
        <v>44</v>
      </c>
      <c r="M7" s="84" t="s">
        <v>32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/>
      <c r="B8" s="51"/>
      <c r="C8" s="43"/>
      <c r="D8" s="46"/>
      <c r="E8" s="46"/>
      <c r="F8" s="46"/>
      <c r="G8" s="23"/>
      <c r="H8" s="23"/>
      <c r="I8" s="23"/>
      <c r="J8" s="23"/>
      <c r="K8" s="46"/>
      <c r="L8" s="23"/>
      <c r="M8" s="2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51"/>
      <c r="C9" s="46"/>
      <c r="D9" s="46"/>
      <c r="E9" s="46"/>
      <c r="F9" s="46"/>
      <c r="G9" s="46"/>
      <c r="H9" s="46"/>
      <c r="I9" s="23"/>
      <c r="J9" s="23"/>
      <c r="K9" s="46"/>
      <c r="L9" s="23"/>
      <c r="M9" s="4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6.5"/>
    <col customWidth="1" min="4" max="4" width="19.5"/>
    <col customWidth="1" min="5" max="5" width="16.5"/>
    <col customWidth="1" min="6" max="6" width="14.88"/>
    <col customWidth="1" min="7" max="7" width="39.0"/>
  </cols>
  <sheetData>
    <row r="1">
      <c r="A1" s="35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470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36</v>
      </c>
      <c r="B4" s="37" t="s">
        <v>37</v>
      </c>
      <c r="C4" s="37" t="s">
        <v>38</v>
      </c>
      <c r="D4" s="37" t="s">
        <v>39</v>
      </c>
      <c r="E4" s="37" t="s">
        <v>40</v>
      </c>
      <c r="F4" s="37" t="s">
        <v>41</v>
      </c>
      <c r="G4" s="227" t="s">
        <v>42</v>
      </c>
      <c r="H4" s="38" t="s">
        <v>43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44</v>
      </c>
      <c r="I5" s="39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3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45869.0</v>
      </c>
      <c r="C7" s="14" t="s">
        <v>23</v>
      </c>
      <c r="D7" s="43" t="s">
        <v>471</v>
      </c>
      <c r="E7" s="43" t="s">
        <v>472</v>
      </c>
      <c r="F7" s="43" t="s">
        <v>473</v>
      </c>
      <c r="G7" s="43" t="s">
        <v>474</v>
      </c>
      <c r="H7" s="46" t="s">
        <v>475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>
        <v>45905.0</v>
      </c>
      <c r="C8" s="14" t="s">
        <v>28</v>
      </c>
      <c r="D8" s="43" t="s">
        <v>476</v>
      </c>
      <c r="E8" s="43" t="s">
        <v>477</v>
      </c>
      <c r="F8" s="43" t="s">
        <v>478</v>
      </c>
      <c r="G8" s="43" t="s">
        <v>479</v>
      </c>
      <c r="H8" s="43" t="s">
        <v>475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238">
        <v>45968.0</v>
      </c>
      <c r="C9" s="14" t="s">
        <v>23</v>
      </c>
      <c r="D9" s="43" t="s">
        <v>480</v>
      </c>
      <c r="E9" s="43" t="s">
        <v>481</v>
      </c>
      <c r="F9" s="43" t="s">
        <v>482</v>
      </c>
      <c r="G9" s="43" t="s">
        <v>483</v>
      </c>
      <c r="H9" s="43" t="s">
        <v>475</v>
      </c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6"/>
      <c r="C10" s="46"/>
      <c r="D10" s="239"/>
      <c r="E10" s="46"/>
      <c r="F10" s="46"/>
      <c r="G10" s="46"/>
      <c r="H10" s="46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/>
      <c r="B11" s="234"/>
      <c r="C11" s="46"/>
      <c r="D11" s="46"/>
      <c r="E11" s="46"/>
      <c r="F11" s="46"/>
      <c r="G11" s="43" t="s">
        <v>484</v>
      </c>
      <c r="H11" s="46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/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8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8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8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8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8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8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8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8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8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8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8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8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8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8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8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8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8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4" max="4" width="17.5"/>
    <col customWidth="1" min="5" max="5" width="21.38"/>
    <col customWidth="1" min="6" max="6" width="14.0"/>
    <col customWidth="1" min="7" max="7" width="28.63"/>
    <col customWidth="1" min="8" max="8" width="36.75"/>
  </cols>
  <sheetData>
    <row r="1">
      <c r="A1" s="34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485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486</v>
      </c>
      <c r="B3" s="18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36</v>
      </c>
      <c r="B5" s="37" t="s">
        <v>37</v>
      </c>
      <c r="C5" s="37" t="s">
        <v>38</v>
      </c>
      <c r="D5" s="37" t="s">
        <v>39</v>
      </c>
      <c r="E5" s="37" t="s">
        <v>40</v>
      </c>
      <c r="F5" s="37" t="s">
        <v>41</v>
      </c>
      <c r="G5" s="227" t="s">
        <v>42</v>
      </c>
      <c r="H5" s="38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9" t="s">
        <v>44</v>
      </c>
      <c r="I6" s="39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84">
        <v>3.0</v>
      </c>
      <c r="D7" s="240">
        <v>4.0</v>
      </c>
      <c r="E7" s="240">
        <v>5.0</v>
      </c>
      <c r="F7" s="240">
        <v>6.0</v>
      </c>
      <c r="G7" s="240">
        <v>7.0</v>
      </c>
      <c r="H7" s="240">
        <v>8.0</v>
      </c>
      <c r="I7" s="2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241">
        <v>45853.0</v>
      </c>
      <c r="C8" s="105" t="s">
        <v>30</v>
      </c>
      <c r="D8" s="242" t="s">
        <v>487</v>
      </c>
      <c r="E8" s="242" t="s">
        <v>488</v>
      </c>
      <c r="F8" s="242" t="s">
        <v>489</v>
      </c>
      <c r="G8" s="243" t="s">
        <v>490</v>
      </c>
      <c r="H8" s="243" t="s">
        <v>491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>
        <v>2.0</v>
      </c>
      <c r="B9" s="241">
        <v>45854.0</v>
      </c>
      <c r="C9" s="105" t="s">
        <v>28</v>
      </c>
      <c r="D9" s="242" t="s">
        <v>492</v>
      </c>
      <c r="E9" s="242" t="s">
        <v>493</v>
      </c>
      <c r="F9" s="242" t="s">
        <v>494</v>
      </c>
      <c r="G9" s="242" t="s">
        <v>495</v>
      </c>
      <c r="H9" s="242" t="s">
        <v>491</v>
      </c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>
        <v>3.0</v>
      </c>
      <c r="B10" s="244">
        <v>45861.0</v>
      </c>
      <c r="C10" s="243" t="s">
        <v>23</v>
      </c>
      <c r="D10" s="245" t="s">
        <v>496</v>
      </c>
      <c r="E10" s="243" t="s">
        <v>497</v>
      </c>
      <c r="F10" s="243" t="s">
        <v>498</v>
      </c>
      <c r="G10" s="243" t="s">
        <v>495</v>
      </c>
      <c r="H10" s="243" t="s">
        <v>491</v>
      </c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46">
        <v>4.0</v>
      </c>
      <c r="B11" s="244">
        <v>45862.0</v>
      </c>
      <c r="C11" s="102" t="s">
        <v>30</v>
      </c>
      <c r="D11" s="243" t="s">
        <v>499</v>
      </c>
      <c r="E11" s="243" t="s">
        <v>500</v>
      </c>
      <c r="F11" s="243" t="s">
        <v>489</v>
      </c>
      <c r="G11" s="243" t="s">
        <v>495</v>
      </c>
      <c r="H11" s="243" t="s">
        <v>491</v>
      </c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>
        <v>5.0</v>
      </c>
      <c r="B12" s="247" t="s">
        <v>501</v>
      </c>
      <c r="C12" s="102" t="s">
        <v>23</v>
      </c>
      <c r="D12" s="243" t="s">
        <v>502</v>
      </c>
      <c r="E12" s="243" t="s">
        <v>503</v>
      </c>
      <c r="F12" s="243" t="s">
        <v>504</v>
      </c>
      <c r="G12" s="243" t="s">
        <v>495</v>
      </c>
      <c r="H12" s="248" t="s">
        <v>491</v>
      </c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>
        <v>6.0</v>
      </c>
      <c r="B13" s="247" t="s">
        <v>505</v>
      </c>
      <c r="C13" s="243" t="s">
        <v>23</v>
      </c>
      <c r="D13" s="245" t="s">
        <v>506</v>
      </c>
      <c r="E13" s="243" t="s">
        <v>507</v>
      </c>
      <c r="F13" s="243" t="s">
        <v>508</v>
      </c>
      <c r="G13" s="243" t="s">
        <v>509</v>
      </c>
      <c r="H13" s="243" t="s">
        <v>491</v>
      </c>
      <c r="I13" s="4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46">
        <v>7.0</v>
      </c>
      <c r="B14" s="249">
        <v>45869.0</v>
      </c>
      <c r="C14" s="243" t="s">
        <v>23</v>
      </c>
      <c r="D14" s="243" t="s">
        <v>510</v>
      </c>
      <c r="E14" s="243" t="s">
        <v>511</v>
      </c>
      <c r="F14" s="243" t="s">
        <v>508</v>
      </c>
      <c r="G14" s="243" t="s">
        <v>509</v>
      </c>
      <c r="H14" s="243" t="s">
        <v>491</v>
      </c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46">
        <v>8.0</v>
      </c>
      <c r="B15" s="45">
        <v>45903.0</v>
      </c>
      <c r="C15" s="43" t="s">
        <v>28</v>
      </c>
      <c r="D15" s="250" t="s">
        <v>512</v>
      </c>
      <c r="E15" s="43" t="s">
        <v>513</v>
      </c>
      <c r="F15" s="43" t="s">
        <v>494</v>
      </c>
      <c r="G15" s="43" t="s">
        <v>490</v>
      </c>
      <c r="H15" s="251" t="s">
        <v>491</v>
      </c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46">
        <v>9.0</v>
      </c>
      <c r="B16" s="45">
        <v>45903.0</v>
      </c>
      <c r="C16" s="43" t="s">
        <v>28</v>
      </c>
      <c r="D16" s="252" t="s">
        <v>514</v>
      </c>
      <c r="E16" s="43" t="s">
        <v>515</v>
      </c>
      <c r="F16" s="43" t="s">
        <v>494</v>
      </c>
      <c r="G16" s="43" t="s">
        <v>495</v>
      </c>
      <c r="H16" s="43" t="s">
        <v>516</v>
      </c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46">
        <v>10.0</v>
      </c>
      <c r="B17" s="45">
        <v>45909.0</v>
      </c>
      <c r="C17" s="43" t="s">
        <v>28</v>
      </c>
      <c r="D17" s="250" t="s">
        <v>517</v>
      </c>
      <c r="E17" s="43" t="s">
        <v>518</v>
      </c>
      <c r="F17" s="43" t="s">
        <v>519</v>
      </c>
      <c r="G17" s="43" t="s">
        <v>495</v>
      </c>
      <c r="H17" s="43" t="s">
        <v>491</v>
      </c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8"/>
      <c r="B18" s="253"/>
      <c r="C18" s="107"/>
      <c r="D18" s="107"/>
      <c r="E18" s="107"/>
      <c r="F18" s="107"/>
      <c r="G18" s="107"/>
      <c r="H18" s="107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8"/>
      <c r="B19" s="107"/>
      <c r="C19" s="107"/>
      <c r="D19" s="107"/>
      <c r="E19" s="107"/>
      <c r="F19" s="107"/>
      <c r="G19" s="107"/>
      <c r="H19" s="107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8"/>
      <c r="B20" s="103"/>
      <c r="C20" s="103"/>
      <c r="D20" s="103"/>
      <c r="E20" s="103"/>
      <c r="F20" s="103"/>
      <c r="G20" s="103"/>
      <c r="H20" s="10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3"/>
      <c r="B21" s="107"/>
      <c r="C21" s="107"/>
      <c r="D21" s="107"/>
      <c r="E21" s="107"/>
      <c r="F21" s="107"/>
      <c r="G21" s="107"/>
      <c r="H21" s="107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3"/>
      <c r="B22" s="107"/>
      <c r="C22" s="107"/>
      <c r="D22" s="107"/>
      <c r="E22" s="107"/>
      <c r="F22" s="107"/>
      <c r="G22" s="107"/>
      <c r="H22" s="107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3"/>
      <c r="B23" s="107"/>
      <c r="C23" s="107"/>
      <c r="D23" s="107"/>
      <c r="E23" s="107"/>
      <c r="F23" s="107"/>
      <c r="G23" s="107"/>
      <c r="H23" s="107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3"/>
      <c r="B24" s="107"/>
      <c r="C24" s="107"/>
      <c r="D24" s="107"/>
      <c r="E24" s="107"/>
      <c r="F24" s="107"/>
      <c r="G24" s="107"/>
      <c r="H24" s="107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3"/>
      <c r="B25" s="107"/>
      <c r="C25" s="107"/>
      <c r="D25" s="107"/>
      <c r="E25" s="107"/>
      <c r="F25" s="107"/>
      <c r="G25" s="107"/>
      <c r="H25" s="107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3"/>
      <c r="B26" s="103"/>
      <c r="C26" s="103"/>
      <c r="D26" s="103"/>
      <c r="E26" s="103"/>
      <c r="F26" s="103"/>
      <c r="G26" s="103"/>
      <c r="H26" s="10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3"/>
      <c r="B27" s="103"/>
      <c r="C27" s="103"/>
      <c r="D27" s="103"/>
      <c r="E27" s="103"/>
      <c r="F27" s="103"/>
      <c r="G27" s="103"/>
      <c r="H27" s="10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3"/>
      <c r="B28" s="107"/>
      <c r="C28" s="107"/>
      <c r="D28" s="107"/>
      <c r="E28" s="107"/>
      <c r="F28" s="107"/>
      <c r="G28" s="107"/>
      <c r="H28" s="107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3"/>
      <c r="B29" s="107"/>
      <c r="C29" s="107"/>
      <c r="D29" s="107"/>
      <c r="E29" s="107"/>
      <c r="F29" s="107"/>
      <c r="G29" s="107"/>
      <c r="H29" s="107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3"/>
      <c r="B30" s="107"/>
      <c r="C30" s="107"/>
      <c r="D30" s="107"/>
      <c r="E30" s="107"/>
      <c r="F30" s="107"/>
      <c r="G30" s="107"/>
      <c r="H30" s="107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3"/>
      <c r="B31" s="103"/>
      <c r="C31" s="103"/>
      <c r="D31" s="103"/>
      <c r="E31" s="103"/>
      <c r="F31" s="103"/>
      <c r="G31" s="103"/>
      <c r="H31" s="10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