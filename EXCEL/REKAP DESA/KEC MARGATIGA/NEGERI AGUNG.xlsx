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<sst xmlns="http://schemas.openxmlformats.org/spreadsheetml/2006/main" count="1077" uniqueCount="623">
  <si>
    <t>DATA POSYANDU</t>
  </si>
  <si>
    <t>Q;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</si>
  <si>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</si>
  <si>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</si>
  <si>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</si>
  <si>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</si>
  <si>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</si>
  <si>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</si>
  <si>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</si>
  <si>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</si>
  <si>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</si>
  <si>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</si>
  <si>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</si>
  <si>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</si>
  <si>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</si>
  <si>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</si>
  <si>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</si>
  <si>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</si>
  <si>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</si>
  <si>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</si>
  <si>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</si>
  <si>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</si>
  <si>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</si>
  <si>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 I</t>
  </si>
  <si>
    <t>Selasa, mimggu ke I</t>
  </si>
  <si>
    <t>✓</t>
  </si>
  <si>
    <t>Purnama</t>
  </si>
  <si>
    <t>Anggrek II</t>
  </si>
  <si>
    <t>Kamis, minggu ke I</t>
  </si>
  <si>
    <t>Mandiri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</si>
  <si>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</si>
  <si>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</si>
  <si>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</si>
  <si>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</si>
  <si>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</si>
  <si>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</si>
  <si>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</si>
  <si>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</si>
  <si>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</si>
  <si>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</si>
  <si>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</si>
  <si>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</si>
  <si>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</si>
  <si>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</si>
  <si>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APEL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</si>
  <si>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</si>
  <si>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</si>
  <si>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</si>
  <si>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</si>
  <si>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</si>
  <si>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</si>
  <si>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DATA PENGUNJUNG</t>
  </si>
  <si>
    <t>NEGERI AGUNG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</si>
  <si>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</si>
  <si>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</si>
  <si>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</si>
  <si>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</si>
  <si>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</si>
  <si>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</si>
  <si>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</si>
  <si>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</si>
  <si>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</si>
  <si>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</si>
  <si>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</si>
  <si>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</si>
  <si>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</si>
  <si>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</si>
  <si>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</si>
  <si>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</si>
  <si>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</si>
  <si>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</si>
  <si>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</si>
  <si>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</si>
  <si>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</si>
  <si>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</si>
  <si>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</si>
  <si>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</si>
  <si>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</si>
  <si>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</si>
  <si>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</si>
  <si>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</si>
  <si>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</si>
  <si>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</si>
  <si>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</si>
  <si>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</si>
  <si>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</si>
  <si>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</si>
  <si>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</si>
  <si>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</si>
  <si>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</si>
  <si>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</si>
  <si>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</si>
  <si>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</si>
  <si>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</si>
  <si>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</si>
  <si>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</si>
  <si>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</si>
  <si>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</si>
  <si>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</si>
  <si>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</si>
  <si>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</si>
  <si>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</si>
  <si>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</si>
  <si>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</si>
  <si>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</si>
  <si>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</si>
  <si>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</si>
  <si>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</si>
  <si>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</si>
  <si>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</si>
  <si>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Yuti Ningsih</t>
  </si>
  <si>
    <t>Hasan Basri</t>
  </si>
  <si>
    <t>Selena Naira Eveline</t>
  </si>
  <si>
    <t>Rahma Saputri</t>
  </si>
  <si>
    <t>Fahrudin</t>
  </si>
  <si>
    <t>Anisa Risqi Hasanah</t>
  </si>
  <si>
    <t>Sulastri</t>
  </si>
  <si>
    <t>Heri Kusdiawan</t>
  </si>
  <si>
    <t>Alfan Saka Lingga</t>
  </si>
  <si>
    <t>Helen Adelia</t>
  </si>
  <si>
    <t>Renaldi</t>
  </si>
  <si>
    <t>Arga Rizwan Arrasya</t>
  </si>
  <si>
    <t>Anisa Dwi C</t>
  </si>
  <si>
    <t>Wahyu Adi S</t>
  </si>
  <si>
    <t>Laizan Alfan S</t>
  </si>
  <si>
    <t>R0sidah</t>
  </si>
  <si>
    <t>Muhamad Efendi</t>
  </si>
  <si>
    <t>Rasya M Alfatih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</si>
  <si>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</si>
  <si>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</si>
  <si>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</si>
  <si>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</si>
  <si>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</si>
  <si>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</si>
  <si>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</si>
  <si>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Laki-laki</t>
  </si>
  <si>
    <t>Rosidah</t>
  </si>
  <si>
    <t>Perempuan</t>
  </si>
  <si>
    <t>Umaizar D Mateen</t>
  </si>
  <si>
    <t>Uli Yuliana</t>
  </si>
  <si>
    <t>Revanka Doni S</t>
  </si>
  <si>
    <t>Naera Vadella</t>
  </si>
  <si>
    <t>Nia Apriyani</t>
  </si>
  <si>
    <t>Candra Darmawan</t>
  </si>
  <si>
    <t>Dehanca Maulana</t>
  </si>
  <si>
    <t>Fitri'atus Sholehah</t>
  </si>
  <si>
    <t>Mardi Saputra</t>
  </si>
  <si>
    <t>Rayanza Marcelio</t>
  </si>
  <si>
    <t>Nariza</t>
  </si>
  <si>
    <t>Farhan</t>
  </si>
  <si>
    <t>Mikhayla Naladipha H</t>
  </si>
  <si>
    <t>Aprilia Puji Lestari</t>
  </si>
  <si>
    <t>Yosef Wahyu S</t>
  </si>
  <si>
    <t>Faas M Mumtas</t>
  </si>
  <si>
    <t>Leli Rahmawati</t>
  </si>
  <si>
    <t>Nasrudin</t>
  </si>
  <si>
    <t>Muhamad Hanif A</t>
  </si>
  <si>
    <t>M Daud</t>
  </si>
  <si>
    <t>Siti Romlah</t>
  </si>
  <si>
    <t>Aqnia Yasmin A</t>
  </si>
  <si>
    <t>Septi Dianti</t>
  </si>
  <si>
    <t>Solihin</t>
  </si>
  <si>
    <t>Qonita Humaira</t>
  </si>
  <si>
    <t>Siti Mulyati</t>
  </si>
  <si>
    <t>M. Ridwan</t>
  </si>
  <si>
    <t>Almahira Ramadhani</t>
  </si>
  <si>
    <t>Ana Isnaini</t>
  </si>
  <si>
    <t>Aziz Purnomo</t>
  </si>
  <si>
    <t>Ahmad Novan S</t>
  </si>
  <si>
    <t>Fathul Jannah</t>
  </si>
  <si>
    <t>Sholikin</t>
  </si>
  <si>
    <t>M Al Ghafi</t>
  </si>
  <si>
    <t>Andriyani</t>
  </si>
  <si>
    <t>Nur Jaini</t>
  </si>
  <si>
    <t>Alifa Aara Candani</t>
  </si>
  <si>
    <t>Suranti</t>
  </si>
  <si>
    <t>A. Suharyanto</t>
  </si>
  <si>
    <t>Azmi Alzikri</t>
  </si>
  <si>
    <t>Nur Sinta Bela</t>
  </si>
  <si>
    <t>Mahmudin</t>
  </si>
  <si>
    <t>Afiza Ghania</t>
  </si>
  <si>
    <t>Sudarsih</t>
  </si>
  <si>
    <t>Jami'in</t>
  </si>
  <si>
    <t>Adinda Nur Asyifa</t>
  </si>
  <si>
    <t>Lia Hidayati</t>
  </si>
  <si>
    <t>Ari Wibowo</t>
  </si>
  <si>
    <t>Nauren Nafisha</t>
  </si>
  <si>
    <t>Sri Wahyuni</t>
  </si>
  <si>
    <t>Khomsin</t>
  </si>
  <si>
    <t>Nadifa Zia Ramadhani</t>
  </si>
  <si>
    <t>Leni Setiawati</t>
  </si>
  <si>
    <t>Deni Wijayanti</t>
  </si>
  <si>
    <t>Rachel Dwi Sahkira</t>
  </si>
  <si>
    <t>Siti Zulaikah</t>
  </si>
  <si>
    <t>Sodikin</t>
  </si>
  <si>
    <t>Kayla Nadia Utomo</t>
  </si>
  <si>
    <t>Mayrika Rahayu</t>
  </si>
  <si>
    <t>Budi Utomo</t>
  </si>
  <si>
    <t>Naziha Cahaya Sintya</t>
  </si>
  <si>
    <t>Sidem Lasmini</t>
  </si>
  <si>
    <t>Nur Suef</t>
  </si>
  <si>
    <t>Ahmad Fakih Handoyo</t>
  </si>
  <si>
    <t>Sri Mulia</t>
  </si>
  <si>
    <t>Sukardi</t>
  </si>
  <si>
    <t>Afrin Alina Amanda</t>
  </si>
  <si>
    <t>Karina Syofian</t>
  </si>
  <si>
    <t>Bambang Irawan</t>
  </si>
  <si>
    <t>Cinta Yuan Ardiansyah</t>
  </si>
  <si>
    <t>Winda Yuan Arisanti</t>
  </si>
  <si>
    <t>Ari Ardiansyah</t>
  </si>
  <si>
    <t>Danial Ghafi Assyauki</t>
  </si>
  <si>
    <t>Jaenul Mustofa</t>
  </si>
  <si>
    <t>Ilham Hafid Maulana</t>
  </si>
  <si>
    <t>Iin Rumiyati</t>
  </si>
  <si>
    <t>Edi Suprapto</t>
  </si>
  <si>
    <t>Nadia Fatma Sari</t>
  </si>
  <si>
    <t>Siti Nurjanah</t>
  </si>
  <si>
    <t>Edi Suwandi</t>
  </si>
  <si>
    <t>Nadia Saputri</t>
  </si>
  <si>
    <t>Mega Wati</t>
  </si>
  <si>
    <t>Edi Kurniawan</t>
  </si>
  <si>
    <t>Rasendra Insan Alviansyah</t>
  </si>
  <si>
    <t>Rani Lestari</t>
  </si>
  <si>
    <t>Eko Sugapur</t>
  </si>
  <si>
    <t>Rafqi Cakra Bastian</t>
  </si>
  <si>
    <t>Nur Fitria</t>
  </si>
  <si>
    <t>Heri Andriyanto</t>
  </si>
  <si>
    <t>Andira Putri Alya</t>
  </si>
  <si>
    <t>Indah Septianingsih</t>
  </si>
  <si>
    <t>Bowo Hadiwiyono</t>
  </si>
  <si>
    <t>Davin Putra Setya</t>
  </si>
  <si>
    <t>Evi Eka Susanti</t>
  </si>
  <si>
    <t>Fadli Setyabudi</t>
  </si>
  <si>
    <t>Rafka Nurshaquile</t>
  </si>
  <si>
    <t>Huzaimah</t>
  </si>
  <si>
    <t>Nur Amin</t>
  </si>
  <si>
    <t>Auliya Almahira</t>
  </si>
  <si>
    <t>Ismawati</t>
  </si>
  <si>
    <t>Ahmad Jumani</t>
  </si>
  <si>
    <t>Nagita Alma Savira</t>
  </si>
  <si>
    <t>Dewi Kurniawati</t>
  </si>
  <si>
    <t>Rio Ridwan</t>
  </si>
  <si>
    <t>Revan Alvian Nugraha</t>
  </si>
  <si>
    <t>Endang Siswanti</t>
  </si>
  <si>
    <t>Junaidi</t>
  </si>
  <si>
    <t>Cantika Ajeng Prasetya</t>
  </si>
  <si>
    <t>Eni Susilawati</t>
  </si>
  <si>
    <t>Dwi Joko Prasetya</t>
  </si>
  <si>
    <t>Syakila Senandung Kirana</t>
  </si>
  <si>
    <t>Tri Wahyu Lestari</t>
  </si>
  <si>
    <t>Dicky Febriyansyah</t>
  </si>
  <si>
    <t>Arga Rizqi Prasetya</t>
  </si>
  <si>
    <t>Rice Suratin</t>
  </si>
  <si>
    <t>Eko Prasetyo</t>
  </si>
  <si>
    <t>Putri Aqila Ramadhani</t>
  </si>
  <si>
    <t>Nanik Sugiyanti</t>
  </si>
  <si>
    <t>Yuli Sunoto</t>
  </si>
  <si>
    <t xml:space="preserve">Shafira Zelin </t>
  </si>
  <si>
    <t>Puspita Sari</t>
  </si>
  <si>
    <t>Budi Masrdiantoro</t>
  </si>
  <si>
    <t>Chantika Listia Ramadhani</t>
  </si>
  <si>
    <t>Sulistiawati</t>
  </si>
  <si>
    <t>Bambang Edi S</t>
  </si>
  <si>
    <t>Jinan Nabila Fatharani</t>
  </si>
  <si>
    <t>Ngatemi</t>
  </si>
  <si>
    <t>Imam Jamburi</t>
  </si>
  <si>
    <t>Rafasya Pramana</t>
  </si>
  <si>
    <t>Dahlia</t>
  </si>
  <si>
    <t>Rafdinal</t>
  </si>
  <si>
    <t>Hamzan Hanif Pratama</t>
  </si>
  <si>
    <t>Siti Aisah</t>
  </si>
  <si>
    <t>Haryono</t>
  </si>
  <si>
    <t>Alfia Qalesya Arsyila</t>
  </si>
  <si>
    <t>Indah Yuli Rokhayati</t>
  </si>
  <si>
    <t>Oman Sukanda</t>
  </si>
  <si>
    <t>Nauval Aldian Yusuf</t>
  </si>
  <si>
    <t>Nia Pusitasari</t>
  </si>
  <si>
    <t>Eko Fitriyanto</t>
  </si>
  <si>
    <t>Kenzo Mahardika Ramadhani</t>
  </si>
  <si>
    <t>Maya Sari</t>
  </si>
  <si>
    <t>Supriyanto Pardi</t>
  </si>
  <si>
    <t>Rafardhan Ahmad Sakeel</t>
  </si>
  <si>
    <t>DATA SASARAN USIA SEKOLAH/REMAJA</t>
  </si>
  <si>
    <t xml:space="preserve">NAMA </t>
  </si>
  <si>
    <t>JUMLAH KUNJUNGAN DAN JUMLAH SASARAN USIA SEKOLAH/REMAJA</t>
  </si>
  <si>
    <t>Nazwa Putri Marinka</t>
  </si>
  <si>
    <t>Hanum Citra Arfiani</t>
  </si>
  <si>
    <t>Hasanah</t>
  </si>
  <si>
    <t>Nur Ali</t>
  </si>
  <si>
    <t>Aindira Lisna Fidatuz Annisa</t>
  </si>
  <si>
    <t>Sulistiyana</t>
  </si>
  <si>
    <t>Sutrisno</t>
  </si>
  <si>
    <t>Liana Kartika</t>
  </si>
  <si>
    <t>Sri Mullia</t>
  </si>
  <si>
    <t>Zahra Cahya Damayanti</t>
  </si>
  <si>
    <t>Tan Tiara</t>
  </si>
  <si>
    <t>Artasiah</t>
  </si>
  <si>
    <t>Agus Irawan</t>
  </si>
  <si>
    <t>Melati Humaira Efendi</t>
  </si>
  <si>
    <t>Agus Tina</t>
  </si>
  <si>
    <t>Hantori Efendi</t>
  </si>
  <si>
    <t>Widia Kusuma Hartiningtyas</t>
  </si>
  <si>
    <t>Sri Rahayu Ningsih</t>
  </si>
  <si>
    <t>Sigit Wiyono</t>
  </si>
  <si>
    <t>Divana Anisa Mahmud</t>
  </si>
  <si>
    <t>Karmila</t>
  </si>
  <si>
    <t>Imam Mahmud</t>
  </si>
  <si>
    <t>Chelsi Tiara Assify</t>
  </si>
  <si>
    <t>Rizky Azzahra Lina Sari</t>
  </si>
  <si>
    <t>Naufa Zahra Rafifah</t>
  </si>
  <si>
    <t>Cinta Bela Shafira</t>
  </si>
  <si>
    <t>DATA SASARAN DEWASA/LANSIA</t>
  </si>
  <si>
    <t>JUMLAH KUNJUNGAN DAN JUMLAH SASARAN DEWASA/LANSIA</t>
  </si>
  <si>
    <t>Miswatun</t>
  </si>
  <si>
    <t>Jumangat</t>
  </si>
  <si>
    <t>Rubiyem</t>
  </si>
  <si>
    <t>Basum</t>
  </si>
  <si>
    <t>Giyem</t>
  </si>
  <si>
    <t>Dul Latip</t>
  </si>
  <si>
    <t>Katinah</t>
  </si>
  <si>
    <t>Samiyem</t>
  </si>
  <si>
    <t>Katijan</t>
  </si>
  <si>
    <t>Sudomo</t>
  </si>
  <si>
    <t>Suparti</t>
  </si>
  <si>
    <t>Harno Suparto</t>
  </si>
  <si>
    <t>Nasiyem</t>
  </si>
  <si>
    <t>Suwarni</t>
  </si>
  <si>
    <t>Sugiyanto</t>
  </si>
  <si>
    <t>Paiman</t>
  </si>
  <si>
    <t>Supinah</t>
  </si>
  <si>
    <t>Mustari</t>
  </si>
  <si>
    <t>Supiyah</t>
  </si>
  <si>
    <t>Supini</t>
  </si>
  <si>
    <t>Dul Kodir</t>
  </si>
  <si>
    <t>Muyatun</t>
  </si>
  <si>
    <t>Muslan</t>
  </si>
  <si>
    <t>Sukoyo</t>
  </si>
  <si>
    <t>Katiyah</t>
  </si>
  <si>
    <t>Supani</t>
  </si>
  <si>
    <t>Semi</t>
  </si>
  <si>
    <t>Misdi</t>
  </si>
  <si>
    <t>Kastam</t>
  </si>
  <si>
    <t>Pini</t>
  </si>
  <si>
    <t>Karji</t>
  </si>
  <si>
    <t>Suniah</t>
  </si>
  <si>
    <t>Katini</t>
  </si>
  <si>
    <t>Sulani</t>
  </si>
  <si>
    <t>Nurila</t>
  </si>
  <si>
    <t>Baharudin</t>
  </si>
  <si>
    <t>Rahmah</t>
  </si>
  <si>
    <t>Tayib</t>
  </si>
  <si>
    <t>Paryanto</t>
  </si>
  <si>
    <t>Painem</t>
  </si>
  <si>
    <t>Citro Sukiyo</t>
  </si>
  <si>
    <t>Suliah</t>
  </si>
  <si>
    <t>Karmi</t>
  </si>
  <si>
    <t>Kamari</t>
  </si>
  <si>
    <t>Sulur</t>
  </si>
  <si>
    <t>Waginah</t>
  </si>
  <si>
    <t>Kerto Dirjo</t>
  </si>
  <si>
    <t>Sukinem</t>
  </si>
  <si>
    <t>Saginem</t>
  </si>
  <si>
    <t>Supawiro</t>
  </si>
  <si>
    <t>Nurjanah</t>
  </si>
  <si>
    <t xml:space="preserve">Rubinah </t>
  </si>
  <si>
    <t>Sumardi</t>
  </si>
  <si>
    <t>wagiyem</t>
  </si>
  <si>
    <t>Samin</t>
  </si>
  <si>
    <t>Kasri</t>
  </si>
  <si>
    <t>Karsono</t>
  </si>
  <si>
    <t>Wagiyem</t>
  </si>
  <si>
    <t>Sanikem</t>
  </si>
  <si>
    <t>Karyo Kemin</t>
  </si>
  <si>
    <t>Dariyah</t>
  </si>
  <si>
    <t>Karso Mejo</t>
  </si>
  <si>
    <t>Darsi</t>
  </si>
  <si>
    <t>Wakiman</t>
  </si>
  <si>
    <t>Tuminah</t>
  </si>
  <si>
    <t>Marni</t>
  </si>
  <si>
    <t>Kasan Muhridi</t>
  </si>
  <si>
    <t>Sapon</t>
  </si>
  <si>
    <t>Jayem</t>
  </si>
  <si>
    <t>Santamana</t>
  </si>
  <si>
    <t>Suki</t>
  </si>
  <si>
    <t>Paijah</t>
  </si>
  <si>
    <t>Legi</t>
  </si>
  <si>
    <t>Komsatun</t>
  </si>
  <si>
    <t>Aspingah</t>
  </si>
  <si>
    <t>Mukri</t>
  </si>
  <si>
    <t>Asih</t>
  </si>
  <si>
    <t>Caca</t>
  </si>
  <si>
    <t>Indah Yuli Rohayati</t>
  </si>
  <si>
    <t>Ening</t>
  </si>
  <si>
    <t>Yuyu</t>
  </si>
  <si>
    <t>Sukamto</t>
  </si>
  <si>
    <t>Wijani</t>
  </si>
  <si>
    <t>Poniman</t>
  </si>
  <si>
    <t>Samini</t>
  </si>
  <si>
    <t>Parmin</t>
  </si>
  <si>
    <t>Katimah</t>
  </si>
  <si>
    <t>Poncoderi</t>
  </si>
  <si>
    <t>Sakimin</t>
  </si>
  <si>
    <t>Sinem</t>
  </si>
  <si>
    <t>Kromokarto</t>
  </si>
  <si>
    <t>Sukinah</t>
  </si>
  <si>
    <t>Kamsiatun</t>
  </si>
  <si>
    <t>Dirjan</t>
  </si>
  <si>
    <t>Painah</t>
  </si>
  <si>
    <t>Surip</t>
  </si>
  <si>
    <t>Warso</t>
  </si>
  <si>
    <t>Sarinem</t>
  </si>
  <si>
    <t>Towikromo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</si>
  <si>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</si>
  <si>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</si>
  <si>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</si>
  <si>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</si>
  <si>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</si>
  <si>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</si>
  <si>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</si>
  <si>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</si>
  <si>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</si>
  <si>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</si>
  <si>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</si>
  <si>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</si>
  <si>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</si>
  <si>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</si>
  <si>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</si>
  <si>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</si>
  <si>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</si>
  <si>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</si>
  <si>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</si>
  <si>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</si>
  <si>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</si>
  <si>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</si>
  <si>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</si>
  <si>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</si>
  <si>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</si>
  <si>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</si>
  <si>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</si>
  <si>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</si>
  <si>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</si>
  <si>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</si>
  <si>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</si>
  <si>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</si>
  <si>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</si>
  <si>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</si>
  <si>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</si>
  <si>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</si>
  <si>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</si>
  <si>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</si>
  <si>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</si>
  <si>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</si>
  <si>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</si>
  <si>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</si>
  <si>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</si>
  <si>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</si>
  <si>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</si>
  <si>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</si>
  <si>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</si>
  <si>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</si>
  <si>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</si>
  <si>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</si>
  <si>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</si>
  <si>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</si>
  <si>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</si>
  <si>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</si>
  <si>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</si>
  <si>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</si>
  <si>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</si>
  <si>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</si>
  <si>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</si>
  <si>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</si>
  <si>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</si>
  <si>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</si>
  <si>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</si>
  <si>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</si>
  <si>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</si>
  <si>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</si>
  <si>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</si>
  <si>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</si>
  <si>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</si>
  <si>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Jumlah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</si>
  <si>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</si>
  <si>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</si>
  <si>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</si>
  <si>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</si>
  <si>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</si>
  <si>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</si>
  <si>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</si>
  <si>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</si>
  <si>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</si>
  <si>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</si>
  <si>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</si>
  <si>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</si>
  <si>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</si>
  <si>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</si>
  <si>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</si>
  <si>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</si>
  <si>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</si>
  <si>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</si>
  <si>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</si>
  <si>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</si>
  <si>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</si>
  <si>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</si>
  <si>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</si>
  <si>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</si>
  <si>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</si>
  <si>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</si>
  <si>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</si>
  <si>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</si>
  <si>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</si>
  <si>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</si>
  <si>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</si>
  <si>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</si>
  <si>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</si>
  <si>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</si>
  <si>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</si>
  <si>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</si>
  <si>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</si>
  <si>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</si>
  <si>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</si>
  <si>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</si>
  <si>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</si>
  <si>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</si>
  <si>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</si>
  <si>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</si>
  <si>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</si>
  <si>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</si>
  <si>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</si>
  <si>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</si>
  <si>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</si>
  <si>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</si>
  <si>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</si>
  <si>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</si>
  <si>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</si>
  <si>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</si>
  <si>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</si>
  <si>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</si>
  <si>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</si>
  <si>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</si>
  <si>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</si>
  <si>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</si>
  <si>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</si>
  <si>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</si>
  <si>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</si>
  <si>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</si>
  <si>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</si>
  <si>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</si>
  <si>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</si>
  <si>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</si>
  <si>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</si>
  <si>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</si>
  <si>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</si>
  <si>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</si>
  <si>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</si>
  <si>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</si>
  <si>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</si>
  <si>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</si>
  <si>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</si>
  <si>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</si>
  <si>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</si>
  <si>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</si>
  <si>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</si>
  <si>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</si>
  <si>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</si>
  <si>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</si>
  <si>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</si>
  <si>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</si>
  <si>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</si>
  <si>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</si>
  <si>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</si>
  <si>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</si>
  <si>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</si>
  <si>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</si>
  <si>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</si>
  <si>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</si>
  <si>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</si>
  <si>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</si>
  <si>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</si>
  <si>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</si>
  <si>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</si>
  <si>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Negeri Agung</t>
  </si>
  <si>
    <t>Tanggal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</si>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</sst>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-mm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/>
    <font>
      <sz val="11.0"/>
      <color theme="1"/>
      <name val="Arial"/>
    </font>
    <font>
      <sz val="11.0"/>
      <color rgb="FF000000"/>
      <name val="Calibri"/>
    </font>
    <font>
      <sz val="12.0"/>
      <color rgb="FF000000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6.0"/>
      <color theme="1"/>
      <name val="Calibri"/>
    </font>
    <font>
      <i/>
      <sz val="9.0"/>
      <color theme="1"/>
      <name val="Calibri"/>
    </font>
    <font>
      <sz val="10.0"/>
      <color rgb="FF333333"/>
      <name val="Arial"/>
    </font>
    <font>
      <sz val="10.0"/>
      <color rgb="FF333333"/>
      <name val="&quot;Source Sans Pro&quot;"/>
    </font>
    <font>
      <sz val="10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Arial"/>
    </font>
    <font>
      <sz val="6.0"/>
      <color theme="1"/>
      <name val="Calibri"/>
    </font>
    <font>
      <b/>
      <sz val="13.0"/>
      <color theme="1"/>
      <name val="Calibri"/>
    </font>
    <font>
      <sz val="6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1" fillId="0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3" fillId="0" fontId="6" numFmtId="0" xfId="0" applyBorder="1" applyFont="1"/>
    <xf borderId="1" fillId="0" fontId="7" numFmtId="0" xfId="0" applyAlignment="1" applyBorder="1" applyFont="1">
      <alignment horizontal="center" shrinkToFit="0" vertical="bottom" wrapText="1"/>
    </xf>
    <xf borderId="4" fillId="0" fontId="6" numFmtId="0" xfId="0" applyBorder="1" applyFont="1"/>
    <xf borderId="5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0" fontId="9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readingOrder="0" shrinkToFit="0" vertical="bottom" wrapText="0"/>
    </xf>
    <xf borderId="6" fillId="3" fontId="5" numFmtId="0" xfId="0" applyAlignment="1" applyBorder="1" applyFill="1" applyFont="1">
      <alignment readingOrder="0" vertical="bottom"/>
    </xf>
    <xf borderId="5" fillId="0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vertical="bottom"/>
    </xf>
    <xf borderId="6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3" fontId="5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2" fillId="0" fontId="6" numFmtId="0" xfId="0" applyBorder="1" applyFont="1"/>
    <xf borderId="0" fillId="0" fontId="10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center" vertical="bottom"/>
    </xf>
    <xf borderId="5" fillId="0" fontId="4" numFmtId="165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8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9" fillId="0" fontId="6" numFmtId="0" xfId="0" applyBorder="1" applyFont="1"/>
    <xf borderId="7" fillId="0" fontId="5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readingOrder="0" vertical="center"/>
    </xf>
    <xf borderId="10" fillId="0" fontId="6" numFmtId="0" xfId="0" applyBorder="1" applyFont="1"/>
    <xf borderId="11" fillId="0" fontId="6" numFmtId="0" xfId="0" applyBorder="1" applyFont="1"/>
    <xf borderId="9" fillId="2" fontId="5" numFmtId="0" xfId="0" applyAlignment="1" applyBorder="1" applyFont="1">
      <alignment horizontal="center" readingOrder="0" vertical="center"/>
    </xf>
    <xf borderId="12" fillId="0" fontId="6" numFmtId="0" xfId="0" applyBorder="1" applyFont="1"/>
    <xf borderId="13" fillId="0" fontId="5" numFmtId="0" xfId="0" applyAlignment="1" applyBorder="1" applyFont="1">
      <alignment horizontal="center" vertical="bottom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5" fillId="0" fontId="6" numFmtId="0" xfId="0" applyBorder="1" applyFont="1"/>
    <xf borderId="1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0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7" numFmtId="0" xfId="0" applyAlignment="1" applyFont="1">
      <alignment vertical="bottom"/>
    </xf>
    <xf borderId="1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0" fillId="3" fontId="2" numFmtId="0" xfId="0" applyFont="1"/>
    <xf borderId="6" fillId="0" fontId="13" numFmtId="0" xfId="0" applyAlignment="1" applyBorder="1" applyFon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6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1" fillId="0" fontId="5" numFmtId="0" xfId="0" applyAlignment="1" applyBorder="1" applyFont="1">
      <alignment horizontal="left" readingOrder="0" vertical="center"/>
    </xf>
    <xf borderId="6" fillId="0" fontId="3" numFmtId="166" xfId="0" applyAlignment="1" applyBorder="1" applyFont="1" applyNumberFormat="1">
      <alignment readingOrder="0" vertical="bottom"/>
    </xf>
    <xf borderId="6" fillId="0" fontId="5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readingOrder="0" vertical="bottom"/>
    </xf>
    <xf borderId="6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vertical="bottom"/>
    </xf>
    <xf borderId="6" fillId="0" fontId="7" numFmtId="167" xfId="0" applyAlignment="1" applyBorder="1" applyFont="1" applyNumberFormat="1">
      <alignment readingOrder="0" vertical="bottom"/>
    </xf>
    <xf borderId="6" fillId="0" fontId="5" numFmtId="166" xfId="0" applyAlignment="1" applyBorder="1" applyFont="1" applyNumberFormat="1">
      <alignment horizontal="right" readingOrder="0" vertical="bottom"/>
    </xf>
    <xf borderId="0" fillId="3" fontId="15" numFmtId="0" xfId="0" applyAlignment="1" applyFont="1">
      <alignment readingOrder="0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center" readingOrder="0" vertical="bottom"/>
    </xf>
    <xf borderId="15" fillId="3" fontId="16" numFmtId="0" xfId="0" applyAlignment="1" applyBorder="1" applyFont="1">
      <alignment readingOrder="0"/>
    </xf>
    <xf borderId="6" fillId="3" fontId="17" numFmtId="0" xfId="0" applyAlignment="1" applyBorder="1" applyFont="1">
      <alignment readingOrder="0" vertical="bottom"/>
    </xf>
    <xf borderId="0" fillId="3" fontId="15" numFmtId="166" xfId="0" applyAlignment="1" applyFont="1" applyNumberFormat="1">
      <alignment readingOrder="0"/>
    </xf>
    <xf borderId="6" fillId="0" fontId="17" numFmtId="0" xfId="0" applyAlignment="1" applyBorder="1" applyFont="1">
      <alignment readingOrder="0" vertical="bottom"/>
    </xf>
    <xf borderId="6" fillId="0" fontId="17" numFmtId="0" xfId="0" applyAlignment="1" applyBorder="1" applyFont="1">
      <alignment vertical="bottom"/>
    </xf>
    <xf borderId="2" fillId="3" fontId="16" numFmtId="0" xfId="0" applyAlignment="1" applyBorder="1" applyFont="1">
      <alignment readingOrder="0"/>
    </xf>
    <xf borderId="0" fillId="3" fontId="16" numFmtId="0" xfId="0" applyAlignment="1" applyFont="1">
      <alignment readingOrder="0"/>
    </xf>
    <xf borderId="6" fillId="0" fontId="3" numFmtId="167" xfId="0" applyAlignment="1" applyBorder="1" applyFont="1" applyNumberFormat="1">
      <alignment readingOrder="0" vertical="bottom"/>
    </xf>
    <xf borderId="1" fillId="0" fontId="11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right"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1" fillId="0" fontId="7" numFmtId="0" xfId="0" applyAlignment="1" applyBorder="1" applyFont="1">
      <alignment readingOrder="0" vertical="center"/>
    </xf>
    <xf borderId="8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horizontal="center" readingOrder="0" vertical="center"/>
    </xf>
    <xf borderId="14" fillId="3" fontId="5" numFmtId="0" xfId="0" applyAlignment="1" applyBorder="1" applyFont="1">
      <alignment readingOrder="0" vertical="bottom"/>
    </xf>
    <xf borderId="15" fillId="3" fontId="5" numFmtId="0" xfId="0" applyAlignment="1" applyBorder="1" applyFont="1">
      <alignment vertical="bottom"/>
    </xf>
    <xf borderId="13" fillId="3" fontId="5" numFmtId="0" xfId="0" applyAlignment="1" applyBorder="1" applyFont="1">
      <alignment readingOrder="0" vertical="bottom"/>
    </xf>
    <xf borderId="4" fillId="3" fontId="5" numFmtId="0" xfId="0" applyAlignment="1" applyBorder="1" applyFont="1">
      <alignment readingOrder="0" vertical="bottom"/>
    </xf>
    <xf borderId="4" fillId="3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horizontal="center" readingOrder="0" vertical="bottom"/>
    </xf>
    <xf borderId="3" fillId="0" fontId="13" numFmtId="0" xfId="0" applyAlignment="1" applyBorder="1" applyFont="1">
      <alignment horizontal="center" readingOrder="0" vertical="bottom"/>
    </xf>
    <xf borderId="6" fillId="0" fontId="18" numFmtId="168" xfId="0" applyAlignment="1" applyBorder="1" applyFont="1" applyNumberFormat="1">
      <alignment horizontal="left" readingOrder="0"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bottom"/>
    </xf>
    <xf borderId="13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left" readingOrder="0" vertical="center"/>
    </xf>
    <xf borderId="7" fillId="3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left" readingOrder="0" vertical="bottom"/>
    </xf>
    <xf borderId="6" fillId="0" fontId="5" numFmtId="168" xfId="0" applyAlignment="1" applyBorder="1" applyFont="1" applyNumberFormat="1">
      <alignment horizontal="left" readingOrder="0" vertical="bottom"/>
    </xf>
    <xf borderId="8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1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14" fillId="0" fontId="2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bottom"/>
    </xf>
    <xf borderId="4" fillId="0" fontId="13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vertical="bottom"/>
    </xf>
    <xf borderId="1" fillId="0" fontId="5" numFmtId="0" xfId="0" applyAlignment="1" applyBorder="1" applyFont="1">
      <alignment horizontal="center"/>
    </xf>
    <xf borderId="8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readingOrder="0"/>
    </xf>
    <xf borderId="15" fillId="3" fontId="5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vertical="bottom"/>
    </xf>
    <xf borderId="7" fillId="0" fontId="13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center" vertical="bottom"/>
    </xf>
    <xf borderId="6" fillId="0" fontId="13" numFmtId="0" xfId="0" applyAlignment="1" applyBorder="1" applyFont="1">
      <alignment readingOrder="0" vertical="bottom"/>
    </xf>
    <xf borderId="4" fillId="0" fontId="13" numFmtId="0" xfId="0" applyAlignment="1" applyBorder="1" applyFont="1">
      <alignment readingOrder="0" vertical="bottom"/>
    </xf>
    <xf borderId="6" fillId="0" fontId="18" numFmtId="168" xfId="0" applyAlignment="1" applyBorder="1" applyFont="1" applyNumberFormat="1">
      <alignment horizontal="left" vertical="bottom"/>
    </xf>
    <xf borderId="6" fillId="0" fontId="3" numFmtId="0" xfId="0" applyBorder="1" applyFont="1"/>
    <xf borderId="6" fillId="0" fontId="18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quotePrefix="1" borderId="5" fillId="0" fontId="4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5" fillId="0" fontId="4" numFmtId="169" xfId="0" applyAlignment="1" applyBorder="1" applyFont="1" applyNumberFormat="1">
      <alignment horizontal="right" vertical="bottom"/>
    </xf>
    <xf borderId="5" fillId="0" fontId="4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4" fillId="0" fontId="23" numFmtId="0" xfId="0" applyAlignment="1" applyBorder="1" applyFont="1">
      <alignment horizontal="center" vertical="bottom"/>
    </xf>
    <xf borderId="5" fillId="0" fontId="23" numFmtId="0" xfId="0" applyAlignment="1" applyBorder="1" applyFont="1">
      <alignment horizontal="center" vertical="bottom"/>
    </xf>
    <xf borderId="15" fillId="0" fontId="4" numFmtId="0" xfId="0" applyAlignment="1" applyBorder="1" applyFont="1">
      <alignment vertical="bottom"/>
    </xf>
    <xf borderId="1" fillId="0" fontId="24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shrinkToFit="0" vertical="bottom" wrapText="1"/>
    </xf>
    <xf borderId="2" fillId="0" fontId="24" numFmtId="0" xfId="0" applyAlignment="1" applyBorder="1" applyFont="1">
      <alignment horizontal="center" vertical="bottom"/>
    </xf>
    <xf borderId="5" fillId="0" fontId="24" numFmtId="0" xfId="0" applyAlignment="1" applyBorder="1" applyFont="1">
      <alignment horizontal="center" vertical="bottom"/>
    </xf>
    <xf borderId="5" fillId="0" fontId="2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9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5" fillId="0" fontId="7" numFmtId="170" xfId="0" applyAlignment="1" applyBorder="1" applyFont="1" applyNumberFormat="1">
      <alignment vertical="bottom"/>
    </xf>
    <xf borderId="4" fillId="0" fontId="5" numFmtId="0" xfId="0" applyAlignment="1" applyBorder="1" applyFont="1">
      <alignment horizontal="right" vertical="bottom"/>
    </xf>
    <xf borderId="5" fillId="0" fontId="5" numFmtId="171" xfId="0" applyAlignment="1" applyBorder="1" applyFont="1" applyNumberFormat="1">
      <alignment horizontal="right" vertical="bottom"/>
    </xf>
    <xf borderId="5" fillId="0" fontId="5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0.75"/>
    <col customWidth="1" min="3" max="3" width="16.0"/>
    <col customWidth="1" min="18" max="18" width="25.38"/>
  </cols>
  <sheetData>
    <row r="1">
      <c r="A1" s="1" t="s">
        <v>0</v>
      </c>
      <c r="T1" s="2" t="s">
        <v>1</v>
      </c>
    </row>
    <row r="2">
      <c r="A2" s="3"/>
      <c r="B2" s="4" t="s">
        <v>2</v>
      </c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6" t="s">
        <v>13</v>
      </c>
      <c r="L4" s="8" t="s">
        <v>14</v>
      </c>
      <c r="M4" s="9"/>
      <c r="N4" s="8" t="s">
        <v>15</v>
      </c>
      <c r="O4" s="9"/>
      <c r="P4" s="6" t="s">
        <v>16</v>
      </c>
      <c r="Q4" s="10" t="s">
        <v>17</v>
      </c>
      <c r="R4" s="6" t="s">
        <v>18</v>
      </c>
      <c r="S4" s="3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3"/>
    </row>
    <row r="6">
      <c r="A6" s="13">
        <v>1.0</v>
      </c>
      <c r="B6" s="14" t="s">
        <v>23</v>
      </c>
      <c r="C6" s="15" t="s">
        <v>24</v>
      </c>
      <c r="D6" s="16">
        <v>269.0</v>
      </c>
      <c r="E6" s="17">
        <v>291.0</v>
      </c>
      <c r="F6" s="16">
        <v>863.0</v>
      </c>
      <c r="G6" s="16">
        <v>52.0</v>
      </c>
      <c r="H6" s="16">
        <v>78.0</v>
      </c>
      <c r="I6" s="16">
        <v>280.0</v>
      </c>
      <c r="J6" s="16">
        <v>247.0</v>
      </c>
      <c r="K6" s="16">
        <v>7.0</v>
      </c>
      <c r="L6" s="18" t="s">
        <v>25</v>
      </c>
      <c r="M6" s="16"/>
      <c r="N6" s="17"/>
      <c r="O6" s="18" t="s">
        <v>25</v>
      </c>
      <c r="P6" s="19">
        <v>16.0</v>
      </c>
      <c r="Q6" s="20" t="s">
        <v>26</v>
      </c>
      <c r="R6" s="21"/>
      <c r="S6" s="3"/>
    </row>
    <row r="7">
      <c r="A7" s="22">
        <v>2.0</v>
      </c>
      <c r="B7" s="23" t="s">
        <v>27</v>
      </c>
      <c r="C7" s="15" t="s">
        <v>28</v>
      </c>
      <c r="D7" s="15">
        <v>133.0</v>
      </c>
      <c r="E7" s="24">
        <v>152.0</v>
      </c>
      <c r="F7" s="15">
        <v>448.0</v>
      </c>
      <c r="G7" s="15">
        <v>32.0</v>
      </c>
      <c r="H7" s="15">
        <v>36.0</v>
      </c>
      <c r="I7" s="15">
        <v>287.0</v>
      </c>
      <c r="J7" s="15">
        <v>101.0</v>
      </c>
      <c r="K7" s="15">
        <v>1.0</v>
      </c>
      <c r="L7" s="18" t="s">
        <v>25</v>
      </c>
      <c r="M7" s="16"/>
      <c r="N7" s="17"/>
      <c r="O7" s="18" t="s">
        <v>25</v>
      </c>
      <c r="P7" s="19">
        <v>16.0</v>
      </c>
      <c r="Q7" s="20" t="s">
        <v>29</v>
      </c>
      <c r="R7" s="19"/>
      <c r="S7" s="3"/>
    </row>
    <row r="8">
      <c r="A8" s="25"/>
      <c r="B8" s="26"/>
      <c r="C8" s="27"/>
      <c r="D8" s="19"/>
      <c r="E8" s="28"/>
      <c r="F8" s="19"/>
      <c r="G8" s="27"/>
      <c r="H8" s="27"/>
      <c r="I8" s="27"/>
      <c r="J8" s="27"/>
      <c r="K8" s="27"/>
      <c r="L8" s="21"/>
      <c r="M8" s="19"/>
      <c r="N8" s="17"/>
      <c r="O8" s="29"/>
      <c r="P8" s="19"/>
      <c r="Q8" s="20"/>
      <c r="R8" s="19"/>
      <c r="S8" s="3"/>
    </row>
    <row r="9">
      <c r="A9" s="25"/>
      <c r="B9" s="26"/>
      <c r="C9" s="27"/>
      <c r="D9" s="27"/>
      <c r="E9" s="30"/>
      <c r="F9" s="21"/>
      <c r="G9" s="21"/>
      <c r="H9" s="21"/>
      <c r="I9" s="21"/>
      <c r="J9" s="21"/>
      <c r="K9" s="21"/>
      <c r="L9" s="21"/>
      <c r="M9" s="19"/>
      <c r="N9" s="17"/>
      <c r="O9" s="21"/>
      <c r="P9" s="19"/>
      <c r="Q9" s="20"/>
      <c r="R9" s="19"/>
      <c r="S9" s="3"/>
    </row>
    <row r="10">
      <c r="A10" s="25"/>
      <c r="B10" s="26"/>
      <c r="C10" s="27"/>
      <c r="D10" s="27"/>
      <c r="E10" s="30"/>
      <c r="F10" s="21"/>
      <c r="G10" s="21"/>
      <c r="H10" s="21"/>
      <c r="I10" s="21"/>
      <c r="J10" s="21"/>
      <c r="K10" s="27"/>
      <c r="L10" s="21"/>
      <c r="M10" s="19"/>
      <c r="N10" s="17"/>
      <c r="O10" s="29"/>
      <c r="P10" s="19"/>
      <c r="Q10" s="20"/>
      <c r="R10" s="19"/>
      <c r="S10" s="3"/>
    </row>
    <row r="11">
      <c r="A11" s="31"/>
      <c r="B11" s="32"/>
      <c r="C11" s="21"/>
      <c r="D11" s="21"/>
      <c r="E11" s="30"/>
      <c r="F11" s="21"/>
      <c r="G11" s="21"/>
      <c r="H11" s="21"/>
      <c r="I11" s="21"/>
      <c r="J11" s="21"/>
      <c r="K11" s="21"/>
      <c r="L11" s="21"/>
      <c r="M11" s="29"/>
      <c r="N11" s="21"/>
      <c r="O11" s="29"/>
      <c r="P11" s="33"/>
      <c r="Q11" s="34"/>
      <c r="R11" s="21"/>
      <c r="S11" s="3"/>
    </row>
    <row r="12">
      <c r="A12" s="31"/>
      <c r="B12" s="32"/>
      <c r="C12" s="21"/>
      <c r="D12" s="21"/>
      <c r="E12" s="30"/>
      <c r="F12" s="29"/>
      <c r="G12" s="21"/>
      <c r="H12" s="21"/>
      <c r="I12" s="21"/>
      <c r="J12" s="21"/>
      <c r="K12" s="21"/>
      <c r="L12" s="29"/>
      <c r="M12" s="21"/>
      <c r="N12" s="21"/>
      <c r="O12" s="29"/>
      <c r="P12" s="33"/>
      <c r="Q12" s="34"/>
      <c r="R12" s="21"/>
      <c r="S12" s="3"/>
    </row>
    <row r="13">
      <c r="A13" s="31"/>
      <c r="B13" s="32"/>
      <c r="C13" s="21"/>
      <c r="D13" s="21"/>
      <c r="E13" s="30"/>
      <c r="F13" s="21"/>
      <c r="G13" s="21"/>
      <c r="H13" s="21"/>
      <c r="I13" s="21"/>
      <c r="J13" s="21"/>
      <c r="K13" s="21"/>
      <c r="L13" s="21"/>
      <c r="M13" s="29"/>
      <c r="N13" s="21"/>
      <c r="O13" s="29"/>
      <c r="P13" s="33"/>
      <c r="Q13" s="34"/>
      <c r="R13" s="21"/>
      <c r="S13" s="3"/>
    </row>
    <row r="14">
      <c r="A14" s="31"/>
      <c r="B14" s="32"/>
      <c r="C14" s="21"/>
      <c r="D14" s="21"/>
      <c r="E14" s="30"/>
      <c r="F14" s="21"/>
      <c r="G14" s="21"/>
      <c r="H14" s="21"/>
      <c r="I14" s="21"/>
      <c r="J14" s="21"/>
      <c r="K14" s="21"/>
      <c r="L14" s="29"/>
      <c r="M14" s="21"/>
      <c r="N14" s="21"/>
      <c r="O14" s="29"/>
      <c r="P14" s="33"/>
      <c r="Q14" s="34"/>
      <c r="R14" s="21"/>
      <c r="S14" s="3"/>
    </row>
    <row r="15">
      <c r="A15" s="31"/>
      <c r="B15" s="32"/>
      <c r="C15" s="21"/>
      <c r="D15" s="21"/>
      <c r="E15" s="30"/>
      <c r="F15" s="21"/>
      <c r="G15" s="21"/>
      <c r="H15" s="21"/>
      <c r="I15" s="21"/>
      <c r="J15" s="21"/>
      <c r="K15" s="21"/>
      <c r="L15" s="29"/>
      <c r="M15" s="21"/>
      <c r="N15" s="21"/>
      <c r="O15" s="29"/>
      <c r="P15" s="33"/>
      <c r="Q15" s="34"/>
      <c r="R15" s="21"/>
      <c r="S15" s="3"/>
    </row>
    <row r="16">
      <c r="A16" s="31"/>
      <c r="B16" s="32"/>
      <c r="C16" s="21"/>
      <c r="D16" s="21"/>
      <c r="E16" s="30"/>
      <c r="F16" s="21"/>
      <c r="G16" s="21"/>
      <c r="H16" s="21"/>
      <c r="I16" s="21"/>
      <c r="J16" s="21"/>
      <c r="K16" s="29"/>
      <c r="L16" s="29"/>
      <c r="M16" s="21"/>
      <c r="N16" s="29"/>
      <c r="O16" s="21"/>
      <c r="P16" s="33"/>
      <c r="Q16" s="34"/>
      <c r="R16" s="21"/>
      <c r="S16" s="3"/>
    </row>
    <row r="17">
      <c r="A17" s="31"/>
      <c r="B17" s="32"/>
      <c r="C17" s="21"/>
      <c r="D17" s="21"/>
      <c r="E17" s="30"/>
      <c r="F17" s="21"/>
      <c r="G17" s="21"/>
      <c r="H17" s="21"/>
      <c r="I17" s="21"/>
      <c r="J17" s="21"/>
      <c r="K17" s="29"/>
      <c r="L17" s="29"/>
      <c r="M17" s="21"/>
      <c r="N17" s="29"/>
      <c r="O17" s="21"/>
      <c r="P17" s="33"/>
      <c r="Q17" s="34"/>
      <c r="R17" s="21"/>
      <c r="S17" s="3"/>
    </row>
    <row r="18">
      <c r="A18" s="31"/>
      <c r="B18" s="32"/>
      <c r="C18" s="21"/>
      <c r="D18" s="21"/>
      <c r="E18" s="30"/>
      <c r="F18" s="21"/>
      <c r="G18" s="21"/>
      <c r="H18" s="21"/>
      <c r="I18" s="21"/>
      <c r="J18" s="21"/>
      <c r="K18" s="29"/>
      <c r="L18" s="29"/>
      <c r="M18" s="21"/>
      <c r="N18" s="29"/>
      <c r="O18" s="21"/>
      <c r="P18" s="33"/>
      <c r="Q18" s="34"/>
      <c r="R18" s="21"/>
      <c r="S18" s="3"/>
    </row>
    <row r="19">
      <c r="A19" s="31"/>
      <c r="B19" s="32"/>
      <c r="C19" s="21"/>
      <c r="D19" s="21"/>
      <c r="E19" s="30"/>
      <c r="F19" s="21"/>
      <c r="G19" s="21"/>
      <c r="H19" s="21"/>
      <c r="I19" s="21"/>
      <c r="J19" s="21"/>
      <c r="K19" s="29"/>
      <c r="L19" s="21"/>
      <c r="M19" s="29"/>
      <c r="N19" s="29"/>
      <c r="O19" s="21"/>
      <c r="P19" s="33"/>
      <c r="Q19" s="34"/>
      <c r="R19" s="21"/>
      <c r="S19" s="3"/>
    </row>
    <row r="20">
      <c r="A20" s="31"/>
      <c r="B20" s="32"/>
      <c r="C20" s="21"/>
      <c r="D20" s="21"/>
      <c r="E20" s="30"/>
      <c r="F20" s="21"/>
      <c r="G20" s="21"/>
      <c r="H20" s="21"/>
      <c r="I20" s="21"/>
      <c r="J20" s="21"/>
      <c r="K20" s="29"/>
      <c r="L20" s="29"/>
      <c r="M20" s="21"/>
      <c r="N20" s="29"/>
      <c r="O20" s="21"/>
      <c r="P20" s="33"/>
      <c r="Q20" s="34"/>
      <c r="R20" s="21"/>
      <c r="S20" s="3"/>
    </row>
    <row r="21">
      <c r="A21" s="31"/>
      <c r="B21" s="32"/>
      <c r="C21" s="21"/>
      <c r="D21" s="21"/>
      <c r="E21" s="30"/>
      <c r="F21" s="21"/>
      <c r="G21" s="21"/>
      <c r="H21" s="21"/>
      <c r="I21" s="21"/>
      <c r="J21" s="21"/>
      <c r="K21" s="29"/>
      <c r="L21" s="29"/>
      <c r="M21" s="21"/>
      <c r="N21" s="21"/>
      <c r="O21" s="29"/>
      <c r="P21" s="33"/>
      <c r="Q21" s="34"/>
      <c r="R21" s="21"/>
      <c r="S21" s="3"/>
    </row>
    <row r="22">
      <c r="A22" s="31"/>
      <c r="B22" s="32"/>
      <c r="C22" s="21"/>
      <c r="D22" s="21"/>
      <c r="E22" s="30"/>
      <c r="F22" s="21"/>
      <c r="G22" s="21"/>
      <c r="H22" s="21"/>
      <c r="I22" s="21"/>
      <c r="J22" s="21"/>
      <c r="K22" s="29"/>
      <c r="L22" s="21"/>
      <c r="M22" s="29"/>
      <c r="N22" s="21"/>
      <c r="O22" s="29"/>
      <c r="P22" s="33"/>
      <c r="Q22" s="34"/>
      <c r="R22" s="21"/>
      <c r="S22" s="3"/>
    </row>
    <row r="23">
      <c r="A23" s="31"/>
      <c r="B23" s="32"/>
      <c r="C23" s="21"/>
      <c r="D23" s="21"/>
      <c r="E23" s="30"/>
      <c r="F23" s="21"/>
      <c r="G23" s="21"/>
      <c r="H23" s="21"/>
      <c r="I23" s="21"/>
      <c r="J23" s="21"/>
      <c r="K23" s="29"/>
      <c r="L23" s="21"/>
      <c r="M23" s="29"/>
      <c r="N23" s="21"/>
      <c r="O23" s="29"/>
      <c r="P23" s="33"/>
      <c r="Q23" s="34"/>
      <c r="R23" s="21"/>
      <c r="S23" s="3"/>
    </row>
    <row r="24">
      <c r="A24" s="31"/>
      <c r="B24" s="32"/>
      <c r="C24" s="21"/>
      <c r="D24" s="21"/>
      <c r="E24" s="30"/>
      <c r="F24" s="21"/>
      <c r="G24" s="21"/>
      <c r="H24" s="21"/>
      <c r="I24" s="21"/>
      <c r="J24" s="21"/>
      <c r="K24" s="21"/>
      <c r="L24" s="21"/>
      <c r="M24" s="29"/>
      <c r="N24" s="29"/>
      <c r="O24" s="21"/>
      <c r="P24" s="33"/>
      <c r="Q24" s="34"/>
      <c r="R24" s="21"/>
      <c r="S24" s="3"/>
    </row>
    <row r="25">
      <c r="A25" s="31"/>
      <c r="B25" s="32"/>
      <c r="C25" s="21"/>
      <c r="D25" s="21"/>
      <c r="E25" s="30"/>
      <c r="F25" s="21"/>
      <c r="G25" s="21"/>
      <c r="H25" s="21"/>
      <c r="I25" s="21"/>
      <c r="J25" s="21"/>
      <c r="K25" s="21"/>
      <c r="L25" s="21"/>
      <c r="M25" s="29"/>
      <c r="N25" s="21"/>
      <c r="O25" s="29"/>
      <c r="P25" s="33"/>
      <c r="Q25" s="34"/>
      <c r="R25" s="21"/>
      <c r="S25" s="3"/>
    </row>
    <row r="26">
      <c r="A26" s="31"/>
      <c r="B26" s="32"/>
      <c r="C26" s="21"/>
      <c r="D26" s="21"/>
      <c r="E26" s="30"/>
      <c r="F26" s="21"/>
      <c r="G26" s="21"/>
      <c r="H26" s="21"/>
      <c r="I26" s="21"/>
      <c r="J26" s="21"/>
      <c r="K26" s="21"/>
      <c r="L26" s="21"/>
      <c r="M26" s="29"/>
      <c r="N26" s="21"/>
      <c r="O26" s="29"/>
      <c r="P26" s="33"/>
      <c r="Q26" s="34"/>
      <c r="R26" s="21"/>
      <c r="S26" s="3"/>
    </row>
    <row r="27">
      <c r="A27" s="31"/>
      <c r="B27" s="32"/>
      <c r="C27" s="21"/>
      <c r="D27" s="21"/>
      <c r="E27" s="30"/>
      <c r="F27" s="21"/>
      <c r="G27" s="21"/>
      <c r="H27" s="21"/>
      <c r="I27" s="21"/>
      <c r="J27" s="21"/>
      <c r="K27" s="21"/>
      <c r="L27" s="21"/>
      <c r="M27" s="29"/>
      <c r="N27" s="21"/>
      <c r="O27" s="29"/>
      <c r="P27" s="33"/>
      <c r="Q27" s="34"/>
      <c r="R27" s="21"/>
      <c r="S27" s="3"/>
    </row>
    <row r="28">
      <c r="A28" s="31"/>
      <c r="B28" s="32"/>
      <c r="C28" s="21"/>
      <c r="D28" s="21"/>
      <c r="E28" s="30"/>
      <c r="F28" s="21"/>
      <c r="G28" s="21"/>
      <c r="H28" s="21"/>
      <c r="I28" s="21"/>
      <c r="J28" s="21"/>
      <c r="K28" s="21"/>
      <c r="L28" s="21"/>
      <c r="M28" s="29"/>
      <c r="N28" s="21"/>
      <c r="O28" s="29"/>
      <c r="P28" s="33"/>
      <c r="Q28" s="34"/>
      <c r="R28" s="21"/>
      <c r="S28" s="3"/>
    </row>
    <row r="29">
      <c r="A29" s="31"/>
      <c r="B29" s="32"/>
      <c r="C29" s="21"/>
      <c r="D29" s="21"/>
      <c r="E29" s="30"/>
      <c r="F29" s="21"/>
      <c r="G29" s="21"/>
      <c r="H29" s="21"/>
      <c r="I29" s="21"/>
      <c r="J29" s="21"/>
      <c r="K29" s="29"/>
      <c r="L29" s="21"/>
      <c r="M29" s="29"/>
      <c r="N29" s="21"/>
      <c r="O29" s="29"/>
      <c r="P29" s="33"/>
      <c r="Q29" s="34"/>
      <c r="R29" s="21"/>
      <c r="S29" s="3"/>
    </row>
    <row r="30">
      <c r="A30" s="31"/>
      <c r="B30" s="32"/>
      <c r="C30" s="21"/>
      <c r="D30" s="21"/>
      <c r="E30" s="30"/>
      <c r="F30" s="21"/>
      <c r="G30" s="21"/>
      <c r="H30" s="21"/>
      <c r="I30" s="21"/>
      <c r="J30" s="21"/>
      <c r="K30" s="21"/>
      <c r="L30" s="21"/>
      <c r="M30" s="29"/>
      <c r="N30" s="21"/>
      <c r="O30" s="29"/>
      <c r="P30" s="33"/>
      <c r="Q30" s="34"/>
      <c r="R30" s="21"/>
      <c r="S30" s="3"/>
    </row>
    <row r="31">
      <c r="A31" s="35" t="s">
        <v>30</v>
      </c>
      <c r="B31" s="36"/>
      <c r="C31" s="9"/>
      <c r="D31" s="21">
        <f t="shared" ref="D31:Q31" si="1">SUM(D6:D30)</f>
        <v>402</v>
      </c>
      <c r="E31" s="21">
        <f t="shared" si="1"/>
        <v>443</v>
      </c>
      <c r="F31" s="21">
        <f t="shared" si="1"/>
        <v>1311</v>
      </c>
      <c r="G31" s="21">
        <f t="shared" si="1"/>
        <v>84</v>
      </c>
      <c r="H31" s="21">
        <f t="shared" si="1"/>
        <v>114</v>
      </c>
      <c r="I31" s="21">
        <f t="shared" si="1"/>
        <v>567</v>
      </c>
      <c r="J31" s="21">
        <f t="shared" si="1"/>
        <v>348</v>
      </c>
      <c r="K31" s="21">
        <f t="shared" si="1"/>
        <v>8</v>
      </c>
      <c r="L31" s="21">
        <f t="shared" si="1"/>
        <v>0</v>
      </c>
      <c r="M31" s="21">
        <f t="shared" si="1"/>
        <v>0</v>
      </c>
      <c r="N31" s="21">
        <f t="shared" si="1"/>
        <v>0</v>
      </c>
      <c r="O31" s="21">
        <f t="shared" si="1"/>
        <v>0</v>
      </c>
      <c r="P31" s="21">
        <f t="shared" si="1"/>
        <v>32</v>
      </c>
      <c r="Q31" s="21">
        <f t="shared" si="1"/>
        <v>0</v>
      </c>
      <c r="R31" s="21"/>
      <c r="S31" s="3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7" t="s">
        <v>31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>
      <c r="A2" s="37" t="s">
        <v>32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>
      <c r="A3" s="38"/>
      <c r="B3" s="3" t="s">
        <v>2</v>
      </c>
      <c r="C3" s="3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>
      <c r="A4" s="3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>
      <c r="A5" s="40" t="s">
        <v>33</v>
      </c>
      <c r="B5" s="40" t="s">
        <v>34</v>
      </c>
      <c r="C5" s="40" t="s">
        <v>35</v>
      </c>
      <c r="D5" s="40" t="s">
        <v>36</v>
      </c>
      <c r="E5" s="40" t="s">
        <v>37</v>
      </c>
      <c r="F5" s="40" t="s">
        <v>38</v>
      </c>
      <c r="G5" s="40" t="s">
        <v>39</v>
      </c>
      <c r="H5" s="41" t="s">
        <v>40</v>
      </c>
      <c r="I5" s="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>
      <c r="A6" s="11"/>
      <c r="B6" s="11"/>
      <c r="C6" s="11"/>
      <c r="D6" s="11"/>
      <c r="E6" s="11"/>
      <c r="F6" s="11"/>
      <c r="G6" s="11"/>
      <c r="H6" s="42" t="s">
        <v>41</v>
      </c>
      <c r="I6" s="42" t="s">
        <v>42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>
      <c r="A8" s="31">
        <v>1.0</v>
      </c>
      <c r="B8" s="21" t="s">
        <v>43</v>
      </c>
      <c r="C8" s="45" t="s">
        <v>44</v>
      </c>
      <c r="D8" s="34" t="s">
        <v>45</v>
      </c>
      <c r="E8" s="34" t="s">
        <v>46</v>
      </c>
      <c r="F8" s="46" t="s">
        <v>47</v>
      </c>
      <c r="G8" s="46" t="s">
        <v>48</v>
      </c>
      <c r="H8" s="46" t="s">
        <v>49</v>
      </c>
      <c r="I8" s="21" t="s">
        <v>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>
      <c r="A9" s="31">
        <v>2.0</v>
      </c>
      <c r="B9" s="21"/>
      <c r="C9" s="45"/>
      <c r="D9" s="46"/>
      <c r="E9" s="46"/>
      <c r="F9" s="46"/>
      <c r="G9" s="46"/>
      <c r="H9" s="46"/>
      <c r="I9" s="2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>
      <c r="A10" s="25">
        <v>3.0</v>
      </c>
      <c r="B10" s="21"/>
      <c r="C10" s="46"/>
      <c r="D10" s="46"/>
      <c r="E10" s="46"/>
      <c r="F10" s="46"/>
      <c r="G10" s="46"/>
      <c r="H10" s="21"/>
      <c r="I10" s="2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>
      <c r="A11" s="31"/>
      <c r="B11" s="47"/>
      <c r="C11" s="46"/>
      <c r="D11" s="46"/>
      <c r="E11" s="34"/>
      <c r="F11" s="46"/>
      <c r="G11" s="46"/>
      <c r="H11" s="46"/>
      <c r="I11" s="2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>
      <c r="A12" s="31"/>
      <c r="B12" s="21"/>
      <c r="C12" s="46"/>
      <c r="D12" s="46"/>
      <c r="E12" s="46"/>
      <c r="F12" s="46"/>
      <c r="G12" s="46"/>
      <c r="H12" s="21"/>
      <c r="I12" s="2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>
      <c r="A13" s="31"/>
      <c r="B13" s="47"/>
      <c r="C13" s="46"/>
      <c r="D13" s="46"/>
      <c r="E13" s="46"/>
      <c r="F13" s="46"/>
      <c r="G13" s="46"/>
      <c r="H13" s="46"/>
      <c r="I13" s="2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>
      <c r="A14" s="31"/>
      <c r="B14" s="47"/>
      <c r="C14" s="46"/>
      <c r="D14" s="46"/>
      <c r="E14" s="46"/>
      <c r="F14" s="46"/>
      <c r="G14" s="46"/>
      <c r="H14" s="21"/>
      <c r="I14" s="2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</row>
    <row r="15">
      <c r="A15" s="31"/>
      <c r="B15" s="47"/>
      <c r="C15" s="46"/>
      <c r="D15" s="46"/>
      <c r="E15" s="46"/>
      <c r="F15" s="46"/>
      <c r="G15" s="46"/>
      <c r="H15" s="21"/>
      <c r="I15" s="2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>
      <c r="A16" s="31"/>
      <c r="B16" s="47"/>
      <c r="C16" s="46"/>
      <c r="D16" s="29"/>
      <c r="E16" s="46"/>
      <c r="F16" s="46"/>
      <c r="G16" s="46"/>
      <c r="H16" s="21"/>
      <c r="I16" s="2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>
      <c r="A17" s="31"/>
      <c r="B17" s="47"/>
      <c r="C17" s="46"/>
      <c r="D17" s="46"/>
      <c r="E17" s="46"/>
      <c r="F17" s="46"/>
      <c r="G17" s="46"/>
      <c r="H17" s="29"/>
      <c r="I17" s="2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</row>
    <row r="18">
      <c r="A18" s="31"/>
      <c r="B18" s="47"/>
      <c r="C18" s="46"/>
      <c r="D18" s="46"/>
      <c r="E18" s="46"/>
      <c r="F18" s="46"/>
      <c r="G18" s="46"/>
      <c r="H18" s="29"/>
      <c r="I18" s="2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>
      <c r="A19" s="31"/>
      <c r="B19" s="47"/>
      <c r="C19" s="46"/>
      <c r="D19" s="46"/>
      <c r="E19" s="46"/>
      <c r="F19" s="46"/>
      <c r="G19" s="46"/>
      <c r="H19" s="29"/>
      <c r="I19" s="2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</row>
    <row r="20">
      <c r="A20" s="31"/>
      <c r="B20" s="47"/>
      <c r="C20" s="46"/>
      <c r="D20" s="46"/>
      <c r="E20" s="46"/>
      <c r="F20" s="46"/>
      <c r="G20" s="46"/>
      <c r="H20" s="29"/>
      <c r="I20" s="2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>
      <c r="A21" s="31"/>
      <c r="B21" s="47"/>
      <c r="C21" s="46"/>
      <c r="D21" s="46"/>
      <c r="E21" s="46"/>
      <c r="F21" s="46"/>
      <c r="G21" s="46"/>
      <c r="H21" s="29"/>
      <c r="I21" s="2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>
      <c r="A22" s="31"/>
      <c r="B22" s="48"/>
      <c r="C22" s="46"/>
      <c r="D22" s="46"/>
      <c r="E22" s="46"/>
      <c r="F22" s="46"/>
      <c r="G22" s="46"/>
      <c r="H22" s="29"/>
      <c r="I22" s="2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>
      <c r="A23" s="31"/>
      <c r="B23" s="47"/>
      <c r="C23" s="46"/>
      <c r="D23" s="46"/>
      <c r="E23" s="46"/>
      <c r="F23" s="46"/>
      <c r="G23" s="46"/>
      <c r="H23" s="29"/>
      <c r="I23" s="2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>
      <c r="A24" s="31"/>
      <c r="B24" s="47"/>
      <c r="C24" s="46"/>
      <c r="D24" s="46"/>
      <c r="E24" s="46"/>
      <c r="F24" s="46"/>
      <c r="G24" s="46"/>
      <c r="H24" s="29"/>
      <c r="I24" s="2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>
      <c r="A25" s="31"/>
      <c r="B25" s="47"/>
      <c r="C25" s="46"/>
      <c r="D25" s="46"/>
      <c r="E25" s="46"/>
      <c r="F25" s="46"/>
      <c r="G25" s="46"/>
      <c r="H25" s="29"/>
      <c r="I25" s="2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>
      <c r="A26" s="31"/>
      <c r="B26" s="47"/>
      <c r="C26" s="46"/>
      <c r="D26" s="46"/>
      <c r="E26" s="46"/>
      <c r="F26" s="46"/>
      <c r="G26" s="46"/>
      <c r="H26" s="29"/>
      <c r="I26" s="2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>
      <c r="A27" s="31"/>
      <c r="B27" s="47"/>
      <c r="C27" s="46"/>
      <c r="D27" s="49"/>
      <c r="E27" s="46"/>
      <c r="F27" s="46"/>
      <c r="G27" s="46"/>
      <c r="H27" s="29"/>
      <c r="I27" s="2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>
      <c r="A28" s="31"/>
      <c r="B28" s="50"/>
      <c r="C28" s="46"/>
      <c r="D28" s="46"/>
      <c r="E28" s="46"/>
      <c r="F28" s="46"/>
      <c r="G28" s="46"/>
      <c r="H28" s="29"/>
      <c r="I28" s="4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>
      <c r="A29" s="31"/>
      <c r="B29" s="50"/>
      <c r="C29" s="46"/>
      <c r="D29" s="46"/>
      <c r="E29" s="46"/>
      <c r="F29" s="46"/>
      <c r="G29" s="46"/>
      <c r="H29" s="29"/>
      <c r="I29" s="4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>
      <c r="A30" s="51"/>
      <c r="B30" s="29"/>
      <c r="C30" s="29"/>
      <c r="D30" s="29"/>
      <c r="E30" s="29"/>
      <c r="F30" s="29"/>
      <c r="G30" s="29"/>
      <c r="H30" s="29"/>
      <c r="I30" s="2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>
      <c r="A31" s="51"/>
      <c r="B31" s="29"/>
      <c r="C31" s="29"/>
      <c r="D31" s="29"/>
      <c r="E31" s="29"/>
      <c r="F31" s="29"/>
      <c r="G31" s="29"/>
      <c r="H31" s="29"/>
      <c r="I31" s="2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>
      <c r="A32" s="3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>
      <c r="A33" s="3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>
      <c r="A34" s="3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>
      <c r="A35" s="3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>
      <c r="A36" s="3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>
      <c r="A37" s="3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>
      <c r="A38" s="3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>
      <c r="A39" s="3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>
      <c r="A40" s="3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>
      <c r="A41" s="3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>
      <c r="A42" s="3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>
      <c r="A43" s="3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>
      <c r="A44" s="3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>
      <c r="A45" s="3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>
      <c r="A46" s="3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>
      <c r="A47" s="3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>
      <c r="A48" s="3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>
      <c r="A49" s="3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>
      <c r="A50" s="3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>
      <c r="A51" s="3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>
      <c r="A52" s="3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>
      <c r="A53" s="3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>
      <c r="A54" s="3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>
      <c r="A55" s="3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>
      <c r="A56" s="3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>
      <c r="A57" s="3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>
      <c r="A58" s="3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>
      <c r="A59" s="3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>
      <c r="A60" s="3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>
      <c r="A61" s="3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>
      <c r="A62" s="3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>
      <c r="A63" s="3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>
      <c r="A64" s="3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>
      <c r="A65" s="3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>
      <c r="A66" s="3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>
      <c r="A67" s="3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>
      <c r="A68" s="3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>
      <c r="A69" s="3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>
      <c r="A70" s="3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>
      <c r="A71" s="3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>
      <c r="A72" s="3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>
      <c r="A73" s="3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>
      <c r="A74" s="3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>
      <c r="A75" s="3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>
      <c r="A76" s="3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>
      <c r="A77" s="3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>
      <c r="A78" s="3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>
      <c r="A79" s="3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>
      <c r="A80" s="3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>
      <c r="A81" s="3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>
      <c r="A82" s="3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>
      <c r="A83" s="3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>
      <c r="A84" s="3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>
      <c r="A85" s="3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>
      <c r="A86" s="3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>
      <c r="A87" s="3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>
      <c r="A88" s="3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>
      <c r="A89" s="3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>
      <c r="A90" s="3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>
      <c r="A91" s="3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>
      <c r="A92" s="3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>
      <c r="A93" s="3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>
      <c r="A94" s="3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>
      <c r="A95" s="3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>
      <c r="A96" s="3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>
      <c r="A97" s="3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>
      <c r="A98" s="3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>
      <c r="A99" s="3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>
      <c r="A100" s="3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>
      <c r="A101" s="3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>
      <c r="A102" s="3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>
      <c r="A103" s="3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>
      <c r="A104" s="3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>
      <c r="A105" s="3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>
      <c r="A106" s="3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>
      <c r="A107" s="3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>
      <c r="A108" s="3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>
      <c r="A109" s="3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>
      <c r="A110" s="3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>
      <c r="A111" s="3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>
      <c r="A112" s="3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>
      <c r="A113" s="3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>
      <c r="A114" s="3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>
      <c r="A115" s="3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>
      <c r="A116" s="3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>
      <c r="A117" s="3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>
      <c r="A118" s="3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>
      <c r="A119" s="3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>
      <c r="A120" s="3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>
      <c r="A121" s="3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>
      <c r="A122" s="3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>
      <c r="A123" s="3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>
      <c r="A124" s="3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>
      <c r="A125" s="3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>
      <c r="A126" s="3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>
      <c r="A127" s="3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>
      <c r="A128" s="3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>
      <c r="A129" s="3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>
      <c r="A130" s="3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>
      <c r="A131" s="3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>
      <c r="A132" s="3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>
      <c r="A133" s="3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>
      <c r="A134" s="3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>
      <c r="A135" s="3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>
      <c r="A136" s="3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>
      <c r="A137" s="3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>
      <c r="A138" s="3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>
      <c r="A139" s="3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>
      <c r="A140" s="3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>
      <c r="A141" s="3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>
      <c r="A142" s="3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>
      <c r="A143" s="3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>
      <c r="A144" s="3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>
      <c r="A145" s="3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>
      <c r="A146" s="3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>
      <c r="A147" s="3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>
      <c r="A148" s="3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>
      <c r="A149" s="3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>
      <c r="A150" s="3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>
      <c r="A151" s="3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>
      <c r="A152" s="3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>
      <c r="A153" s="3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>
      <c r="A154" s="3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>
      <c r="A155" s="3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>
      <c r="A156" s="3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>
      <c r="A157" s="3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>
      <c r="A158" s="3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>
      <c r="A159" s="3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>
      <c r="A160" s="3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>
      <c r="A161" s="3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>
      <c r="A162" s="3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>
      <c r="A163" s="3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>
      <c r="A164" s="3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>
      <c r="A165" s="3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>
      <c r="A166" s="3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>
      <c r="A167" s="3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>
      <c r="A168" s="3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>
      <c r="A169" s="3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>
      <c r="A170" s="3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>
      <c r="A171" s="3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>
      <c r="A172" s="3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>
      <c r="A173" s="3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>
      <c r="A174" s="3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>
      <c r="A175" s="3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>
      <c r="A176" s="3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>
      <c r="A177" s="3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>
      <c r="A178" s="3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>
      <c r="A179" s="3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>
      <c r="A180" s="3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>
      <c r="A181" s="3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>
      <c r="A182" s="3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>
      <c r="A183" s="3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>
      <c r="A184" s="3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>
      <c r="A185" s="3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>
      <c r="A186" s="3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>
      <c r="A187" s="3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>
      <c r="A188" s="3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>
      <c r="A189" s="3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>
      <c r="A190" s="3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>
      <c r="A191" s="3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>
      <c r="A192" s="3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>
      <c r="A193" s="3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>
      <c r="A194" s="3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>
      <c r="A195" s="3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>
      <c r="A196" s="3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>
      <c r="A197" s="3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>
      <c r="A198" s="3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>
      <c r="A199" s="3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>
      <c r="A200" s="3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>
      <c r="A201" s="3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>
      <c r="A202" s="3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>
      <c r="A203" s="3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>
      <c r="A204" s="3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>
      <c r="A205" s="3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>
      <c r="A206" s="3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>
      <c r="A207" s="3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>
      <c r="A208" s="3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>
      <c r="A209" s="3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>
      <c r="A210" s="3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>
      <c r="A211" s="3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>
      <c r="A212" s="3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>
      <c r="A213" s="3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>
      <c r="A214" s="3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>
      <c r="A215" s="3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>
      <c r="A216" s="3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>
      <c r="A217" s="3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>
      <c r="A218" s="3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>
      <c r="A219" s="3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>
      <c r="A220" s="3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>
      <c r="A221" s="3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>
      <c r="A222" s="3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>
      <c r="A223" s="3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>
      <c r="A224" s="3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>
      <c r="A225" s="3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>
      <c r="A226" s="3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>
      <c r="A227" s="3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>
      <c r="A228" s="3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>
      <c r="A229" s="3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>
      <c r="A230" s="3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>
      <c r="A231" s="3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>
      <c r="A232" s="3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>
      <c r="A233" s="3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>
      <c r="A234" s="3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>
      <c r="A235" s="3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>
      <c r="A236" s="3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>
      <c r="A237" s="3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>
      <c r="A238" s="3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>
      <c r="A239" s="3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>
      <c r="A240" s="3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>
      <c r="A241" s="3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>
      <c r="A242" s="3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>
      <c r="A243" s="3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>
      <c r="A244" s="3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>
      <c r="A245" s="3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>
      <c r="A246" s="3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>
      <c r="A247" s="3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>
      <c r="A248" s="3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>
      <c r="A249" s="3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>
      <c r="A250" s="3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>
      <c r="A251" s="3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>
      <c r="A252" s="3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>
      <c r="A253" s="3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>
      <c r="A254" s="3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>
      <c r="A255" s="3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>
      <c r="A256" s="3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>
      <c r="A257" s="3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>
      <c r="A258" s="3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>
      <c r="A259" s="3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>
      <c r="A260" s="3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>
      <c r="A261" s="3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>
      <c r="A262" s="3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>
      <c r="A263" s="3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>
      <c r="A264" s="3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>
      <c r="A265" s="3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>
      <c r="A266" s="3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>
      <c r="A267" s="3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>
      <c r="A268" s="3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>
      <c r="A269" s="3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>
      <c r="A270" s="3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>
      <c r="A271" s="3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>
      <c r="A272" s="3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>
      <c r="A273" s="3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>
      <c r="A274" s="3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>
      <c r="A275" s="3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>
      <c r="A276" s="3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>
      <c r="A277" s="3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>
      <c r="A278" s="3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>
      <c r="A279" s="3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>
      <c r="A280" s="3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>
      <c r="A281" s="3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>
      <c r="A282" s="3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>
      <c r="A283" s="3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>
      <c r="A284" s="3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>
      <c r="A285" s="3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>
      <c r="A286" s="3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>
      <c r="A287" s="3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>
      <c r="A288" s="3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>
      <c r="A289" s="3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>
      <c r="A290" s="3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>
      <c r="A291" s="3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>
      <c r="A292" s="3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>
      <c r="A293" s="3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>
      <c r="A294" s="3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>
      <c r="A295" s="3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>
      <c r="A296" s="3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>
      <c r="A297" s="3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>
      <c r="A298" s="3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>
      <c r="A299" s="3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>
      <c r="A300" s="3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>
      <c r="A301" s="3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>
      <c r="A302" s="3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>
      <c r="A303" s="3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>
      <c r="A304" s="3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>
      <c r="A305" s="3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>
      <c r="A306" s="3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>
      <c r="A307" s="3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>
      <c r="A308" s="3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>
      <c r="A309" s="3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>
      <c r="A310" s="3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>
      <c r="A311" s="3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>
      <c r="A312" s="3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>
      <c r="A313" s="3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>
      <c r="A314" s="3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>
      <c r="A315" s="3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>
      <c r="A316" s="3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>
      <c r="A317" s="3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>
      <c r="A318" s="3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>
      <c r="A319" s="3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>
      <c r="A320" s="3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>
      <c r="A321" s="3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>
      <c r="A322" s="3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>
      <c r="A323" s="3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>
      <c r="A324" s="3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>
      <c r="A325" s="3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>
      <c r="A326" s="3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>
      <c r="A327" s="3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>
      <c r="A328" s="3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>
      <c r="A329" s="3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>
      <c r="A330" s="3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>
      <c r="A331" s="3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>
      <c r="A332" s="3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>
      <c r="A333" s="3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>
      <c r="A334" s="3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>
      <c r="A335" s="3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>
      <c r="A336" s="3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>
      <c r="A337" s="3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>
      <c r="A338" s="3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>
      <c r="A339" s="3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>
      <c r="A340" s="3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>
      <c r="A341" s="3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>
      <c r="A342" s="3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>
      <c r="A343" s="3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>
      <c r="A344" s="3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>
      <c r="A345" s="3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>
      <c r="A346" s="3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>
      <c r="A347" s="3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>
      <c r="A348" s="3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>
      <c r="A349" s="3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>
      <c r="A350" s="3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>
      <c r="A351" s="3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>
      <c r="A352" s="3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>
      <c r="A353" s="3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>
      <c r="A354" s="3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>
      <c r="A355" s="3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>
      <c r="A356" s="3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>
      <c r="A357" s="3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>
      <c r="A358" s="3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>
      <c r="A359" s="3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>
      <c r="A360" s="3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>
      <c r="A361" s="3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>
      <c r="A362" s="3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>
      <c r="A363" s="3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>
      <c r="A364" s="3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>
      <c r="A365" s="3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>
      <c r="A366" s="3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>
      <c r="A367" s="3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>
      <c r="A368" s="3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>
      <c r="A369" s="3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>
      <c r="A370" s="3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>
      <c r="A371" s="3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>
      <c r="A372" s="3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>
      <c r="A373" s="3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>
      <c r="A374" s="3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>
      <c r="A375" s="3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>
      <c r="A376" s="3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>
      <c r="A377" s="3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>
      <c r="A378" s="3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>
      <c r="A379" s="3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>
      <c r="A380" s="3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>
      <c r="A381" s="3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>
      <c r="A382" s="3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>
      <c r="A383" s="3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>
      <c r="A384" s="3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>
      <c r="A385" s="3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>
      <c r="A386" s="3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>
      <c r="A387" s="3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>
      <c r="A388" s="3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>
      <c r="A389" s="3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>
      <c r="A390" s="3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>
      <c r="A391" s="3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>
      <c r="A392" s="3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>
      <c r="A393" s="3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>
      <c r="A394" s="3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>
      <c r="A395" s="3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>
      <c r="A396" s="3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>
      <c r="A397" s="3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>
      <c r="A398" s="3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>
      <c r="A399" s="3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>
      <c r="A400" s="3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>
      <c r="A401" s="3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>
      <c r="A402" s="3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>
      <c r="A403" s="3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>
      <c r="A404" s="3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>
      <c r="A405" s="3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>
      <c r="A406" s="3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>
      <c r="A407" s="3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>
      <c r="A408" s="3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>
      <c r="A409" s="3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>
      <c r="A410" s="3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>
      <c r="A411" s="3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>
      <c r="A412" s="3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>
      <c r="A413" s="3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>
      <c r="A414" s="3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>
      <c r="A415" s="3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>
      <c r="A416" s="3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>
      <c r="A417" s="3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>
      <c r="A418" s="3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>
      <c r="A419" s="3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>
      <c r="A420" s="3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>
      <c r="A421" s="3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>
      <c r="A422" s="3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>
      <c r="A423" s="3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>
      <c r="A424" s="3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>
      <c r="A425" s="3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>
      <c r="A426" s="3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>
      <c r="A427" s="3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>
      <c r="A428" s="3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>
      <c r="A429" s="3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>
      <c r="A430" s="3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>
      <c r="A431" s="3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>
      <c r="A432" s="3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>
      <c r="A433" s="3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>
      <c r="A434" s="3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>
      <c r="A435" s="3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>
      <c r="A436" s="3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>
      <c r="A437" s="3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>
      <c r="A438" s="3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>
      <c r="A439" s="3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>
      <c r="A440" s="3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>
      <c r="A441" s="3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>
      <c r="A442" s="3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>
      <c r="A443" s="3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>
      <c r="A444" s="3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>
      <c r="A445" s="3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>
      <c r="A446" s="3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>
      <c r="A447" s="3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>
      <c r="A448" s="3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>
      <c r="A449" s="3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>
      <c r="A450" s="3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>
      <c r="A451" s="3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>
      <c r="A452" s="3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>
      <c r="A453" s="3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>
      <c r="A454" s="3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>
      <c r="A455" s="3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>
      <c r="A456" s="3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>
      <c r="A457" s="3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>
      <c r="A458" s="3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>
      <c r="A459" s="3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>
      <c r="A460" s="3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>
      <c r="A461" s="3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>
      <c r="A462" s="3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>
      <c r="A463" s="3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>
      <c r="A464" s="3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>
      <c r="A465" s="3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>
      <c r="A466" s="3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>
      <c r="A467" s="3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>
      <c r="A468" s="3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>
      <c r="A469" s="3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>
      <c r="A470" s="3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>
      <c r="A471" s="3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>
      <c r="A472" s="3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>
      <c r="A473" s="3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>
      <c r="A474" s="3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>
      <c r="A475" s="3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>
      <c r="A476" s="3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>
      <c r="A477" s="3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>
      <c r="A478" s="3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>
      <c r="A479" s="3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>
      <c r="A480" s="3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>
      <c r="A481" s="3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>
      <c r="A482" s="3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>
      <c r="A483" s="3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>
      <c r="A484" s="3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>
      <c r="A485" s="3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>
      <c r="A486" s="3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>
      <c r="A487" s="3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>
      <c r="A488" s="3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>
      <c r="A489" s="3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>
      <c r="A490" s="3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>
      <c r="A491" s="3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>
      <c r="A492" s="3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>
      <c r="A493" s="3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>
      <c r="A494" s="3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>
      <c r="A495" s="3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>
      <c r="A496" s="3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>
      <c r="A497" s="3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>
      <c r="A498" s="3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>
      <c r="A499" s="3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>
      <c r="A500" s="3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>
      <c r="A501" s="3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>
      <c r="A502" s="3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>
      <c r="A503" s="3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>
      <c r="A504" s="3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>
      <c r="A505" s="3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>
      <c r="A506" s="3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>
      <c r="A507" s="3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>
      <c r="A508" s="3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>
      <c r="A509" s="3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>
      <c r="A510" s="3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>
      <c r="A511" s="3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>
      <c r="A512" s="3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>
      <c r="A513" s="3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>
      <c r="A514" s="3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>
      <c r="A515" s="3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>
      <c r="A516" s="3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>
      <c r="A517" s="3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>
      <c r="A518" s="3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>
      <c r="A519" s="3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>
      <c r="A520" s="3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>
      <c r="A521" s="3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>
      <c r="A522" s="3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>
      <c r="A523" s="3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>
      <c r="A524" s="3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>
      <c r="A525" s="3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>
      <c r="A526" s="3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>
      <c r="A527" s="3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>
      <c r="A528" s="3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>
      <c r="A529" s="3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>
      <c r="A530" s="3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>
      <c r="A531" s="3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>
      <c r="A532" s="3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>
      <c r="A533" s="3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>
      <c r="A534" s="3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>
      <c r="A535" s="3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>
      <c r="A536" s="3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>
      <c r="A537" s="3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>
      <c r="A538" s="3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>
      <c r="A539" s="3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>
      <c r="A540" s="3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>
      <c r="A541" s="3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>
      <c r="A542" s="3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>
      <c r="A543" s="3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>
      <c r="A544" s="3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>
      <c r="A545" s="3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>
      <c r="A546" s="3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>
      <c r="A547" s="3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>
      <c r="A548" s="3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>
      <c r="A549" s="3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>
      <c r="A550" s="3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>
      <c r="A551" s="3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>
      <c r="A552" s="3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>
      <c r="A553" s="3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>
      <c r="A554" s="3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>
      <c r="A555" s="3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>
      <c r="A556" s="3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>
      <c r="A557" s="3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>
      <c r="A558" s="3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>
      <c r="A559" s="3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>
      <c r="A560" s="3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>
      <c r="A561" s="3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>
      <c r="A562" s="3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>
      <c r="A563" s="3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>
      <c r="A564" s="3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>
      <c r="A565" s="3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>
      <c r="A566" s="3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>
      <c r="A567" s="3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>
      <c r="A568" s="3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>
      <c r="A569" s="3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>
      <c r="A570" s="3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>
      <c r="A571" s="3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>
      <c r="A572" s="3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>
      <c r="A573" s="3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>
      <c r="A574" s="3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>
      <c r="A575" s="3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>
      <c r="A576" s="3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>
      <c r="A577" s="3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>
      <c r="A578" s="3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>
      <c r="A579" s="3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>
      <c r="A580" s="3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>
      <c r="A581" s="3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>
      <c r="A582" s="3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>
      <c r="A583" s="3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>
      <c r="A584" s="3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>
      <c r="A585" s="3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>
      <c r="A586" s="3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>
      <c r="A587" s="3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>
      <c r="A588" s="3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>
      <c r="A589" s="3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>
      <c r="A590" s="3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>
      <c r="A591" s="3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>
      <c r="A592" s="3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>
      <c r="A593" s="3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>
      <c r="A594" s="3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>
      <c r="A595" s="3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>
      <c r="A596" s="3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>
      <c r="A597" s="3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>
      <c r="A598" s="3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>
      <c r="A599" s="3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>
      <c r="A600" s="3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>
      <c r="A601" s="3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>
      <c r="A602" s="3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>
      <c r="A603" s="3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>
      <c r="A604" s="3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>
      <c r="A605" s="3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>
      <c r="A606" s="3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>
      <c r="A607" s="3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>
      <c r="A608" s="3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>
      <c r="A609" s="3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>
      <c r="A610" s="3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>
      <c r="A611" s="3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>
      <c r="A612" s="3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>
      <c r="A613" s="3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>
      <c r="A614" s="3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>
      <c r="A615" s="3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>
      <c r="A616" s="3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>
      <c r="A617" s="3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>
      <c r="A618" s="3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>
      <c r="A619" s="3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>
      <c r="A620" s="3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>
      <c r="A621" s="3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>
      <c r="A622" s="3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>
      <c r="A623" s="3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>
      <c r="A624" s="3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>
      <c r="A625" s="3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>
      <c r="A626" s="3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>
      <c r="A627" s="3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>
      <c r="A628" s="3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>
      <c r="A629" s="3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>
      <c r="A630" s="3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>
      <c r="A631" s="3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>
      <c r="A632" s="3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>
      <c r="A633" s="3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>
      <c r="A634" s="3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>
      <c r="A635" s="3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>
      <c r="A636" s="3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>
      <c r="A637" s="3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>
      <c r="A638" s="3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>
      <c r="A639" s="3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>
      <c r="A640" s="3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>
      <c r="A641" s="3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>
      <c r="A642" s="3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>
      <c r="A643" s="3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>
      <c r="A644" s="3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>
      <c r="A645" s="3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>
      <c r="A646" s="3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>
      <c r="A647" s="3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>
      <c r="A648" s="3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>
      <c r="A649" s="3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>
      <c r="A650" s="3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>
      <c r="A651" s="3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>
      <c r="A652" s="3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>
      <c r="A653" s="3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>
      <c r="A654" s="3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>
      <c r="A655" s="3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>
      <c r="A656" s="3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>
      <c r="A657" s="3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>
      <c r="A658" s="3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>
      <c r="A659" s="3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>
      <c r="A660" s="3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>
      <c r="A661" s="3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>
      <c r="A662" s="3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>
      <c r="A663" s="3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>
      <c r="A664" s="3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>
      <c r="A665" s="3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>
      <c r="A666" s="3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>
      <c r="A667" s="3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>
      <c r="A668" s="3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>
      <c r="A669" s="3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>
      <c r="A670" s="3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>
      <c r="A671" s="3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>
      <c r="A672" s="3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>
      <c r="A673" s="3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>
      <c r="A674" s="3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>
      <c r="A675" s="3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>
      <c r="A676" s="3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>
      <c r="A677" s="3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>
      <c r="A678" s="3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>
      <c r="A679" s="3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>
      <c r="A680" s="3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>
      <c r="A681" s="3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>
      <c r="A682" s="3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>
      <c r="A683" s="3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>
      <c r="A684" s="3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>
      <c r="A685" s="3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>
      <c r="A686" s="3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>
      <c r="A687" s="3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>
      <c r="A688" s="3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>
      <c r="A689" s="3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>
      <c r="A690" s="3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>
      <c r="A691" s="3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>
      <c r="A692" s="3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>
      <c r="A693" s="3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>
      <c r="A694" s="3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>
      <c r="A695" s="3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>
      <c r="A696" s="3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>
      <c r="A697" s="3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>
      <c r="A698" s="3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>
      <c r="A699" s="3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>
      <c r="A700" s="3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>
      <c r="A701" s="3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>
      <c r="A702" s="3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>
      <c r="A703" s="3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>
      <c r="A704" s="3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>
      <c r="A705" s="3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>
      <c r="A706" s="3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>
      <c r="A707" s="3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>
      <c r="A708" s="3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>
      <c r="A709" s="3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>
      <c r="A710" s="3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>
      <c r="A711" s="3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>
      <c r="A712" s="3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>
      <c r="A713" s="3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>
      <c r="A714" s="3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>
      <c r="A715" s="3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>
      <c r="A716" s="3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>
      <c r="A717" s="3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>
      <c r="A718" s="3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>
      <c r="A719" s="3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>
      <c r="A720" s="3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>
      <c r="A721" s="3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>
      <c r="A722" s="3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>
      <c r="A723" s="3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>
      <c r="A724" s="3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>
      <c r="A725" s="3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>
      <c r="A726" s="3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>
      <c r="A727" s="3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>
      <c r="A728" s="3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>
      <c r="A729" s="3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>
      <c r="A730" s="3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>
      <c r="A731" s="3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>
      <c r="A732" s="3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>
      <c r="A733" s="3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>
      <c r="A734" s="3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>
      <c r="A735" s="3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>
      <c r="A736" s="3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>
      <c r="A737" s="3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>
      <c r="A738" s="3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>
      <c r="A739" s="3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>
      <c r="A740" s="3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>
      <c r="A741" s="3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>
      <c r="A742" s="3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>
      <c r="A743" s="3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>
      <c r="A744" s="3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>
      <c r="A745" s="3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>
      <c r="A746" s="3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>
      <c r="A747" s="3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>
      <c r="A748" s="3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>
      <c r="A749" s="3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>
      <c r="A750" s="3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>
      <c r="A751" s="3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>
      <c r="A752" s="3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>
      <c r="A753" s="3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>
      <c r="A754" s="3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>
      <c r="A755" s="3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>
      <c r="A756" s="3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>
      <c r="A757" s="3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>
      <c r="A758" s="3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>
      <c r="A759" s="3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>
      <c r="A760" s="3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>
      <c r="A761" s="3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>
      <c r="A762" s="3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>
      <c r="A763" s="3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>
      <c r="A764" s="3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>
      <c r="A765" s="3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>
      <c r="A766" s="3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>
      <c r="A767" s="3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>
      <c r="A768" s="3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>
      <c r="A769" s="3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>
      <c r="A770" s="3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>
      <c r="A771" s="3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>
      <c r="A772" s="3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>
      <c r="A773" s="3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>
      <c r="A774" s="3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>
      <c r="A775" s="3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>
      <c r="A776" s="3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>
      <c r="A777" s="3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>
      <c r="A778" s="3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>
      <c r="A779" s="3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>
      <c r="A780" s="3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>
      <c r="A781" s="3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>
      <c r="A782" s="3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>
      <c r="A783" s="3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>
      <c r="A784" s="3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>
      <c r="A785" s="3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>
      <c r="A786" s="3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>
      <c r="A787" s="3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>
      <c r="A788" s="3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>
      <c r="A789" s="3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>
      <c r="A790" s="3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>
      <c r="A791" s="3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>
      <c r="A792" s="3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>
      <c r="A793" s="3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>
      <c r="A794" s="3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>
      <c r="A795" s="3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>
      <c r="A796" s="3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>
      <c r="A797" s="3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>
      <c r="A798" s="3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>
      <c r="A799" s="3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>
      <c r="A800" s="3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>
      <c r="A801" s="3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>
      <c r="A802" s="3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>
      <c r="A803" s="3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>
      <c r="A804" s="3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>
      <c r="A805" s="3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>
      <c r="A806" s="3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>
      <c r="A807" s="3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>
      <c r="A808" s="3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>
      <c r="A809" s="3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>
      <c r="A810" s="3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>
      <c r="A811" s="3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>
      <c r="A812" s="3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>
      <c r="A813" s="3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>
      <c r="A814" s="3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>
      <c r="A815" s="3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>
      <c r="A816" s="3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>
      <c r="A817" s="3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>
      <c r="A818" s="3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>
      <c r="A819" s="3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>
      <c r="A820" s="3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>
      <c r="A821" s="3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>
      <c r="A822" s="3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>
      <c r="A823" s="3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>
      <c r="A824" s="3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>
      <c r="A825" s="3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>
      <c r="A826" s="3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>
      <c r="A827" s="3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>
      <c r="A828" s="3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>
      <c r="A829" s="3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>
      <c r="A830" s="3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>
      <c r="A831" s="3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>
      <c r="A832" s="3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>
      <c r="A833" s="3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>
      <c r="A834" s="3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>
      <c r="A835" s="3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>
      <c r="A836" s="3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>
      <c r="A837" s="3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>
      <c r="A838" s="3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>
      <c r="A839" s="3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>
      <c r="A840" s="3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>
      <c r="A841" s="3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>
      <c r="A842" s="3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>
      <c r="A843" s="3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>
      <c r="A844" s="3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>
      <c r="A845" s="3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>
      <c r="A846" s="3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>
      <c r="A847" s="3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>
      <c r="A848" s="3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>
      <c r="A849" s="3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>
      <c r="A850" s="3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>
      <c r="A851" s="3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>
      <c r="A852" s="3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>
      <c r="A853" s="3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>
      <c r="A854" s="3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>
      <c r="A855" s="3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>
      <c r="A856" s="3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>
      <c r="A857" s="3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>
      <c r="A858" s="3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>
      <c r="A859" s="3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>
      <c r="A860" s="3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>
      <c r="A861" s="3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>
      <c r="A862" s="3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>
      <c r="A863" s="3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>
      <c r="A864" s="3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>
      <c r="A865" s="3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>
      <c r="A866" s="3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>
      <c r="A867" s="3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>
      <c r="A868" s="3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>
      <c r="A869" s="3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>
      <c r="A870" s="3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>
      <c r="A871" s="3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>
      <c r="A872" s="3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>
      <c r="A873" s="3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>
      <c r="A874" s="3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>
      <c r="A875" s="3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>
      <c r="A876" s="3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>
      <c r="A877" s="3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>
      <c r="A878" s="3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>
      <c r="A879" s="3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>
      <c r="A880" s="3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>
      <c r="A881" s="3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>
      <c r="A882" s="3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>
      <c r="A883" s="3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>
      <c r="A884" s="3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>
      <c r="A885" s="3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>
      <c r="A886" s="3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>
      <c r="A887" s="3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>
      <c r="A888" s="3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>
      <c r="A889" s="3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>
      <c r="A890" s="3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>
      <c r="A891" s="3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>
      <c r="A892" s="3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>
      <c r="A893" s="3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>
      <c r="A894" s="3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>
      <c r="A895" s="3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>
      <c r="A896" s="3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>
      <c r="A897" s="3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>
      <c r="A898" s="3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>
      <c r="A899" s="3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>
      <c r="A900" s="3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>
      <c r="A901" s="3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>
      <c r="A902" s="3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>
      <c r="A903" s="3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>
      <c r="A904" s="3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>
      <c r="A905" s="3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>
      <c r="A906" s="3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>
      <c r="A907" s="3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>
      <c r="A908" s="3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>
      <c r="A909" s="3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>
      <c r="A910" s="3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>
      <c r="A911" s="3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>
      <c r="A912" s="3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>
      <c r="A913" s="3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>
      <c r="A914" s="3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>
      <c r="A915" s="3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>
      <c r="A916" s="3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>
      <c r="A917" s="3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>
      <c r="A918" s="3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>
      <c r="A919" s="3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>
      <c r="A920" s="3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>
      <c r="A921" s="3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>
      <c r="A922" s="3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>
      <c r="A923" s="3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>
      <c r="A924" s="3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>
      <c r="A925" s="3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>
      <c r="A926" s="3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>
      <c r="A927" s="3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>
      <c r="A928" s="3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>
      <c r="A929" s="3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>
      <c r="A930" s="3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>
      <c r="A931" s="3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>
      <c r="A932" s="3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>
      <c r="A933" s="3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>
      <c r="A934" s="3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>
      <c r="A935" s="3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>
      <c r="A936" s="3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>
      <c r="A937" s="3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>
      <c r="A938" s="3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>
      <c r="A939" s="3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>
      <c r="A940" s="3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>
      <c r="A941" s="3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>
      <c r="A942" s="3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>
      <c r="A943" s="3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>
      <c r="A944" s="3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>
      <c r="A945" s="3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>
      <c r="A946" s="3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>
      <c r="A947" s="3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>
      <c r="A948" s="3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>
      <c r="A949" s="3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>
      <c r="A950" s="3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>
      <c r="A951" s="3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>
      <c r="A952" s="3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>
      <c r="A953" s="3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>
      <c r="A954" s="3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>
      <c r="A955" s="3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>
      <c r="A956" s="3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>
      <c r="A957" s="3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>
      <c r="A958" s="3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>
      <c r="A959" s="3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>
      <c r="A960" s="3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>
      <c r="A961" s="3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>
      <c r="A962" s="3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>
      <c r="A963" s="3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>
      <c r="A964" s="3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>
      <c r="A965" s="3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>
      <c r="A966" s="3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>
      <c r="A967" s="3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>
      <c r="A968" s="3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>
      <c r="A969" s="3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>
      <c r="A970" s="3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>
      <c r="A971" s="3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>
      <c r="A972" s="3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>
      <c r="A973" s="3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>
      <c r="A974" s="3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>
      <c r="A975" s="3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>
      <c r="A976" s="3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>
      <c r="A977" s="3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>
      <c r="A978" s="3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>
      <c r="A979" s="3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>
      <c r="A980" s="3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>
      <c r="A981" s="3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>
      <c r="A982" s="3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>
      <c r="A983" s="3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>
      <c r="A984" s="3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>
      <c r="A985" s="3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>
      <c r="A986" s="3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>
      <c r="A987" s="3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>
      <c r="A988" s="3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>
      <c r="A989" s="3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>
      <c r="A990" s="3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>
      <c r="A991" s="3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>
      <c r="A992" s="3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>
      <c r="A993" s="3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>
      <c r="A994" s="3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>
      <c r="A995" s="3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>
      <c r="A996" s="3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>
      <c r="A997" s="3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>
      <c r="A998" s="3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>
      <c r="A999" s="3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>
      <c r="A1000" s="3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  <row r="1001">
      <c r="A1001" s="38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3.88"/>
    <col customWidth="1" min="3" max="3" width="15.25"/>
    <col customWidth="1" min="4" max="4" width="17.63"/>
    <col customWidth="1" min="5" max="5" width="18.63"/>
    <col customWidth="1" min="6" max="6" width="18.1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51</v>
      </c>
      <c r="AL1" s="5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>
      <c r="A3" s="3"/>
      <c r="B3" s="3" t="s">
        <v>2</v>
      </c>
      <c r="C3" s="39" t="s">
        <v>52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>
      <c r="A4" s="54" t="s">
        <v>3</v>
      </c>
      <c r="B4" s="54" t="s">
        <v>53</v>
      </c>
      <c r="C4" s="55" t="s">
        <v>54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9"/>
      <c r="AA4" s="56" t="s">
        <v>55</v>
      </c>
      <c r="AB4" s="36"/>
      <c r="AC4" s="36"/>
      <c r="AD4" s="36"/>
      <c r="AE4" s="36"/>
      <c r="AF4" s="9"/>
      <c r="AG4" s="56" t="s">
        <v>56</v>
      </c>
      <c r="AH4" s="36"/>
      <c r="AI4" s="36"/>
      <c r="AJ4" s="9"/>
      <c r="AK4" s="57" t="s">
        <v>57</v>
      </c>
      <c r="AL4" s="3"/>
    </row>
    <row r="5">
      <c r="A5" s="58"/>
      <c r="B5" s="58"/>
      <c r="C5" s="59" t="s">
        <v>58</v>
      </c>
      <c r="D5" s="36"/>
      <c r="E5" s="36"/>
      <c r="F5" s="36"/>
      <c r="G5" s="36"/>
      <c r="H5" s="36"/>
      <c r="I5" s="36"/>
      <c r="J5" s="9"/>
      <c r="K5" s="60" t="s">
        <v>59</v>
      </c>
      <c r="L5" s="61"/>
      <c r="M5" s="61"/>
      <c r="N5" s="62"/>
      <c r="O5" s="63" t="s">
        <v>60</v>
      </c>
      <c r="R5" s="64"/>
      <c r="S5" s="63" t="s">
        <v>61</v>
      </c>
      <c r="V5" s="64"/>
      <c r="W5" s="65" t="s">
        <v>62</v>
      </c>
      <c r="X5" s="56" t="s">
        <v>63</v>
      </c>
      <c r="Y5" s="36"/>
      <c r="Z5" s="9"/>
      <c r="AA5" s="54" t="s">
        <v>64</v>
      </c>
      <c r="AB5" s="62"/>
      <c r="AC5" s="54" t="s">
        <v>65</v>
      </c>
      <c r="AD5" s="62"/>
      <c r="AE5" s="54" t="s">
        <v>66</v>
      </c>
      <c r="AF5" s="62"/>
      <c r="AG5" s="54" t="s">
        <v>67</v>
      </c>
      <c r="AH5" s="62"/>
      <c r="AI5" s="54" t="s">
        <v>68</v>
      </c>
      <c r="AJ5" s="62"/>
      <c r="AK5" s="66"/>
      <c r="AL5" s="3"/>
    </row>
    <row r="6">
      <c r="A6" s="58"/>
      <c r="B6" s="58"/>
      <c r="C6" s="59" t="s">
        <v>69</v>
      </c>
      <c r="D6" s="36"/>
      <c r="E6" s="36"/>
      <c r="F6" s="9"/>
      <c r="G6" s="56" t="s">
        <v>70</v>
      </c>
      <c r="H6" s="36"/>
      <c r="I6" s="36"/>
      <c r="J6" s="9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71</v>
      </c>
      <c r="Y6" s="65" t="s">
        <v>72</v>
      </c>
      <c r="Z6" s="65" t="s">
        <v>73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3"/>
    </row>
    <row r="7">
      <c r="A7" s="58"/>
      <c r="B7" s="58"/>
      <c r="C7" s="59" t="s">
        <v>74</v>
      </c>
      <c r="D7" s="9"/>
      <c r="E7" s="56" t="s">
        <v>75</v>
      </c>
      <c r="F7" s="9"/>
      <c r="G7" s="56" t="s">
        <v>74</v>
      </c>
      <c r="H7" s="9"/>
      <c r="I7" s="56" t="s">
        <v>75</v>
      </c>
      <c r="J7" s="9"/>
      <c r="K7" s="70" t="s">
        <v>74</v>
      </c>
      <c r="L7" s="69"/>
      <c r="M7" s="70" t="s">
        <v>75</v>
      </c>
      <c r="N7" s="69"/>
      <c r="O7" s="70" t="s">
        <v>74</v>
      </c>
      <c r="P7" s="69"/>
      <c r="Q7" s="70" t="s">
        <v>75</v>
      </c>
      <c r="R7" s="69"/>
      <c r="S7" s="70" t="s">
        <v>74</v>
      </c>
      <c r="T7" s="69"/>
      <c r="U7" s="70" t="s">
        <v>75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3"/>
    </row>
    <row r="8">
      <c r="A8" s="67"/>
      <c r="B8" s="67"/>
      <c r="C8" s="13" t="s">
        <v>76</v>
      </c>
      <c r="D8" s="71" t="s">
        <v>77</v>
      </c>
      <c r="E8" s="71" t="s">
        <v>76</v>
      </c>
      <c r="F8" s="71" t="s">
        <v>77</v>
      </c>
      <c r="G8" s="71" t="s">
        <v>76</v>
      </c>
      <c r="H8" s="71" t="s">
        <v>77</v>
      </c>
      <c r="I8" s="71" t="s">
        <v>76</v>
      </c>
      <c r="J8" s="71" t="s">
        <v>77</v>
      </c>
      <c r="K8" s="15" t="s">
        <v>76</v>
      </c>
      <c r="L8" s="15" t="s">
        <v>77</v>
      </c>
      <c r="M8" s="15" t="s">
        <v>76</v>
      </c>
      <c r="N8" s="15" t="s">
        <v>77</v>
      </c>
      <c r="O8" s="15" t="s">
        <v>76</v>
      </c>
      <c r="P8" s="15" t="s">
        <v>77</v>
      </c>
      <c r="Q8" s="15" t="s">
        <v>76</v>
      </c>
      <c r="R8" s="15" t="s">
        <v>77</v>
      </c>
      <c r="S8" s="15" t="s">
        <v>76</v>
      </c>
      <c r="T8" s="15" t="s">
        <v>77</v>
      </c>
      <c r="U8" s="15" t="s">
        <v>76</v>
      </c>
      <c r="V8" s="15" t="s">
        <v>77</v>
      </c>
      <c r="W8" s="11"/>
      <c r="X8" s="11"/>
      <c r="Y8" s="11"/>
      <c r="Z8" s="11"/>
      <c r="AA8" s="71" t="s">
        <v>76</v>
      </c>
      <c r="AB8" s="71" t="s">
        <v>77</v>
      </c>
      <c r="AC8" s="71" t="s">
        <v>76</v>
      </c>
      <c r="AD8" s="71" t="s">
        <v>77</v>
      </c>
      <c r="AE8" s="71" t="s">
        <v>76</v>
      </c>
      <c r="AF8" s="71" t="s">
        <v>77</v>
      </c>
      <c r="AG8" s="71" t="s">
        <v>76</v>
      </c>
      <c r="AH8" s="71" t="s">
        <v>77</v>
      </c>
      <c r="AI8" s="71" t="s">
        <v>76</v>
      </c>
      <c r="AJ8" s="71" t="s">
        <v>77</v>
      </c>
      <c r="AK8" s="11"/>
      <c r="AL8" s="3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3"/>
    </row>
    <row r="10">
      <c r="A10" s="13">
        <v>1.0</v>
      </c>
      <c r="B10" s="75" t="s">
        <v>78</v>
      </c>
      <c r="C10" s="76"/>
      <c r="D10" s="76"/>
      <c r="E10" s="16"/>
      <c r="F10" s="16"/>
      <c r="G10" s="76"/>
      <c r="H10" s="76"/>
      <c r="I10" s="16"/>
      <c r="J10" s="16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16"/>
      <c r="X10" s="16"/>
      <c r="Y10" s="16"/>
      <c r="Z10" s="16"/>
      <c r="AA10" s="76"/>
      <c r="AB10" s="16"/>
      <c r="AC10" s="76"/>
      <c r="AD10" s="76"/>
      <c r="AE10" s="76"/>
      <c r="AF10" s="16"/>
      <c r="AG10" s="16"/>
      <c r="AH10" s="76"/>
      <c r="AI10" s="76"/>
      <c r="AJ10" s="76"/>
      <c r="AK10" s="29"/>
      <c r="AL10" s="3"/>
    </row>
    <row r="11">
      <c r="A11" s="33">
        <v>2.0</v>
      </c>
      <c r="B11" s="77" t="s">
        <v>79</v>
      </c>
      <c r="C11" s="76"/>
      <c r="D11" s="76"/>
      <c r="E11" s="16"/>
      <c r="F11" s="16"/>
      <c r="G11" s="76"/>
      <c r="H11" s="76"/>
      <c r="I11" s="16"/>
      <c r="J11" s="16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16"/>
      <c r="X11" s="16"/>
      <c r="Y11" s="16"/>
      <c r="Z11" s="16"/>
      <c r="AA11" s="76"/>
      <c r="AB11" s="16"/>
      <c r="AC11" s="76"/>
      <c r="AD11" s="76"/>
      <c r="AE11" s="76"/>
      <c r="AF11" s="16"/>
      <c r="AG11" s="16"/>
      <c r="AH11" s="76"/>
      <c r="AI11" s="76"/>
      <c r="AJ11" s="76"/>
      <c r="AK11" s="29"/>
      <c r="AL11" s="3"/>
    </row>
    <row r="12">
      <c r="A12" s="33">
        <v>3.0</v>
      </c>
      <c r="B12" s="77" t="s">
        <v>80</v>
      </c>
      <c r="C12" s="76"/>
      <c r="D12" s="76"/>
      <c r="E12" s="16"/>
      <c r="F12" s="16"/>
      <c r="G12" s="76"/>
      <c r="H12" s="76"/>
      <c r="I12" s="16"/>
      <c r="J12" s="16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16"/>
      <c r="X12" s="16"/>
      <c r="Y12" s="16"/>
      <c r="Z12" s="16"/>
      <c r="AA12" s="76"/>
      <c r="AB12" s="16"/>
      <c r="AC12" s="76"/>
      <c r="AD12" s="76"/>
      <c r="AE12" s="76"/>
      <c r="AF12" s="16"/>
      <c r="AG12" s="76"/>
      <c r="AH12" s="76"/>
      <c r="AI12" s="76"/>
      <c r="AJ12" s="76"/>
      <c r="AK12" s="71"/>
      <c r="AL12" s="3"/>
    </row>
    <row r="13">
      <c r="A13" s="33">
        <v>4.0</v>
      </c>
      <c r="B13" s="77" t="s">
        <v>81</v>
      </c>
      <c r="C13" s="76"/>
      <c r="D13" s="76"/>
      <c r="E13" s="16"/>
      <c r="F13" s="16"/>
      <c r="G13" s="76"/>
      <c r="H13" s="76"/>
      <c r="I13" s="16"/>
      <c r="J13" s="16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16"/>
      <c r="X13" s="16"/>
      <c r="Y13" s="16"/>
      <c r="Z13" s="16"/>
      <c r="AA13" s="76"/>
      <c r="AB13" s="16"/>
      <c r="AC13" s="76"/>
      <c r="AD13" s="76"/>
      <c r="AE13" s="76"/>
      <c r="AF13" s="16"/>
      <c r="AG13" s="76"/>
      <c r="AH13" s="76"/>
      <c r="AI13" s="76"/>
      <c r="AJ13" s="76"/>
      <c r="AK13" s="71"/>
      <c r="AL13" s="3"/>
    </row>
    <row r="14">
      <c r="A14" s="33">
        <v>5.0</v>
      </c>
      <c r="B14" s="77" t="s">
        <v>82</v>
      </c>
      <c r="C14" s="76"/>
      <c r="D14" s="76"/>
      <c r="E14" s="16"/>
      <c r="F14" s="16"/>
      <c r="G14" s="76"/>
      <c r="H14" s="76"/>
      <c r="I14" s="16"/>
      <c r="J14" s="16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16"/>
      <c r="X14" s="16"/>
      <c r="Y14" s="16"/>
      <c r="Z14" s="16"/>
      <c r="AA14" s="76"/>
      <c r="AB14" s="16"/>
      <c r="AC14" s="76"/>
      <c r="AD14" s="76"/>
      <c r="AE14" s="76"/>
      <c r="AF14" s="16"/>
      <c r="AG14" s="76"/>
      <c r="AH14" s="16"/>
      <c r="AI14" s="76"/>
      <c r="AJ14" s="76"/>
      <c r="AK14" s="71"/>
      <c r="AL14" s="3"/>
    </row>
    <row r="15">
      <c r="A15" s="33">
        <v>6.0</v>
      </c>
      <c r="B15" s="77" t="s">
        <v>83</v>
      </c>
      <c r="C15" s="76"/>
      <c r="D15" s="16"/>
      <c r="E15" s="16"/>
      <c r="F15" s="16"/>
      <c r="G15" s="76"/>
      <c r="H15" s="76"/>
      <c r="I15" s="16"/>
      <c r="J15" s="16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16"/>
      <c r="X15" s="16"/>
      <c r="Y15" s="16"/>
      <c r="Z15" s="16"/>
      <c r="AA15" s="76"/>
      <c r="AB15" s="16"/>
      <c r="AC15" s="76"/>
      <c r="AD15" s="76"/>
      <c r="AE15" s="76"/>
      <c r="AF15" s="16"/>
      <c r="AG15" s="76"/>
      <c r="AH15" s="16"/>
      <c r="AI15" s="76"/>
      <c r="AJ15" s="76"/>
      <c r="AK15" s="29"/>
      <c r="AL15" s="3"/>
    </row>
    <row r="16">
      <c r="A16" s="33">
        <v>7.0</v>
      </c>
      <c r="B16" s="77" t="s">
        <v>84</v>
      </c>
      <c r="C16" s="76"/>
      <c r="D16" s="16"/>
      <c r="E16" s="16"/>
      <c r="F16" s="16"/>
      <c r="G16" s="76"/>
      <c r="H16" s="76"/>
      <c r="I16" s="16"/>
      <c r="J16" s="16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16"/>
      <c r="X16" s="16"/>
      <c r="Y16" s="16"/>
      <c r="Z16" s="16"/>
      <c r="AA16" s="76"/>
      <c r="AB16" s="16"/>
      <c r="AC16" s="76"/>
      <c r="AD16" s="76"/>
      <c r="AE16" s="76"/>
      <c r="AF16" s="76"/>
      <c r="AG16" s="76"/>
      <c r="AH16" s="76"/>
      <c r="AI16" s="76"/>
      <c r="AJ16" s="76"/>
      <c r="AK16" s="71"/>
      <c r="AL16" s="3"/>
    </row>
    <row r="17">
      <c r="A17" s="33">
        <v>8.0</v>
      </c>
      <c r="B17" s="77" t="s">
        <v>85</v>
      </c>
      <c r="C17" s="76"/>
      <c r="D17" s="76"/>
      <c r="E17" s="17"/>
      <c r="F17" s="17"/>
      <c r="G17" s="76"/>
      <c r="H17" s="76"/>
      <c r="I17" s="17"/>
      <c r="J17" s="1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17"/>
      <c r="X17" s="17"/>
      <c r="Y17" s="17"/>
      <c r="Z17" s="17"/>
      <c r="AA17" s="76"/>
      <c r="AB17" s="17"/>
      <c r="AC17" s="76"/>
      <c r="AD17" s="76"/>
      <c r="AE17" s="76"/>
      <c r="AF17" s="76"/>
      <c r="AG17" s="76"/>
      <c r="AH17" s="76"/>
      <c r="AI17" s="76"/>
      <c r="AJ17" s="76"/>
      <c r="AK17" s="29"/>
      <c r="AL17" s="3"/>
    </row>
    <row r="18">
      <c r="A18" s="33">
        <v>9.0</v>
      </c>
      <c r="B18" s="77" t="s">
        <v>86</v>
      </c>
      <c r="C18" s="76"/>
      <c r="D18" s="76"/>
      <c r="E18" s="16"/>
      <c r="F18" s="16"/>
      <c r="G18" s="76"/>
      <c r="H18" s="76"/>
      <c r="I18" s="16"/>
      <c r="J18" s="16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16"/>
      <c r="X18" s="16"/>
      <c r="Y18" s="16"/>
      <c r="Z18" s="16"/>
      <c r="AA18" s="76"/>
      <c r="AB18" s="16"/>
      <c r="AC18" s="76"/>
      <c r="AD18" s="76"/>
      <c r="AE18" s="76"/>
      <c r="AF18" s="76"/>
      <c r="AG18" s="76"/>
      <c r="AH18" s="76"/>
      <c r="AI18" s="76"/>
      <c r="AJ18" s="76"/>
      <c r="AK18" s="29"/>
      <c r="AL18" s="3"/>
    </row>
    <row r="19">
      <c r="A19" s="33">
        <v>10.0</v>
      </c>
      <c r="B19" s="77" t="s">
        <v>87</v>
      </c>
      <c r="C19" s="78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3"/>
    </row>
    <row r="20">
      <c r="A20" s="33">
        <v>11.0</v>
      </c>
      <c r="B20" s="77" t="s">
        <v>88</v>
      </c>
      <c r="C20" s="7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3"/>
    </row>
    <row r="21">
      <c r="A21" s="33">
        <v>12.0</v>
      </c>
      <c r="B21" s="77" t="s">
        <v>89</v>
      </c>
      <c r="C21" s="78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3"/>
    </row>
    <row r="22">
      <c r="A22" s="7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>
      <c r="A23" s="7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>
      <c r="A24" s="80" t="s">
        <v>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>
      <c r="A25" s="81" t="s">
        <v>91</v>
      </c>
      <c r="B25" s="82" t="s">
        <v>52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>
      <c r="A26" s="81" t="s">
        <v>92</v>
      </c>
      <c r="B26" s="83">
        <v>2025.0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>
      <c r="A27" s="81"/>
      <c r="B27" s="8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>
      <c r="A28" s="83" t="s">
        <v>93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ht="21.0" customHeight="1">
      <c r="A29" s="85" t="s">
        <v>3</v>
      </c>
      <c r="B29" s="86" t="s">
        <v>94</v>
      </c>
      <c r="C29" s="61"/>
      <c r="D29" s="61"/>
      <c r="E29" s="55" t="s">
        <v>95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9"/>
      <c r="Q29" s="8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>
      <c r="A30" s="11"/>
      <c r="B30" s="24" t="s">
        <v>96</v>
      </c>
      <c r="C30" s="24" t="s">
        <v>97</v>
      </c>
      <c r="D30" s="24" t="s">
        <v>98</v>
      </c>
      <c r="E30" s="24" t="s">
        <v>99</v>
      </c>
      <c r="F30" s="24" t="s">
        <v>100</v>
      </c>
      <c r="G30" s="24" t="s">
        <v>101</v>
      </c>
      <c r="H30" s="24" t="s">
        <v>102</v>
      </c>
      <c r="I30" s="24" t="s">
        <v>82</v>
      </c>
      <c r="J30" s="24" t="s">
        <v>103</v>
      </c>
      <c r="K30" s="24" t="s">
        <v>104</v>
      </c>
      <c r="L30" s="24" t="s">
        <v>105</v>
      </c>
      <c r="M30" s="24" t="s">
        <v>106</v>
      </c>
      <c r="N30" s="24" t="s">
        <v>107</v>
      </c>
      <c r="O30" s="24" t="s">
        <v>108</v>
      </c>
      <c r="P30" s="24" t="s">
        <v>109</v>
      </c>
      <c r="Q30" s="8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>
      <c r="A32" s="90">
        <v>1.0</v>
      </c>
      <c r="B32" s="91" t="s">
        <v>110</v>
      </c>
      <c r="C32" s="92" t="s">
        <v>111</v>
      </c>
      <c r="D32" s="92" t="s">
        <v>112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>
      <c r="A33" s="90">
        <v>2.0</v>
      </c>
      <c r="B33" s="91" t="s">
        <v>113</v>
      </c>
      <c r="C33" s="92" t="s">
        <v>114</v>
      </c>
      <c r="D33" s="92" t="s">
        <v>115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>
      <c r="A34" s="90">
        <v>3.0</v>
      </c>
      <c r="B34" s="90" t="s">
        <v>116</v>
      </c>
      <c r="C34" s="92" t="s">
        <v>117</v>
      </c>
      <c r="D34" s="92" t="s">
        <v>118</v>
      </c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>
      <c r="A35" s="90">
        <v>4.0</v>
      </c>
      <c r="B35" s="90" t="s">
        <v>119</v>
      </c>
      <c r="C35" s="92" t="s">
        <v>120</v>
      </c>
      <c r="D35" s="92" t="s">
        <v>121</v>
      </c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>
      <c r="A36" s="90">
        <v>5.0</v>
      </c>
      <c r="B36" s="90" t="s">
        <v>122</v>
      </c>
      <c r="C36" s="92" t="s">
        <v>123</v>
      </c>
      <c r="D36" s="92" t="s">
        <v>124</v>
      </c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>
      <c r="A37" s="90">
        <v>6.0</v>
      </c>
      <c r="B37" s="90" t="s">
        <v>125</v>
      </c>
      <c r="C37" s="92" t="s">
        <v>126</v>
      </c>
      <c r="D37" s="92" t="s">
        <v>127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>
      <c r="A38" s="90"/>
      <c r="B38" s="90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>
      <c r="A39" s="3"/>
      <c r="B39" s="3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4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>
      <c r="A41" s="83" t="s">
        <v>128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>
      <c r="A42" s="85" t="s">
        <v>3</v>
      </c>
      <c r="B42" s="95" t="s">
        <v>129</v>
      </c>
      <c r="C42" s="85" t="s">
        <v>130</v>
      </c>
      <c r="D42" s="85" t="s">
        <v>131</v>
      </c>
      <c r="E42" s="55" t="s">
        <v>132</v>
      </c>
      <c r="F42" s="9"/>
      <c r="G42" s="55" t="s">
        <v>133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9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>
      <c r="A43" s="11"/>
      <c r="B43" s="11"/>
      <c r="C43" s="11"/>
      <c r="D43" s="11"/>
      <c r="E43" s="24" t="s">
        <v>63</v>
      </c>
      <c r="F43" s="24" t="s">
        <v>134</v>
      </c>
      <c r="G43" s="24" t="s">
        <v>99</v>
      </c>
      <c r="H43" s="24" t="s">
        <v>100</v>
      </c>
      <c r="I43" s="24" t="s">
        <v>101</v>
      </c>
      <c r="J43" s="24" t="s">
        <v>102</v>
      </c>
      <c r="K43" s="24" t="s">
        <v>82</v>
      </c>
      <c r="L43" s="24" t="s">
        <v>103</v>
      </c>
      <c r="M43" s="24" t="s">
        <v>104</v>
      </c>
      <c r="N43" s="24" t="s">
        <v>105</v>
      </c>
      <c r="O43" s="24" t="s">
        <v>106</v>
      </c>
      <c r="P43" s="24" t="s">
        <v>107</v>
      </c>
      <c r="Q43" s="24" t="s">
        <v>108</v>
      </c>
      <c r="R43" s="92" t="s">
        <v>109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>
      <c r="A44" s="88">
        <v>1.0</v>
      </c>
      <c r="B44" s="88">
        <v>2.0</v>
      </c>
      <c r="C44" s="88">
        <v>3.0</v>
      </c>
      <c r="D44" s="88">
        <v>4.0</v>
      </c>
      <c r="E44" s="88">
        <v>5.0</v>
      </c>
      <c r="F44" s="88">
        <v>6.0</v>
      </c>
      <c r="G44" s="88">
        <v>7.0</v>
      </c>
      <c r="H44" s="88">
        <v>8.0</v>
      </c>
      <c r="I44" s="88">
        <v>9.0</v>
      </c>
      <c r="J44" s="88">
        <v>10.0</v>
      </c>
      <c r="K44" s="88">
        <v>11.0</v>
      </c>
      <c r="L44" s="88">
        <v>12.0</v>
      </c>
      <c r="M44" s="88">
        <v>13.0</v>
      </c>
      <c r="N44" s="88">
        <v>14.0</v>
      </c>
      <c r="O44" s="88">
        <v>15.0</v>
      </c>
      <c r="P44" s="88">
        <v>16.0</v>
      </c>
      <c r="Q44" s="88">
        <v>17.0</v>
      </c>
      <c r="R44" s="88">
        <v>18.0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>
      <c r="A45" s="92">
        <v>1.0</v>
      </c>
      <c r="B45" s="92" t="s">
        <v>127</v>
      </c>
      <c r="C45" s="92" t="s">
        <v>135</v>
      </c>
      <c r="D45" s="96">
        <v>45981.0</v>
      </c>
      <c r="E45" s="91" t="s">
        <v>136</v>
      </c>
      <c r="F45" s="92" t="s">
        <v>126</v>
      </c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>
      <c r="A46" s="92">
        <v>2.0</v>
      </c>
      <c r="B46" s="92" t="s">
        <v>112</v>
      </c>
      <c r="C46" s="92" t="s">
        <v>137</v>
      </c>
      <c r="D46" s="96">
        <v>45934.0</v>
      </c>
      <c r="E46" s="91" t="s">
        <v>110</v>
      </c>
      <c r="F46" s="92" t="s">
        <v>111</v>
      </c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>
      <c r="A47" s="92">
        <v>3.0</v>
      </c>
      <c r="B47" s="92" t="s">
        <v>115</v>
      </c>
      <c r="C47" s="92" t="s">
        <v>137</v>
      </c>
      <c r="D47" s="96">
        <v>45902.0</v>
      </c>
      <c r="E47" s="91" t="s">
        <v>113</v>
      </c>
      <c r="F47" s="92" t="s">
        <v>114</v>
      </c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>
      <c r="A48" s="92">
        <v>4.0</v>
      </c>
      <c r="B48" s="92" t="s">
        <v>118</v>
      </c>
      <c r="C48" s="92" t="s">
        <v>135</v>
      </c>
      <c r="D48" s="96">
        <v>45884.0</v>
      </c>
      <c r="E48" s="90" t="s">
        <v>116</v>
      </c>
      <c r="F48" s="92" t="s">
        <v>117</v>
      </c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>
      <c r="A49" s="92">
        <v>5.0</v>
      </c>
      <c r="B49" s="92" t="s">
        <v>138</v>
      </c>
      <c r="C49" s="92" t="s">
        <v>135</v>
      </c>
      <c r="D49" s="96">
        <v>45831.0</v>
      </c>
      <c r="E49" s="90" t="s">
        <v>139</v>
      </c>
      <c r="F49" s="92" t="s">
        <v>140</v>
      </c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>
      <c r="A50" s="92">
        <v>6.0</v>
      </c>
      <c r="B50" s="92" t="s">
        <v>141</v>
      </c>
      <c r="C50" s="92" t="s">
        <v>137</v>
      </c>
      <c r="D50" s="96">
        <v>45815.0</v>
      </c>
      <c r="E50" s="90" t="s">
        <v>142</v>
      </c>
      <c r="F50" s="92" t="s">
        <v>143</v>
      </c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>
      <c r="A51" s="92">
        <v>7.0</v>
      </c>
      <c r="B51" s="92" t="s">
        <v>144</v>
      </c>
      <c r="C51" s="92" t="s">
        <v>135</v>
      </c>
      <c r="D51" s="96">
        <v>45812.0</v>
      </c>
      <c r="E51" s="90" t="s">
        <v>145</v>
      </c>
      <c r="F51" s="92" t="s">
        <v>146</v>
      </c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>
      <c r="A52" s="92">
        <v>8.0</v>
      </c>
      <c r="B52" s="92" t="s">
        <v>147</v>
      </c>
      <c r="C52" s="92" t="s">
        <v>135</v>
      </c>
      <c r="D52" s="96">
        <v>45845.0</v>
      </c>
      <c r="E52" s="90" t="s">
        <v>148</v>
      </c>
      <c r="F52" s="92" t="s">
        <v>149</v>
      </c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>
      <c r="A53" s="92">
        <v>9.0</v>
      </c>
      <c r="B53" s="92" t="s">
        <v>150</v>
      </c>
      <c r="C53" s="92" t="s">
        <v>137</v>
      </c>
      <c r="D53" s="96">
        <v>45856.0</v>
      </c>
      <c r="E53" s="90" t="s">
        <v>151</v>
      </c>
      <c r="F53" s="92" t="s">
        <v>152</v>
      </c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>
      <c r="A54" s="92">
        <v>10.0</v>
      </c>
      <c r="B54" s="92" t="s">
        <v>121</v>
      </c>
      <c r="C54" s="92" t="s">
        <v>135</v>
      </c>
      <c r="D54" s="96">
        <v>45939.0</v>
      </c>
      <c r="E54" s="90" t="s">
        <v>119</v>
      </c>
      <c r="F54" s="92" t="s">
        <v>120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>
      <c r="A55" s="92">
        <v>11.0</v>
      </c>
      <c r="B55" s="92" t="s">
        <v>124</v>
      </c>
      <c r="C55" s="92" t="s">
        <v>135</v>
      </c>
      <c r="D55" s="96">
        <v>45901.0</v>
      </c>
      <c r="E55" s="90" t="s">
        <v>122</v>
      </c>
      <c r="F55" s="92" t="s">
        <v>123</v>
      </c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>
      <c r="A56" s="92">
        <v>12.0</v>
      </c>
      <c r="B56" s="92" t="s">
        <v>153</v>
      </c>
      <c r="C56" s="92" t="s">
        <v>135</v>
      </c>
      <c r="D56" s="96">
        <v>45806.0</v>
      </c>
      <c r="E56" s="92" t="s">
        <v>154</v>
      </c>
      <c r="F56" s="92" t="s">
        <v>155</v>
      </c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>
      <c r="A57" s="92">
        <v>13.0</v>
      </c>
      <c r="B57" s="92" t="s">
        <v>156</v>
      </c>
      <c r="C57" s="92" t="s">
        <v>135</v>
      </c>
      <c r="D57" s="96">
        <v>45568.0</v>
      </c>
      <c r="E57" s="92" t="s">
        <v>157</v>
      </c>
      <c r="F57" s="92" t="s">
        <v>158</v>
      </c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>
      <c r="A58" s="92">
        <v>14.0</v>
      </c>
      <c r="B58" s="92" t="s">
        <v>159</v>
      </c>
      <c r="C58" s="92" t="s">
        <v>137</v>
      </c>
      <c r="D58" s="96">
        <v>45568.0</v>
      </c>
      <c r="E58" s="92" t="s">
        <v>160</v>
      </c>
      <c r="F58" s="92" t="s">
        <v>161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>
      <c r="A59" s="92">
        <v>15.0</v>
      </c>
      <c r="B59" s="92" t="s">
        <v>162</v>
      </c>
      <c r="C59" s="92" t="s">
        <v>137</v>
      </c>
      <c r="D59" s="96">
        <v>45506.0</v>
      </c>
      <c r="E59" s="92" t="s">
        <v>163</v>
      </c>
      <c r="F59" s="92" t="s">
        <v>164</v>
      </c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>
      <c r="A60" s="92">
        <v>16.0</v>
      </c>
      <c r="B60" s="92" t="s">
        <v>165</v>
      </c>
      <c r="C60" s="92" t="s">
        <v>137</v>
      </c>
      <c r="D60" s="96">
        <v>45370.0</v>
      </c>
      <c r="E60" s="92" t="s">
        <v>166</v>
      </c>
      <c r="F60" s="92" t="s">
        <v>167</v>
      </c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>
      <c r="A61" s="92">
        <v>17.0</v>
      </c>
      <c r="B61" s="92" t="s">
        <v>168</v>
      </c>
      <c r="C61" s="92" t="s">
        <v>135</v>
      </c>
      <c r="D61" s="96">
        <v>45189.0</v>
      </c>
      <c r="E61" s="92" t="s">
        <v>169</v>
      </c>
      <c r="F61" s="92" t="s">
        <v>170</v>
      </c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>
      <c r="A62" s="92">
        <v>18.0</v>
      </c>
      <c r="B62" s="92" t="s">
        <v>171</v>
      </c>
      <c r="C62" s="92" t="s">
        <v>135</v>
      </c>
      <c r="D62" s="96">
        <v>45059.0</v>
      </c>
      <c r="E62" s="92" t="s">
        <v>172</v>
      </c>
      <c r="F62" s="92" t="s">
        <v>173</v>
      </c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>
      <c r="A63" s="92">
        <v>19.0</v>
      </c>
      <c r="B63" s="92" t="s">
        <v>174</v>
      </c>
      <c r="C63" s="92" t="s">
        <v>137</v>
      </c>
      <c r="D63" s="96">
        <v>44981.0</v>
      </c>
      <c r="E63" s="92" t="s">
        <v>175</v>
      </c>
      <c r="F63" s="92" t="s">
        <v>176</v>
      </c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>
      <c r="A64" s="92">
        <v>20.0</v>
      </c>
      <c r="B64" s="97" t="s">
        <v>177</v>
      </c>
      <c r="C64" s="97" t="s">
        <v>135</v>
      </c>
      <c r="D64" s="98">
        <v>44945.0</v>
      </c>
      <c r="E64" s="99" t="s">
        <v>178</v>
      </c>
      <c r="F64" s="99" t="s">
        <v>179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9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>
      <c r="A65" s="92">
        <v>21.0</v>
      </c>
      <c r="B65" s="97" t="s">
        <v>180</v>
      </c>
      <c r="C65" s="97" t="s">
        <v>137</v>
      </c>
      <c r="D65" s="98">
        <v>44936.0</v>
      </c>
      <c r="E65" s="99" t="s">
        <v>181</v>
      </c>
      <c r="F65" s="99" t="s">
        <v>182</v>
      </c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9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>
      <c r="A66" s="92">
        <v>22.0</v>
      </c>
      <c r="B66" s="97" t="s">
        <v>183</v>
      </c>
      <c r="C66" s="97" t="s">
        <v>137</v>
      </c>
      <c r="D66" s="101">
        <v>44894.0</v>
      </c>
      <c r="E66" s="99" t="s">
        <v>184</v>
      </c>
      <c r="F66" s="99" t="s">
        <v>185</v>
      </c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9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>
      <c r="A67" s="92">
        <v>23.0</v>
      </c>
      <c r="B67" s="97" t="s">
        <v>186</v>
      </c>
      <c r="C67" s="97" t="s">
        <v>137</v>
      </c>
      <c r="D67" s="101">
        <v>44860.0</v>
      </c>
      <c r="E67" s="99" t="s">
        <v>187</v>
      </c>
      <c r="F67" s="99" t="s">
        <v>188</v>
      </c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9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>
      <c r="A68" s="92">
        <v>24.0</v>
      </c>
      <c r="B68" s="97" t="s">
        <v>189</v>
      </c>
      <c r="C68" s="97" t="s">
        <v>137</v>
      </c>
      <c r="D68" s="98">
        <v>44774.0</v>
      </c>
      <c r="E68" s="99" t="s">
        <v>190</v>
      </c>
      <c r="F68" s="99" t="s">
        <v>191</v>
      </c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9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>
      <c r="A69" s="92">
        <v>25.0</v>
      </c>
      <c r="B69" s="97" t="s">
        <v>192</v>
      </c>
      <c r="C69" s="97" t="s">
        <v>137</v>
      </c>
      <c r="D69" s="98">
        <v>44725.0</v>
      </c>
      <c r="E69" s="99" t="s">
        <v>193</v>
      </c>
      <c r="F69" s="99" t="s">
        <v>194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9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>
      <c r="A70" s="92">
        <v>26.0</v>
      </c>
      <c r="B70" s="97" t="s">
        <v>195</v>
      </c>
      <c r="C70" s="97" t="s">
        <v>137</v>
      </c>
      <c r="D70" s="102">
        <v>44688.0</v>
      </c>
      <c r="E70" s="99" t="s">
        <v>196</v>
      </c>
      <c r="F70" s="99" t="s">
        <v>197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9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>
      <c r="A71" s="92">
        <v>27.0</v>
      </c>
      <c r="B71" s="103" t="s">
        <v>198</v>
      </c>
      <c r="C71" s="97" t="s">
        <v>137</v>
      </c>
      <c r="D71" s="98">
        <v>44422.0</v>
      </c>
      <c r="E71" s="99" t="s">
        <v>199</v>
      </c>
      <c r="F71" s="99" t="s">
        <v>200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9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>
      <c r="A72" s="92">
        <v>28.0</v>
      </c>
      <c r="B72" s="97" t="s">
        <v>201</v>
      </c>
      <c r="C72" s="97" t="s">
        <v>135</v>
      </c>
      <c r="D72" s="98">
        <v>44427.0</v>
      </c>
      <c r="E72" s="99" t="s">
        <v>202</v>
      </c>
      <c r="F72" s="99" t="s">
        <v>203</v>
      </c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9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>
      <c r="A73" s="92">
        <v>29.0</v>
      </c>
      <c r="B73" s="97" t="s">
        <v>204</v>
      </c>
      <c r="C73" s="97" t="s">
        <v>137</v>
      </c>
      <c r="D73" s="98">
        <v>45108.0</v>
      </c>
      <c r="E73" s="99" t="s">
        <v>205</v>
      </c>
      <c r="F73" s="99" t="s">
        <v>206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9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>
      <c r="A74" s="92">
        <v>30.0</v>
      </c>
      <c r="B74" s="97" t="s">
        <v>207</v>
      </c>
      <c r="C74" s="97" t="s">
        <v>137</v>
      </c>
      <c r="D74" s="101">
        <v>44515.0</v>
      </c>
      <c r="E74" s="99" t="s">
        <v>208</v>
      </c>
      <c r="F74" s="99" t="s">
        <v>209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9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>
      <c r="A75" s="92">
        <v>31.0</v>
      </c>
      <c r="B75" s="97" t="s">
        <v>210</v>
      </c>
      <c r="C75" s="97" t="s">
        <v>135</v>
      </c>
      <c r="D75" s="101">
        <v>44523.0</v>
      </c>
      <c r="E75" s="99" t="s">
        <v>158</v>
      </c>
      <c r="F75" s="99" t="s">
        <v>211</v>
      </c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9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>
      <c r="A76" s="92">
        <v>32.0</v>
      </c>
      <c r="B76" s="97" t="s">
        <v>212</v>
      </c>
      <c r="C76" s="97" t="s">
        <v>135</v>
      </c>
      <c r="D76" s="98">
        <v>43991.0</v>
      </c>
      <c r="E76" s="99" t="s">
        <v>213</v>
      </c>
      <c r="F76" s="99" t="s">
        <v>214</v>
      </c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9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>
      <c r="A77" s="92">
        <v>33.0</v>
      </c>
      <c r="B77" s="97" t="s">
        <v>215</v>
      </c>
      <c r="C77" s="97" t="s">
        <v>137</v>
      </c>
      <c r="D77" s="98">
        <v>44380.0</v>
      </c>
      <c r="E77" s="99" t="s">
        <v>216</v>
      </c>
      <c r="F77" s="99" t="s">
        <v>217</v>
      </c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9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>
      <c r="A78" s="92">
        <v>34.0</v>
      </c>
      <c r="B78" s="97" t="s">
        <v>218</v>
      </c>
      <c r="C78" s="97" t="s">
        <v>137</v>
      </c>
      <c r="D78" s="98">
        <v>44100.0</v>
      </c>
      <c r="E78" s="99" t="s">
        <v>219</v>
      </c>
      <c r="F78" s="99" t="s">
        <v>220</v>
      </c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9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>
      <c r="A79" s="92">
        <v>35.0</v>
      </c>
      <c r="B79" s="97" t="s">
        <v>221</v>
      </c>
      <c r="C79" s="97" t="s">
        <v>135</v>
      </c>
      <c r="D79" s="98">
        <v>45073.0</v>
      </c>
      <c r="E79" s="99" t="s">
        <v>222</v>
      </c>
      <c r="F79" s="99" t="s">
        <v>223</v>
      </c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9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>
      <c r="A80" s="92">
        <v>36.0</v>
      </c>
      <c r="B80" s="97" t="s">
        <v>224</v>
      </c>
      <c r="C80" s="97" t="s">
        <v>135</v>
      </c>
      <c r="D80" s="98">
        <v>45044.0</v>
      </c>
      <c r="E80" s="99" t="s">
        <v>225</v>
      </c>
      <c r="F80" s="99" t="s">
        <v>226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9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>
      <c r="A81" s="92">
        <v>37.0</v>
      </c>
      <c r="B81" s="97" t="s">
        <v>227</v>
      </c>
      <c r="C81" s="97" t="s">
        <v>137</v>
      </c>
      <c r="D81" s="98">
        <v>44372.0</v>
      </c>
      <c r="E81" s="99" t="s">
        <v>228</v>
      </c>
      <c r="F81" s="99" t="s">
        <v>229</v>
      </c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9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>
      <c r="A82" s="92">
        <v>38.0</v>
      </c>
      <c r="B82" s="97" t="s">
        <v>230</v>
      </c>
      <c r="C82" s="97" t="s">
        <v>135</v>
      </c>
      <c r="D82" s="98">
        <v>44231.0</v>
      </c>
      <c r="E82" s="99" t="s">
        <v>231</v>
      </c>
      <c r="F82" s="99" t="s">
        <v>232</v>
      </c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9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>
      <c r="A83" s="92">
        <v>39.0</v>
      </c>
      <c r="B83" s="97" t="s">
        <v>233</v>
      </c>
      <c r="C83" s="97" t="s">
        <v>135</v>
      </c>
      <c r="D83" s="98">
        <v>44213.0</v>
      </c>
      <c r="E83" s="99" t="s">
        <v>234</v>
      </c>
      <c r="F83" s="99" t="s">
        <v>235</v>
      </c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9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>
      <c r="A84" s="92">
        <v>40.0</v>
      </c>
      <c r="B84" s="97" t="s">
        <v>236</v>
      </c>
      <c r="C84" s="97" t="s">
        <v>137</v>
      </c>
      <c r="D84" s="98">
        <v>45292.0</v>
      </c>
      <c r="E84" s="99" t="s">
        <v>237</v>
      </c>
      <c r="F84" s="99" t="s">
        <v>238</v>
      </c>
      <c r="G84" s="100"/>
      <c r="H84" s="100"/>
      <c r="I84" s="100"/>
      <c r="K84" s="100"/>
      <c r="L84" s="100"/>
      <c r="M84" s="100"/>
      <c r="N84" s="100"/>
      <c r="O84" s="100"/>
      <c r="P84" s="100"/>
      <c r="Q84" s="100"/>
      <c r="R84" s="9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>
      <c r="A85" s="92">
        <v>41.0</v>
      </c>
      <c r="B85" s="97" t="s">
        <v>239</v>
      </c>
      <c r="C85" s="97" t="s">
        <v>137</v>
      </c>
      <c r="D85" s="98">
        <v>45184.0</v>
      </c>
      <c r="E85" s="99" t="s">
        <v>240</v>
      </c>
      <c r="F85" s="99" t="s">
        <v>241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9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>
      <c r="A86" s="92">
        <v>42.0</v>
      </c>
      <c r="B86" s="97" t="s">
        <v>242</v>
      </c>
      <c r="C86" s="97" t="s">
        <v>135</v>
      </c>
      <c r="D86" s="101">
        <v>44847.0</v>
      </c>
      <c r="E86" s="99" t="s">
        <v>243</v>
      </c>
      <c r="F86" s="99" t="s">
        <v>244</v>
      </c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9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>
      <c r="A87" s="92">
        <v>43.0</v>
      </c>
      <c r="B87" s="97" t="s">
        <v>245</v>
      </c>
      <c r="C87" s="97" t="s">
        <v>137</v>
      </c>
      <c r="D87" s="98">
        <v>45403.0</v>
      </c>
      <c r="E87" s="99" t="s">
        <v>246</v>
      </c>
      <c r="F87" s="99" t="s">
        <v>247</v>
      </c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9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>
      <c r="A88" s="92">
        <v>44.0</v>
      </c>
      <c r="B88" s="97" t="s">
        <v>248</v>
      </c>
      <c r="C88" s="97" t="s">
        <v>137</v>
      </c>
      <c r="D88" s="98">
        <v>44397.0</v>
      </c>
      <c r="E88" s="99" t="s">
        <v>249</v>
      </c>
      <c r="F88" s="99" t="s">
        <v>250</v>
      </c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9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>
      <c r="A89" s="92">
        <v>45.0</v>
      </c>
      <c r="B89" s="97" t="s">
        <v>251</v>
      </c>
      <c r="C89" s="97" t="s">
        <v>135</v>
      </c>
      <c r="D89" s="98">
        <v>44347.0</v>
      </c>
      <c r="E89" s="99" t="s">
        <v>252</v>
      </c>
      <c r="F89" s="99" t="s">
        <v>253</v>
      </c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9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>
      <c r="A90" s="92">
        <v>46.0</v>
      </c>
      <c r="B90" s="97" t="s">
        <v>254</v>
      </c>
      <c r="C90" s="97" t="s">
        <v>137</v>
      </c>
      <c r="D90" s="98">
        <v>44664.0</v>
      </c>
      <c r="E90" s="99" t="s">
        <v>255</v>
      </c>
      <c r="F90" s="99" t="s">
        <v>256</v>
      </c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9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>
      <c r="A91" s="92">
        <v>47.0</v>
      </c>
      <c r="B91" s="97" t="s">
        <v>257</v>
      </c>
      <c r="C91" s="97" t="s">
        <v>137</v>
      </c>
      <c r="D91" s="98">
        <v>45404.0</v>
      </c>
      <c r="E91" s="99" t="s">
        <v>258</v>
      </c>
      <c r="F91" s="99" t="s">
        <v>259</v>
      </c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9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>
      <c r="A92" s="92">
        <v>48.0</v>
      </c>
      <c r="B92" s="97" t="s">
        <v>260</v>
      </c>
      <c r="C92" s="97" t="s">
        <v>137</v>
      </c>
      <c r="D92" s="98">
        <v>43974.0</v>
      </c>
      <c r="E92" s="99" t="s">
        <v>261</v>
      </c>
      <c r="F92" s="99" t="s">
        <v>262</v>
      </c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9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>
      <c r="A93" s="92">
        <v>49.0</v>
      </c>
      <c r="B93" s="97" t="s">
        <v>263</v>
      </c>
      <c r="C93" s="97" t="s">
        <v>137</v>
      </c>
      <c r="D93" s="98">
        <v>44956.0</v>
      </c>
      <c r="E93" s="99" t="s">
        <v>264</v>
      </c>
      <c r="F93" s="99" t="s">
        <v>265</v>
      </c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9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>
      <c r="A94" s="92">
        <v>50.0</v>
      </c>
      <c r="B94" s="97" t="s">
        <v>266</v>
      </c>
      <c r="C94" s="97" t="s">
        <v>135</v>
      </c>
      <c r="D94" s="98">
        <v>44342.0</v>
      </c>
      <c r="E94" s="99" t="s">
        <v>267</v>
      </c>
      <c r="F94" s="99" t="s">
        <v>268</v>
      </c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9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>
      <c r="A95" s="92">
        <v>51.0</v>
      </c>
      <c r="B95" s="97" t="s">
        <v>269</v>
      </c>
      <c r="C95" s="97" t="s">
        <v>135</v>
      </c>
      <c r="D95" s="98">
        <v>44509.0</v>
      </c>
      <c r="E95" s="99" t="s">
        <v>270</v>
      </c>
      <c r="F95" s="99" t="s">
        <v>271</v>
      </c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9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>
      <c r="A96" s="104">
        <v>52.0</v>
      </c>
      <c r="B96" s="97" t="s">
        <v>272</v>
      </c>
      <c r="C96" s="97" t="s">
        <v>137</v>
      </c>
      <c r="D96" s="98">
        <v>43612.0</v>
      </c>
      <c r="E96" s="99" t="s">
        <v>273</v>
      </c>
      <c r="F96" s="99" t="s">
        <v>274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9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>
      <c r="A97" s="92">
        <v>53.0</v>
      </c>
      <c r="B97" s="97" t="s">
        <v>275</v>
      </c>
      <c r="C97" s="97" t="s">
        <v>135</v>
      </c>
      <c r="D97" s="101">
        <v>43784.0</v>
      </c>
      <c r="E97" s="99" t="s">
        <v>276</v>
      </c>
      <c r="F97" s="99" t="s">
        <v>277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9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>
      <c r="A98" s="104">
        <v>54.0</v>
      </c>
      <c r="B98" s="97" t="s">
        <v>278</v>
      </c>
      <c r="C98" s="97" t="s">
        <v>135</v>
      </c>
      <c r="D98" s="98">
        <v>43946.0</v>
      </c>
      <c r="E98" s="99" t="s">
        <v>279</v>
      </c>
      <c r="F98" s="99" t="s">
        <v>280</v>
      </c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9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>
      <c r="A99" s="92">
        <v>55.0</v>
      </c>
      <c r="B99" s="97" t="s">
        <v>281</v>
      </c>
      <c r="C99" s="97" t="s">
        <v>135</v>
      </c>
      <c r="D99" s="98">
        <v>44636.0</v>
      </c>
      <c r="E99" s="99" t="s">
        <v>279</v>
      </c>
      <c r="F99" s="99" t="s">
        <v>280</v>
      </c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9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>
      <c r="A100" s="97"/>
      <c r="B100" s="97"/>
      <c r="C100" s="97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9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>
      <c r="A101" s="83"/>
      <c r="B101" s="83"/>
      <c r="C101" s="83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>
      <c r="A102" s="83"/>
      <c r="B102" s="83"/>
      <c r="C102" s="83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>
      <c r="A103" s="83"/>
      <c r="B103" s="83"/>
      <c r="C103" s="83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>
      <c r="A104" s="83"/>
      <c r="B104" s="83"/>
      <c r="C104" s="83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>
      <c r="A105" s="83"/>
      <c r="B105" s="83"/>
      <c r="C105" s="83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>
      <c r="A106" s="83" t="s">
        <v>282</v>
      </c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>
      <c r="A107" s="85" t="s">
        <v>3</v>
      </c>
      <c r="B107" s="85" t="s">
        <v>283</v>
      </c>
      <c r="C107" s="85" t="s">
        <v>130</v>
      </c>
      <c r="D107" s="85" t="s">
        <v>131</v>
      </c>
      <c r="E107" s="55" t="s">
        <v>132</v>
      </c>
      <c r="F107" s="9"/>
      <c r="G107" s="55" t="s">
        <v>284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9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>
      <c r="A108" s="11"/>
      <c r="B108" s="11"/>
      <c r="C108" s="11"/>
      <c r="D108" s="11"/>
      <c r="E108" s="24" t="s">
        <v>63</v>
      </c>
      <c r="F108" s="24" t="s">
        <v>134</v>
      </c>
      <c r="G108" s="24" t="s">
        <v>99</v>
      </c>
      <c r="H108" s="24" t="s">
        <v>100</v>
      </c>
      <c r="I108" s="24" t="s">
        <v>101</v>
      </c>
      <c r="J108" s="24" t="s">
        <v>102</v>
      </c>
      <c r="K108" s="24" t="s">
        <v>82</v>
      </c>
      <c r="L108" s="24" t="s">
        <v>103</v>
      </c>
      <c r="M108" s="24" t="s">
        <v>104</v>
      </c>
      <c r="N108" s="24" t="s">
        <v>105</v>
      </c>
      <c r="O108" s="24" t="s">
        <v>106</v>
      </c>
      <c r="P108" s="24" t="s">
        <v>107</v>
      </c>
      <c r="Q108" s="24" t="s">
        <v>108</v>
      </c>
      <c r="R108" s="92" t="s">
        <v>109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>
      <c r="A109" s="88">
        <v>1.0</v>
      </c>
      <c r="B109" s="88">
        <v>2.0</v>
      </c>
      <c r="C109" s="88">
        <v>3.0</v>
      </c>
      <c r="D109" s="88">
        <v>4.0</v>
      </c>
      <c r="E109" s="88">
        <v>5.0</v>
      </c>
      <c r="F109" s="88">
        <v>6.0</v>
      </c>
      <c r="G109" s="88">
        <v>7.0</v>
      </c>
      <c r="H109" s="88">
        <v>8.0</v>
      </c>
      <c r="I109" s="88">
        <v>9.0</v>
      </c>
      <c r="J109" s="88">
        <v>10.0</v>
      </c>
      <c r="K109" s="88">
        <v>11.0</v>
      </c>
      <c r="L109" s="88">
        <v>12.0</v>
      </c>
      <c r="M109" s="88">
        <v>13.0</v>
      </c>
      <c r="N109" s="88">
        <v>14.0</v>
      </c>
      <c r="O109" s="88">
        <v>15.0</v>
      </c>
      <c r="P109" s="88">
        <v>16.0</v>
      </c>
      <c r="Q109" s="88">
        <v>17.0</v>
      </c>
      <c r="R109" s="88">
        <v>18.0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>
      <c r="A110" s="105">
        <v>1.0</v>
      </c>
      <c r="B110" s="106" t="s">
        <v>285</v>
      </c>
      <c r="C110" s="107" t="s">
        <v>137</v>
      </c>
      <c r="D110" s="108">
        <v>41288.0</v>
      </c>
      <c r="E110" s="109" t="s">
        <v>199</v>
      </c>
      <c r="F110" s="109" t="s">
        <v>200</v>
      </c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>
      <c r="A111" s="105">
        <v>2.0</v>
      </c>
      <c r="B111" s="111" t="s">
        <v>286</v>
      </c>
      <c r="C111" s="92" t="s">
        <v>137</v>
      </c>
      <c r="D111" s="96">
        <v>40250.0</v>
      </c>
      <c r="E111" s="92" t="s">
        <v>287</v>
      </c>
      <c r="F111" s="92" t="s">
        <v>288</v>
      </c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>
      <c r="A112" s="105">
        <v>3.0</v>
      </c>
      <c r="B112" s="111" t="s">
        <v>289</v>
      </c>
      <c r="C112" s="92" t="s">
        <v>137</v>
      </c>
      <c r="D112" s="96">
        <v>40283.0</v>
      </c>
      <c r="E112" s="92" t="s">
        <v>290</v>
      </c>
      <c r="F112" s="92" t="s">
        <v>291</v>
      </c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>
      <c r="A113" s="105">
        <v>4.0</v>
      </c>
      <c r="B113" s="111" t="s">
        <v>292</v>
      </c>
      <c r="C113" s="92" t="s">
        <v>137</v>
      </c>
      <c r="D113" s="96">
        <v>39550.0</v>
      </c>
      <c r="E113" s="92" t="s">
        <v>293</v>
      </c>
      <c r="F113" s="92" t="s">
        <v>203</v>
      </c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>
      <c r="A114" s="105">
        <v>5.0</v>
      </c>
      <c r="B114" s="112" t="s">
        <v>294</v>
      </c>
      <c r="C114" s="92" t="s">
        <v>137</v>
      </c>
      <c r="D114" s="96">
        <v>41318.0</v>
      </c>
      <c r="E114" s="92" t="s">
        <v>293</v>
      </c>
      <c r="F114" s="92" t="s">
        <v>203</v>
      </c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>
      <c r="A115" s="105">
        <v>6.0</v>
      </c>
      <c r="B115" s="92" t="s">
        <v>295</v>
      </c>
      <c r="C115" s="92" t="s">
        <v>137</v>
      </c>
      <c r="D115" s="113">
        <v>41266.0</v>
      </c>
      <c r="E115" s="92" t="s">
        <v>296</v>
      </c>
      <c r="F115" s="92" t="s">
        <v>297</v>
      </c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>
      <c r="A116" s="105">
        <v>7.0</v>
      </c>
      <c r="B116" s="92" t="s">
        <v>298</v>
      </c>
      <c r="C116" s="92" t="s">
        <v>137</v>
      </c>
      <c r="D116" s="96">
        <v>40949.0</v>
      </c>
      <c r="E116" s="92" t="s">
        <v>299</v>
      </c>
      <c r="F116" s="92" t="s">
        <v>300</v>
      </c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>
      <c r="A117" s="105">
        <v>8.0</v>
      </c>
      <c r="B117" s="92" t="s">
        <v>301</v>
      </c>
      <c r="C117" s="92" t="s">
        <v>137</v>
      </c>
      <c r="D117" s="96">
        <v>40736.0</v>
      </c>
      <c r="E117" s="92" t="s">
        <v>302</v>
      </c>
      <c r="F117" s="92" t="s">
        <v>303</v>
      </c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>
      <c r="A118" s="105">
        <v>9.0</v>
      </c>
      <c r="B118" s="92" t="s">
        <v>304</v>
      </c>
      <c r="C118" s="92" t="s">
        <v>137</v>
      </c>
      <c r="D118" s="113">
        <v>41264.0</v>
      </c>
      <c r="E118" s="92" t="s">
        <v>305</v>
      </c>
      <c r="F118" s="92" t="s">
        <v>306</v>
      </c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>
      <c r="A119" s="105">
        <v>10.0</v>
      </c>
      <c r="B119" s="92" t="s">
        <v>307</v>
      </c>
      <c r="C119" s="92" t="s">
        <v>137</v>
      </c>
      <c r="D119" s="96">
        <v>41781.0</v>
      </c>
      <c r="E119" s="92" t="s">
        <v>252</v>
      </c>
      <c r="F119" s="92" t="s">
        <v>253</v>
      </c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>
      <c r="A120" s="105">
        <v>11.0</v>
      </c>
      <c r="B120" s="92" t="s">
        <v>308</v>
      </c>
      <c r="C120" s="92" t="s">
        <v>137</v>
      </c>
      <c r="D120" s="96">
        <v>41289.0</v>
      </c>
      <c r="E120" s="92" t="s">
        <v>255</v>
      </c>
      <c r="F120" s="92" t="s">
        <v>256</v>
      </c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>
      <c r="A121" s="105">
        <v>12.0</v>
      </c>
      <c r="B121" s="92" t="s">
        <v>309</v>
      </c>
      <c r="C121" s="92" t="s">
        <v>137</v>
      </c>
      <c r="D121" s="96">
        <v>42981.0</v>
      </c>
      <c r="E121" s="92" t="s">
        <v>267</v>
      </c>
      <c r="F121" s="92" t="s">
        <v>268</v>
      </c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>
      <c r="A122" s="105">
        <v>13.0</v>
      </c>
      <c r="B122" s="92" t="s">
        <v>310</v>
      </c>
      <c r="C122" s="92" t="s">
        <v>137</v>
      </c>
      <c r="D122" s="96">
        <v>40743.0</v>
      </c>
      <c r="E122" s="92" t="s">
        <v>273</v>
      </c>
      <c r="F122" s="92" t="s">
        <v>274</v>
      </c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>
      <c r="A125" s="83"/>
      <c r="B125" s="83"/>
      <c r="C125" s="83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>
      <c r="A126" s="83"/>
      <c r="B126" s="83"/>
      <c r="C126" s="83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>
      <c r="A127" s="83"/>
      <c r="B127" s="83"/>
      <c r="C127" s="83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>
      <c r="A128" s="83"/>
      <c r="B128" s="83"/>
      <c r="C128" s="83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>
      <c r="A129" s="83"/>
      <c r="B129" s="83"/>
      <c r="C129" s="83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>
      <c r="A130" s="83" t="s">
        <v>311</v>
      </c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>
      <c r="A131" s="85" t="s">
        <v>3</v>
      </c>
      <c r="B131" s="85" t="s">
        <v>132</v>
      </c>
      <c r="C131" s="85" t="s">
        <v>130</v>
      </c>
      <c r="D131" s="85" t="s">
        <v>131</v>
      </c>
      <c r="E131" s="55" t="s">
        <v>132</v>
      </c>
      <c r="F131" s="9"/>
      <c r="G131" s="55" t="s">
        <v>312</v>
      </c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9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>
      <c r="A132" s="11"/>
      <c r="B132" s="11"/>
      <c r="C132" s="11"/>
      <c r="D132" s="11"/>
      <c r="E132" s="24" t="s">
        <v>63</v>
      </c>
      <c r="F132" s="24" t="s">
        <v>134</v>
      </c>
      <c r="G132" s="24" t="s">
        <v>99</v>
      </c>
      <c r="H132" s="24" t="s">
        <v>100</v>
      </c>
      <c r="I132" s="24" t="s">
        <v>101</v>
      </c>
      <c r="J132" s="24" t="s">
        <v>102</v>
      </c>
      <c r="K132" s="24" t="s">
        <v>82</v>
      </c>
      <c r="L132" s="24" t="s">
        <v>103</v>
      </c>
      <c r="M132" s="24" t="s">
        <v>104</v>
      </c>
      <c r="N132" s="24" t="s">
        <v>105</v>
      </c>
      <c r="O132" s="24" t="s">
        <v>106</v>
      </c>
      <c r="P132" s="24" t="s">
        <v>107</v>
      </c>
      <c r="Q132" s="24" t="s">
        <v>108</v>
      </c>
      <c r="R132" s="92" t="s">
        <v>109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>
      <c r="A133" s="88">
        <v>1.0</v>
      </c>
      <c r="B133" s="88">
        <v>2.0</v>
      </c>
      <c r="C133" s="88">
        <v>3.0</v>
      </c>
      <c r="D133" s="88">
        <v>4.0</v>
      </c>
      <c r="E133" s="88">
        <v>5.0</v>
      </c>
      <c r="F133" s="88">
        <v>6.0</v>
      </c>
      <c r="G133" s="88">
        <v>7.0</v>
      </c>
      <c r="H133" s="88">
        <v>8.0</v>
      </c>
      <c r="I133" s="88">
        <v>9.0</v>
      </c>
      <c r="J133" s="88">
        <v>10.0</v>
      </c>
      <c r="K133" s="88">
        <v>11.0</v>
      </c>
      <c r="L133" s="88">
        <v>12.0</v>
      </c>
      <c r="M133" s="88">
        <v>13.0</v>
      </c>
      <c r="N133" s="88">
        <v>14.0</v>
      </c>
      <c r="O133" s="88">
        <v>15.0</v>
      </c>
      <c r="P133" s="88">
        <v>16.0</v>
      </c>
      <c r="Q133" s="88">
        <v>17.0</v>
      </c>
      <c r="R133" s="88">
        <v>18.0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>
      <c r="A134" s="92">
        <v>1.0</v>
      </c>
      <c r="B134" s="92" t="s">
        <v>265</v>
      </c>
      <c r="C134" s="92" t="s">
        <v>135</v>
      </c>
      <c r="D134" s="96">
        <v>30010.0</v>
      </c>
      <c r="E134" s="92" t="s">
        <v>313</v>
      </c>
      <c r="F134" s="92" t="s">
        <v>314</v>
      </c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>
      <c r="A135" s="92">
        <v>2.0</v>
      </c>
      <c r="B135" s="92" t="s">
        <v>264</v>
      </c>
      <c r="C135" s="92" t="s">
        <v>137</v>
      </c>
      <c r="D135" s="96">
        <v>32611.0</v>
      </c>
      <c r="E135" s="92" t="s">
        <v>315</v>
      </c>
      <c r="F135" s="92" t="s">
        <v>316</v>
      </c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>
      <c r="A136" s="92">
        <v>3.0</v>
      </c>
      <c r="B136" s="92" t="s">
        <v>315</v>
      </c>
      <c r="C136" s="92" t="s">
        <v>137</v>
      </c>
      <c r="D136" s="113">
        <v>18579.0</v>
      </c>
      <c r="E136" s="92" t="s">
        <v>317</v>
      </c>
      <c r="F136" s="92" t="s">
        <v>318</v>
      </c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>
      <c r="A137" s="92">
        <v>4.0</v>
      </c>
      <c r="B137" s="92" t="s">
        <v>319</v>
      </c>
      <c r="C137" s="92" t="s">
        <v>137</v>
      </c>
      <c r="D137" s="96">
        <v>20283.0</v>
      </c>
      <c r="E137" s="92" t="s">
        <v>320</v>
      </c>
      <c r="F137" s="92" t="s">
        <v>321</v>
      </c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>
      <c r="A138" s="92">
        <v>5.0</v>
      </c>
      <c r="B138" s="92" t="s">
        <v>322</v>
      </c>
      <c r="C138" s="92" t="s">
        <v>135</v>
      </c>
      <c r="D138" s="96">
        <v>26083.0</v>
      </c>
      <c r="E138" s="92" t="s">
        <v>323</v>
      </c>
      <c r="F138" s="92" t="s">
        <v>324</v>
      </c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>
      <c r="A139" s="92">
        <v>6.0</v>
      </c>
      <c r="B139" s="92" t="s">
        <v>325</v>
      </c>
      <c r="C139" s="92" t="s">
        <v>137</v>
      </c>
      <c r="D139" s="96">
        <v>24842.0</v>
      </c>
      <c r="E139" s="92" t="s">
        <v>326</v>
      </c>
      <c r="F139" s="92" t="s">
        <v>327</v>
      </c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>
      <c r="A140" s="92">
        <v>7.0</v>
      </c>
      <c r="B140" s="92" t="s">
        <v>328</v>
      </c>
      <c r="C140" s="92" t="s">
        <v>135</v>
      </c>
      <c r="D140" s="96">
        <v>20263.0</v>
      </c>
      <c r="E140" s="92" t="s">
        <v>329</v>
      </c>
      <c r="F140" s="92" t="s">
        <v>330</v>
      </c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>
      <c r="A141" s="92">
        <v>8.0</v>
      </c>
      <c r="B141" s="92" t="s">
        <v>331</v>
      </c>
      <c r="C141" s="92" t="s">
        <v>137</v>
      </c>
      <c r="D141" s="96">
        <v>22444.0</v>
      </c>
      <c r="E141" s="92" t="s">
        <v>332</v>
      </c>
      <c r="F141" s="92" t="s">
        <v>333</v>
      </c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>
      <c r="A142" s="92">
        <v>9.0</v>
      </c>
      <c r="B142" s="92" t="s">
        <v>332</v>
      </c>
      <c r="C142" s="92" t="s">
        <v>137</v>
      </c>
      <c r="D142" s="96">
        <v>14720.0</v>
      </c>
      <c r="E142" s="92" t="s">
        <v>334</v>
      </c>
      <c r="F142" s="92" t="s">
        <v>335</v>
      </c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>
      <c r="A143" s="92">
        <v>10.0</v>
      </c>
      <c r="B143" s="92" t="s">
        <v>336</v>
      </c>
      <c r="C143" s="92" t="s">
        <v>135</v>
      </c>
      <c r="D143" s="96">
        <v>27992.0</v>
      </c>
      <c r="E143" s="92" t="s">
        <v>337</v>
      </c>
      <c r="F143" s="92" t="s">
        <v>338</v>
      </c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>
      <c r="A144" s="92">
        <v>11.0</v>
      </c>
      <c r="B144" s="92" t="s">
        <v>116</v>
      </c>
      <c r="C144" s="92" t="s">
        <v>137</v>
      </c>
      <c r="D144" s="96">
        <v>28635.0</v>
      </c>
      <c r="E144" s="92" t="s">
        <v>339</v>
      </c>
      <c r="F144" s="92" t="s">
        <v>340</v>
      </c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>
      <c r="A145" s="92">
        <v>12.0</v>
      </c>
      <c r="B145" s="92" t="s">
        <v>341</v>
      </c>
      <c r="C145" s="92" t="s">
        <v>135</v>
      </c>
      <c r="D145" s="96">
        <v>24236.0</v>
      </c>
      <c r="E145" s="92" t="s">
        <v>342</v>
      </c>
      <c r="F145" s="92" t="s">
        <v>343</v>
      </c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>
      <c r="A146" s="92">
        <v>13.0</v>
      </c>
      <c r="B146" s="92" t="s">
        <v>344</v>
      </c>
      <c r="C146" s="92" t="s">
        <v>137</v>
      </c>
      <c r="D146" s="96">
        <v>27222.0</v>
      </c>
      <c r="E146" s="92" t="s">
        <v>345</v>
      </c>
      <c r="F146" s="92" t="s">
        <v>346</v>
      </c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>
      <c r="A147" s="92">
        <v>14.0</v>
      </c>
      <c r="B147" s="92" t="s">
        <v>268</v>
      </c>
      <c r="C147" s="92" t="s">
        <v>135</v>
      </c>
      <c r="D147" s="96">
        <v>28856.0</v>
      </c>
      <c r="E147" s="92" t="s">
        <v>347</v>
      </c>
      <c r="F147" s="92" t="s">
        <v>348</v>
      </c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>
      <c r="A148" s="92">
        <v>15.0</v>
      </c>
      <c r="B148" s="92" t="s">
        <v>267</v>
      </c>
      <c r="C148" s="92" t="s">
        <v>137</v>
      </c>
      <c r="D148" s="96">
        <v>32722.0</v>
      </c>
      <c r="E148" s="92" t="s">
        <v>349</v>
      </c>
      <c r="F148" s="92" t="s">
        <v>350</v>
      </c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>
      <c r="A149" s="92">
        <v>16.0</v>
      </c>
      <c r="B149" s="92" t="s">
        <v>351</v>
      </c>
      <c r="C149" s="92" t="s">
        <v>135</v>
      </c>
      <c r="D149" s="96">
        <v>26194.0</v>
      </c>
      <c r="E149" s="92" t="s">
        <v>352</v>
      </c>
      <c r="F149" s="92" t="s">
        <v>353</v>
      </c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>
      <c r="A150" s="92">
        <v>17.0</v>
      </c>
      <c r="B150" s="92" t="s">
        <v>354</v>
      </c>
      <c r="C150" s="92" t="s">
        <v>137</v>
      </c>
      <c r="D150" s="96">
        <v>27634.0</v>
      </c>
      <c r="E150" s="92" t="s">
        <v>355</v>
      </c>
      <c r="F150" s="92" t="s">
        <v>356</v>
      </c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>
      <c r="A151" s="92">
        <v>18.0</v>
      </c>
      <c r="B151" s="92" t="s">
        <v>357</v>
      </c>
      <c r="C151" s="92" t="s">
        <v>135</v>
      </c>
      <c r="D151" s="96">
        <v>19272.0</v>
      </c>
      <c r="E151" s="92" t="s">
        <v>358</v>
      </c>
      <c r="F151" s="92" t="s">
        <v>359</v>
      </c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>
      <c r="A152" s="92">
        <v>19.0</v>
      </c>
      <c r="B152" s="92" t="s">
        <v>360</v>
      </c>
      <c r="C152" s="92" t="s">
        <v>137</v>
      </c>
      <c r="D152" s="96">
        <v>21981.0</v>
      </c>
      <c r="E152" s="92" t="s">
        <v>361</v>
      </c>
      <c r="F152" s="92" t="s">
        <v>362</v>
      </c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>
      <c r="A153" s="92">
        <v>20.0</v>
      </c>
      <c r="B153" s="92" t="s">
        <v>363</v>
      </c>
      <c r="C153" s="92" t="s">
        <v>137</v>
      </c>
      <c r="D153" s="96">
        <v>18445.0</v>
      </c>
      <c r="E153" s="92" t="s">
        <v>50</v>
      </c>
      <c r="F153" s="92" t="s">
        <v>50</v>
      </c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>
      <c r="A154" s="92">
        <v>21.0</v>
      </c>
      <c r="B154" s="92" t="s">
        <v>271</v>
      </c>
      <c r="C154" s="92" t="s">
        <v>135</v>
      </c>
      <c r="D154" s="96">
        <v>34448.0</v>
      </c>
      <c r="E154" s="92" t="s">
        <v>364</v>
      </c>
      <c r="F154" s="92" t="s">
        <v>365</v>
      </c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>
      <c r="A155" s="92">
        <v>22.0</v>
      </c>
      <c r="B155" s="92" t="s">
        <v>270</v>
      </c>
      <c r="C155" s="92" t="s">
        <v>137</v>
      </c>
      <c r="D155" s="96">
        <v>36203.0</v>
      </c>
      <c r="E155" s="92" t="s">
        <v>366</v>
      </c>
      <c r="F155" s="92" t="s">
        <v>367</v>
      </c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>
      <c r="A156" s="92">
        <v>23.0</v>
      </c>
      <c r="B156" s="92" t="s">
        <v>367</v>
      </c>
      <c r="C156" s="92" t="s">
        <v>135</v>
      </c>
      <c r="D156" s="96">
        <v>14134.0</v>
      </c>
      <c r="E156" s="92" t="s">
        <v>368</v>
      </c>
      <c r="F156" s="92" t="s">
        <v>369</v>
      </c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>
      <c r="A157" s="92">
        <v>24.0</v>
      </c>
      <c r="B157" s="92" t="s">
        <v>370</v>
      </c>
      <c r="C157" s="92" t="s">
        <v>137</v>
      </c>
      <c r="D157" s="113">
        <v>22971.0</v>
      </c>
      <c r="E157" s="92" t="s">
        <v>371</v>
      </c>
      <c r="F157" s="92" t="s">
        <v>372</v>
      </c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>
      <c r="A158" s="92">
        <v>25.0</v>
      </c>
      <c r="B158" s="92" t="s">
        <v>373</v>
      </c>
      <c r="C158" s="92" t="s">
        <v>137</v>
      </c>
      <c r="D158" s="96">
        <v>24814.0</v>
      </c>
      <c r="E158" s="92" t="s">
        <v>325</v>
      </c>
      <c r="F158" s="92" t="s">
        <v>374</v>
      </c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>
      <c r="A159" s="92">
        <v>26.0</v>
      </c>
      <c r="B159" s="92" t="s">
        <v>373</v>
      </c>
      <c r="C159" s="92" t="s">
        <v>137</v>
      </c>
      <c r="D159" s="96">
        <v>20798.0</v>
      </c>
      <c r="E159" s="92" t="s">
        <v>375</v>
      </c>
      <c r="F159" s="92" t="s">
        <v>376</v>
      </c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>
      <c r="A160" s="92">
        <v>27.0</v>
      </c>
      <c r="B160" s="92" t="s">
        <v>377</v>
      </c>
      <c r="C160" s="92" t="s">
        <v>137</v>
      </c>
      <c r="D160" s="113">
        <v>21468.0</v>
      </c>
      <c r="E160" s="92" t="s">
        <v>378</v>
      </c>
      <c r="F160" s="92" t="s">
        <v>379</v>
      </c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>
      <c r="A161" s="92">
        <v>28.0</v>
      </c>
      <c r="B161" s="92" t="s">
        <v>380</v>
      </c>
      <c r="C161" s="92" t="s">
        <v>135</v>
      </c>
      <c r="D161" s="96">
        <v>19024.0</v>
      </c>
      <c r="E161" s="92" t="s">
        <v>381</v>
      </c>
      <c r="F161" s="92" t="s">
        <v>382</v>
      </c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>
      <c r="A162" s="92">
        <v>29.0</v>
      </c>
      <c r="B162" s="92" t="s">
        <v>383</v>
      </c>
      <c r="C162" s="92" t="s">
        <v>135</v>
      </c>
      <c r="D162" s="96">
        <v>21596.0</v>
      </c>
      <c r="E162" s="92" t="s">
        <v>384</v>
      </c>
      <c r="F162" s="92" t="s">
        <v>385</v>
      </c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>
      <c r="A163" s="92">
        <v>30.0</v>
      </c>
      <c r="B163" s="92" t="s">
        <v>386</v>
      </c>
      <c r="C163" s="92" t="s">
        <v>137</v>
      </c>
      <c r="D163" s="96">
        <v>24904.0</v>
      </c>
      <c r="E163" s="92" t="s">
        <v>387</v>
      </c>
      <c r="F163" s="92" t="s">
        <v>388</v>
      </c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>
      <c r="A164" s="92">
        <v>31.0</v>
      </c>
      <c r="B164" s="92" t="s">
        <v>274</v>
      </c>
      <c r="C164" s="92" t="s">
        <v>135</v>
      </c>
      <c r="D164" s="96">
        <v>28262.0</v>
      </c>
      <c r="E164" s="92" t="s">
        <v>389</v>
      </c>
      <c r="F164" s="92" t="s">
        <v>390</v>
      </c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>
      <c r="A165" s="92">
        <v>32.0</v>
      </c>
      <c r="B165" s="92" t="s">
        <v>391</v>
      </c>
      <c r="C165" s="92" t="s">
        <v>137</v>
      </c>
      <c r="D165" s="96">
        <v>34175.0</v>
      </c>
      <c r="E165" s="92" t="s">
        <v>392</v>
      </c>
      <c r="F165" s="92" t="s">
        <v>393</v>
      </c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>
      <c r="A166" s="92">
        <v>33.0</v>
      </c>
      <c r="B166" s="92" t="s">
        <v>394</v>
      </c>
      <c r="C166" s="92" t="s">
        <v>135</v>
      </c>
      <c r="D166" s="96">
        <v>24300.0</v>
      </c>
      <c r="E166" s="92" t="s">
        <v>395</v>
      </c>
      <c r="F166" s="92" t="s">
        <v>396</v>
      </c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>
      <c r="A167" s="92">
        <v>34.0</v>
      </c>
      <c r="B167" s="92" t="s">
        <v>323</v>
      </c>
      <c r="C167" s="92" t="s">
        <v>137</v>
      </c>
      <c r="D167" s="96">
        <v>26115.0</v>
      </c>
      <c r="E167" s="92" t="s">
        <v>397</v>
      </c>
      <c r="F167" s="92" t="s">
        <v>398</v>
      </c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>
      <c r="A168" s="92">
        <v>35.0</v>
      </c>
      <c r="B168" s="92" t="s">
        <v>397</v>
      </c>
      <c r="C168" s="92" t="s">
        <v>137</v>
      </c>
      <c r="D168" s="96">
        <v>16446.0</v>
      </c>
      <c r="E168" s="92" t="s">
        <v>399</v>
      </c>
      <c r="F168" s="92" t="s">
        <v>400</v>
      </c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>
      <c r="A169" s="92">
        <v>36.0</v>
      </c>
      <c r="B169" s="92" t="s">
        <v>401</v>
      </c>
      <c r="C169" s="92" t="s">
        <v>135</v>
      </c>
      <c r="D169" s="113">
        <v>19310.0</v>
      </c>
      <c r="E169" s="92" t="s">
        <v>402</v>
      </c>
      <c r="F169" s="92" t="s">
        <v>403</v>
      </c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>
      <c r="A170" s="92">
        <v>37.0</v>
      </c>
      <c r="B170" s="92" t="s">
        <v>404</v>
      </c>
      <c r="C170" s="92" t="s">
        <v>137</v>
      </c>
      <c r="D170" s="96">
        <v>18663.0</v>
      </c>
      <c r="E170" s="92" t="s">
        <v>405</v>
      </c>
      <c r="F170" s="92" t="s">
        <v>406</v>
      </c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>
      <c r="A171" s="92">
        <v>38.0</v>
      </c>
      <c r="B171" s="92" t="s">
        <v>407</v>
      </c>
      <c r="C171" s="92" t="s">
        <v>137</v>
      </c>
      <c r="D171" s="96">
        <v>18753.0</v>
      </c>
      <c r="E171" s="92" t="s">
        <v>358</v>
      </c>
      <c r="F171" s="92" t="s">
        <v>408</v>
      </c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>
      <c r="A172" s="92">
        <v>39.0</v>
      </c>
      <c r="B172" s="92" t="s">
        <v>409</v>
      </c>
      <c r="C172" s="92" t="s">
        <v>135</v>
      </c>
      <c r="D172" s="96">
        <v>21005.0</v>
      </c>
      <c r="E172" s="92" t="s">
        <v>410</v>
      </c>
      <c r="F172" s="92" t="s">
        <v>411</v>
      </c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>
      <c r="A173" s="92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>
      <c r="A174" s="92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>
      <c r="A175" s="92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>
      <c r="A176" s="92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>
      <c r="A177" s="92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>
      <c r="A178" s="92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130:C130"/>
    <mergeCell ref="A131:A132"/>
    <mergeCell ref="B131:B132"/>
    <mergeCell ref="C131:C132"/>
    <mergeCell ref="D131:D132"/>
    <mergeCell ref="E131:F131"/>
    <mergeCell ref="B4:B8"/>
    <mergeCell ref="C7:D7"/>
    <mergeCell ref="A24:C24"/>
    <mergeCell ref="A28:D28"/>
    <mergeCell ref="A29:A30"/>
    <mergeCell ref="B29:D29"/>
    <mergeCell ref="A41:C41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2:A43"/>
    <mergeCell ref="B42:B43"/>
    <mergeCell ref="C42:C43"/>
    <mergeCell ref="D42:D43"/>
    <mergeCell ref="E42:F42"/>
    <mergeCell ref="G42:R42"/>
    <mergeCell ref="A106:C106"/>
    <mergeCell ref="A107:A108"/>
    <mergeCell ref="B107:B108"/>
    <mergeCell ref="C107:C108"/>
    <mergeCell ref="D107:D108"/>
    <mergeCell ref="E107:F107"/>
    <mergeCell ref="G107:R107"/>
    <mergeCell ref="G131:R1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25"/>
    <col customWidth="1" min="3" max="3" width="12.5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3" t="s">
        <v>412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>
      <c r="A4" s="57" t="s">
        <v>3</v>
      </c>
      <c r="B4" s="57" t="s">
        <v>53</v>
      </c>
      <c r="C4" s="56" t="s">
        <v>413</v>
      </c>
      <c r="D4" s="36"/>
      <c r="E4" s="9"/>
      <c r="F4" s="6" t="s">
        <v>414</v>
      </c>
      <c r="G4" s="56" t="s">
        <v>415</v>
      </c>
      <c r="H4" s="36"/>
      <c r="I4" s="36"/>
      <c r="J4" s="36"/>
      <c r="K4" s="36"/>
      <c r="L4" s="36"/>
      <c r="M4" s="36"/>
      <c r="N4" s="9"/>
      <c r="O4" s="56" t="s">
        <v>416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9"/>
      <c r="AA4" s="114" t="s">
        <v>417</v>
      </c>
      <c r="AB4" s="115" t="s">
        <v>418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59" t="s">
        <v>419</v>
      </c>
      <c r="BA4" s="36"/>
      <c r="BB4" s="36"/>
      <c r="BC4" s="9"/>
      <c r="BD4" s="57" t="s">
        <v>420</v>
      </c>
    </row>
    <row r="5">
      <c r="A5" s="66"/>
      <c r="B5" s="66"/>
      <c r="C5" s="116" t="s">
        <v>30</v>
      </c>
      <c r="D5" s="116" t="s">
        <v>421</v>
      </c>
      <c r="E5" s="116" t="s">
        <v>422</v>
      </c>
      <c r="F5" s="66"/>
      <c r="G5" s="116" t="s">
        <v>423</v>
      </c>
      <c r="H5" s="116" t="s">
        <v>424</v>
      </c>
      <c r="I5" s="116" t="s">
        <v>425</v>
      </c>
      <c r="J5" s="116" t="s">
        <v>426</v>
      </c>
      <c r="K5" s="116" t="s">
        <v>427</v>
      </c>
      <c r="L5" s="116" t="s">
        <v>428</v>
      </c>
      <c r="M5" s="116" t="s">
        <v>429</v>
      </c>
      <c r="N5" s="116" t="s">
        <v>430</v>
      </c>
      <c r="O5" s="117" t="s">
        <v>431</v>
      </c>
      <c r="P5" s="62"/>
      <c r="Q5" s="117" t="s">
        <v>432</v>
      </c>
      <c r="R5" s="62"/>
      <c r="S5" s="117" t="s">
        <v>433</v>
      </c>
      <c r="T5" s="62"/>
      <c r="U5" s="117" t="s">
        <v>434</v>
      </c>
      <c r="V5" s="62"/>
      <c r="W5" s="117" t="s">
        <v>435</v>
      </c>
      <c r="X5" s="62"/>
      <c r="Y5" s="117" t="s">
        <v>436</v>
      </c>
      <c r="Z5" s="62"/>
      <c r="AA5" s="66"/>
      <c r="AB5" s="117" t="s">
        <v>437</v>
      </c>
      <c r="AC5" s="62"/>
      <c r="AD5" s="117" t="s">
        <v>438</v>
      </c>
      <c r="AE5" s="61"/>
      <c r="AF5" s="61"/>
      <c r="AG5" s="61"/>
      <c r="AH5" s="61"/>
      <c r="AI5" s="62"/>
      <c r="AJ5" s="117" t="s">
        <v>439</v>
      </c>
      <c r="AK5" s="61"/>
      <c r="AL5" s="61"/>
      <c r="AM5" s="61"/>
      <c r="AN5" s="61"/>
      <c r="AO5" s="61"/>
      <c r="AP5" s="61"/>
      <c r="AQ5" s="62"/>
      <c r="AR5" s="117" t="s">
        <v>440</v>
      </c>
      <c r="AS5" s="62"/>
      <c r="AT5" s="117" t="s">
        <v>441</v>
      </c>
      <c r="AU5" s="61"/>
      <c r="AV5" s="61"/>
      <c r="AW5" s="61"/>
      <c r="AX5" s="61"/>
      <c r="AY5" s="62"/>
      <c r="AZ5" s="117" t="s">
        <v>30</v>
      </c>
      <c r="BA5" s="62"/>
      <c r="BB5" s="117" t="s">
        <v>442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17" t="s">
        <v>443</v>
      </c>
      <c r="AE7" s="62"/>
      <c r="AF7" s="117" t="s">
        <v>444</v>
      </c>
      <c r="AG7" s="62"/>
      <c r="AH7" s="117" t="s">
        <v>445</v>
      </c>
      <c r="AI7" s="62"/>
      <c r="AJ7" s="117" t="s">
        <v>443</v>
      </c>
      <c r="AK7" s="62"/>
      <c r="AL7" s="117" t="s">
        <v>444</v>
      </c>
      <c r="AM7" s="62"/>
      <c r="AN7" s="117" t="s">
        <v>445</v>
      </c>
      <c r="AO7" s="62"/>
      <c r="AP7" s="117" t="s">
        <v>446</v>
      </c>
      <c r="AQ7" s="62"/>
      <c r="AR7" s="58"/>
      <c r="AS7" s="64"/>
      <c r="AT7" s="117" t="s">
        <v>443</v>
      </c>
      <c r="AU7" s="62"/>
      <c r="AV7" s="117" t="s">
        <v>444</v>
      </c>
      <c r="AW7" s="62"/>
      <c r="AX7" s="117" t="s">
        <v>445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1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8" t="s">
        <v>76</v>
      </c>
      <c r="P9" s="118" t="s">
        <v>77</v>
      </c>
      <c r="Q9" s="12" t="s">
        <v>76</v>
      </c>
      <c r="R9" s="12" t="s">
        <v>77</v>
      </c>
      <c r="S9" s="12" t="s">
        <v>76</v>
      </c>
      <c r="T9" s="12" t="s">
        <v>77</v>
      </c>
      <c r="U9" s="12" t="s">
        <v>76</v>
      </c>
      <c r="V9" s="12" t="s">
        <v>77</v>
      </c>
      <c r="W9" s="12" t="s">
        <v>76</v>
      </c>
      <c r="X9" s="12" t="s">
        <v>77</v>
      </c>
      <c r="Y9" s="12" t="s">
        <v>76</v>
      </c>
      <c r="Z9" s="12" t="s">
        <v>77</v>
      </c>
      <c r="AA9" s="29"/>
      <c r="AB9" s="12" t="s">
        <v>76</v>
      </c>
      <c r="AC9" s="12" t="s">
        <v>77</v>
      </c>
      <c r="AD9" s="12" t="s">
        <v>76</v>
      </c>
      <c r="AE9" s="12" t="s">
        <v>77</v>
      </c>
      <c r="AF9" s="12" t="s">
        <v>76</v>
      </c>
      <c r="AG9" s="12" t="s">
        <v>77</v>
      </c>
      <c r="AH9" s="12" t="s">
        <v>76</v>
      </c>
      <c r="AI9" s="12" t="s">
        <v>77</v>
      </c>
      <c r="AJ9" s="12" t="s">
        <v>76</v>
      </c>
      <c r="AK9" s="12" t="s">
        <v>77</v>
      </c>
      <c r="AL9" s="12" t="s">
        <v>76</v>
      </c>
      <c r="AM9" s="12" t="s">
        <v>77</v>
      </c>
      <c r="AN9" s="12" t="s">
        <v>76</v>
      </c>
      <c r="AO9" s="12" t="s">
        <v>77</v>
      </c>
      <c r="AP9" s="12" t="s">
        <v>76</v>
      </c>
      <c r="AQ9" s="12" t="s">
        <v>77</v>
      </c>
      <c r="AR9" s="12" t="s">
        <v>76</v>
      </c>
      <c r="AS9" s="12" t="s">
        <v>77</v>
      </c>
      <c r="AT9" s="12" t="s">
        <v>76</v>
      </c>
      <c r="AU9" s="12" t="s">
        <v>77</v>
      </c>
      <c r="AV9" s="12" t="s">
        <v>76</v>
      </c>
      <c r="AW9" s="12" t="s">
        <v>77</v>
      </c>
      <c r="AX9" s="12" t="s">
        <v>76</v>
      </c>
      <c r="AY9" s="12" t="s">
        <v>77</v>
      </c>
      <c r="AZ9" s="12" t="s">
        <v>76</v>
      </c>
      <c r="BA9" s="12" t="s">
        <v>77</v>
      </c>
      <c r="BB9" s="12" t="s">
        <v>76</v>
      </c>
      <c r="BC9" s="12" t="s">
        <v>77</v>
      </c>
      <c r="BD9" s="29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13">
        <v>1.0</v>
      </c>
      <c r="B11" s="119" t="s">
        <v>78</v>
      </c>
      <c r="C11" s="16"/>
      <c r="D11" s="16"/>
      <c r="E11" s="16"/>
      <c r="F11" s="16"/>
      <c r="G11" s="76"/>
      <c r="H11" s="76"/>
      <c r="I11" s="7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9"/>
    </row>
    <row r="12">
      <c r="A12" s="13">
        <v>2.0</v>
      </c>
      <c r="B12" s="119" t="s">
        <v>79</v>
      </c>
      <c r="C12" s="16"/>
      <c r="D12" s="16"/>
      <c r="E12" s="16"/>
      <c r="F12" s="16"/>
      <c r="G12" s="76"/>
      <c r="H12" s="76"/>
      <c r="I12" s="7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9"/>
    </row>
    <row r="13">
      <c r="A13" s="13">
        <v>3.0</v>
      </c>
      <c r="B13" s="119" t="s">
        <v>80</v>
      </c>
      <c r="C13" s="16"/>
      <c r="D13" s="16"/>
      <c r="E13" s="16"/>
      <c r="F13" s="76"/>
      <c r="G13" s="76"/>
      <c r="H13" s="76"/>
      <c r="I13" s="7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9"/>
    </row>
    <row r="14">
      <c r="A14" s="13">
        <v>4.0</v>
      </c>
      <c r="B14" s="119" t="s">
        <v>81</v>
      </c>
      <c r="C14" s="16"/>
      <c r="D14" s="16"/>
      <c r="E14" s="16"/>
      <c r="F14" s="76"/>
      <c r="G14" s="76"/>
      <c r="H14" s="76"/>
      <c r="I14" s="7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9"/>
    </row>
    <row r="15">
      <c r="A15" s="13">
        <v>5.0</v>
      </c>
      <c r="B15" s="119" t="s">
        <v>82</v>
      </c>
      <c r="C15" s="16"/>
      <c r="D15" s="16"/>
      <c r="E15" s="16"/>
      <c r="F15" s="76"/>
      <c r="G15" s="16"/>
      <c r="H15" s="76"/>
      <c r="I15" s="7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9"/>
    </row>
    <row r="16">
      <c r="A16" s="13">
        <v>6.0</v>
      </c>
      <c r="B16" s="119" t="s">
        <v>83</v>
      </c>
      <c r="C16" s="16"/>
      <c r="D16" s="16"/>
      <c r="E16" s="16"/>
      <c r="F16" s="76"/>
      <c r="G16" s="16"/>
      <c r="H16" s="76"/>
      <c r="I16" s="7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9"/>
    </row>
    <row r="17">
      <c r="A17" s="13">
        <v>7.0</v>
      </c>
      <c r="B17" s="119" t="s">
        <v>84</v>
      </c>
      <c r="C17" s="16"/>
      <c r="D17" s="16"/>
      <c r="E17" s="16"/>
      <c r="F17" s="76"/>
      <c r="G17" s="76"/>
      <c r="H17" s="76"/>
      <c r="I17" s="7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9"/>
    </row>
    <row r="18">
      <c r="A18" s="13">
        <v>8.0</v>
      </c>
      <c r="B18" s="119" t="s">
        <v>85</v>
      </c>
      <c r="C18" s="17"/>
      <c r="D18" s="17"/>
      <c r="E18" s="17"/>
      <c r="F18" s="76"/>
      <c r="G18" s="76"/>
      <c r="H18" s="76"/>
      <c r="I18" s="7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9"/>
    </row>
    <row r="19">
      <c r="A19" s="13">
        <v>9.0</v>
      </c>
      <c r="B19" s="119" t="s">
        <v>86</v>
      </c>
      <c r="C19" s="16"/>
      <c r="D19" s="16"/>
      <c r="E19" s="16"/>
      <c r="F19" s="76"/>
      <c r="G19" s="76"/>
      <c r="H19" s="76"/>
      <c r="I19" s="7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7"/>
      <c r="AK19" s="17"/>
      <c r="AL19" s="17"/>
      <c r="AM19" s="17"/>
      <c r="AN19" s="16"/>
      <c r="AO19" s="17"/>
      <c r="AP19" s="17"/>
      <c r="AQ19" s="17"/>
      <c r="AR19" s="17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29"/>
    </row>
    <row r="20">
      <c r="A20" s="13">
        <v>10.0</v>
      </c>
      <c r="B20" s="119" t="s">
        <v>87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13">
        <v>11.0</v>
      </c>
      <c r="B21" s="119" t="s">
        <v>88</v>
      </c>
      <c r="C21" s="120">
        <v>7.0</v>
      </c>
      <c r="D21" s="120">
        <v>7.0</v>
      </c>
      <c r="E21" s="120">
        <v>7.0</v>
      </c>
      <c r="F21" s="120">
        <v>15.0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13">
        <v>12.0</v>
      </c>
      <c r="B22" s="119" t="s">
        <v>89</v>
      </c>
      <c r="C22" s="121"/>
      <c r="D22" s="121"/>
      <c r="E22" s="121"/>
      <c r="F22" s="121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122" t="s">
        <v>30</v>
      </c>
      <c r="B23" s="9"/>
      <c r="C23" s="123">
        <f t="shared" ref="C23:BD23" si="1">SUM(C11:C22)</f>
        <v>7</v>
      </c>
      <c r="D23" s="123">
        <f t="shared" si="1"/>
        <v>7</v>
      </c>
      <c r="E23" s="123">
        <f t="shared" si="1"/>
        <v>7</v>
      </c>
      <c r="F23" s="123">
        <f t="shared" si="1"/>
        <v>15</v>
      </c>
      <c r="G23" s="124">
        <f t="shared" si="1"/>
        <v>0</v>
      </c>
      <c r="H23" s="124">
        <f t="shared" si="1"/>
        <v>0</v>
      </c>
      <c r="I23" s="124">
        <f t="shared" si="1"/>
        <v>0</v>
      </c>
      <c r="J23" s="124">
        <f t="shared" si="1"/>
        <v>0</v>
      </c>
      <c r="K23" s="124">
        <f t="shared" si="1"/>
        <v>0</v>
      </c>
      <c r="L23" s="124">
        <f t="shared" si="1"/>
        <v>0</v>
      </c>
      <c r="M23" s="124">
        <f t="shared" si="1"/>
        <v>0</v>
      </c>
      <c r="N23" s="124">
        <f t="shared" si="1"/>
        <v>0</v>
      </c>
      <c r="O23" s="124">
        <f t="shared" si="1"/>
        <v>0</v>
      </c>
      <c r="P23" s="124">
        <f t="shared" si="1"/>
        <v>0</v>
      </c>
      <c r="Q23" s="124">
        <f t="shared" si="1"/>
        <v>0</v>
      </c>
      <c r="R23" s="124">
        <f t="shared" si="1"/>
        <v>0</v>
      </c>
      <c r="S23" s="124">
        <f t="shared" si="1"/>
        <v>0</v>
      </c>
      <c r="T23" s="124">
        <f t="shared" si="1"/>
        <v>0</v>
      </c>
      <c r="U23" s="124">
        <f t="shared" si="1"/>
        <v>0</v>
      </c>
      <c r="V23" s="124">
        <f t="shared" si="1"/>
        <v>0</v>
      </c>
      <c r="W23" s="124">
        <f t="shared" si="1"/>
        <v>0</v>
      </c>
      <c r="X23" s="124">
        <f t="shared" si="1"/>
        <v>0</v>
      </c>
      <c r="Y23" s="124">
        <f t="shared" si="1"/>
        <v>0</v>
      </c>
      <c r="Z23" s="124">
        <f t="shared" si="1"/>
        <v>0</v>
      </c>
      <c r="AA23" s="124">
        <f t="shared" si="1"/>
        <v>0</v>
      </c>
      <c r="AB23" s="124">
        <f t="shared" si="1"/>
        <v>0</v>
      </c>
      <c r="AC23" s="124">
        <f t="shared" si="1"/>
        <v>0</v>
      </c>
      <c r="AD23" s="124">
        <f t="shared" si="1"/>
        <v>0</v>
      </c>
      <c r="AE23" s="124">
        <f t="shared" si="1"/>
        <v>0</v>
      </c>
      <c r="AF23" s="124">
        <f t="shared" si="1"/>
        <v>0</v>
      </c>
      <c r="AG23" s="124">
        <f t="shared" si="1"/>
        <v>0</v>
      </c>
      <c r="AH23" s="124">
        <f t="shared" si="1"/>
        <v>0</v>
      </c>
      <c r="AI23" s="124">
        <f t="shared" si="1"/>
        <v>0</v>
      </c>
      <c r="AJ23" s="124">
        <f t="shared" si="1"/>
        <v>0</v>
      </c>
      <c r="AK23" s="124">
        <f t="shared" si="1"/>
        <v>0</v>
      </c>
      <c r="AL23" s="124">
        <f t="shared" si="1"/>
        <v>0</v>
      </c>
      <c r="AM23" s="124">
        <f t="shared" si="1"/>
        <v>0</v>
      </c>
      <c r="AN23" s="124">
        <f t="shared" si="1"/>
        <v>0</v>
      </c>
      <c r="AO23" s="124">
        <f t="shared" si="1"/>
        <v>0</v>
      </c>
      <c r="AP23" s="124">
        <f t="shared" si="1"/>
        <v>0</v>
      </c>
      <c r="AQ23" s="124">
        <f t="shared" si="1"/>
        <v>0</v>
      </c>
      <c r="AR23" s="124">
        <f t="shared" si="1"/>
        <v>0</v>
      </c>
      <c r="AS23" s="124">
        <f t="shared" si="1"/>
        <v>0</v>
      </c>
      <c r="AT23" s="124">
        <f t="shared" si="1"/>
        <v>0</v>
      </c>
      <c r="AU23" s="124">
        <f t="shared" si="1"/>
        <v>0</v>
      </c>
      <c r="AV23" s="124">
        <f t="shared" si="1"/>
        <v>0</v>
      </c>
      <c r="AW23" s="124">
        <f t="shared" si="1"/>
        <v>0</v>
      </c>
      <c r="AX23" s="124">
        <f t="shared" si="1"/>
        <v>0</v>
      </c>
      <c r="AY23" s="124">
        <f t="shared" si="1"/>
        <v>0</v>
      </c>
      <c r="AZ23" s="124">
        <f t="shared" si="1"/>
        <v>0</v>
      </c>
      <c r="BA23" s="124">
        <f t="shared" si="1"/>
        <v>0</v>
      </c>
      <c r="BB23" s="124">
        <f t="shared" si="1"/>
        <v>0</v>
      </c>
      <c r="BC23" s="124">
        <f t="shared" si="1"/>
        <v>0</v>
      </c>
      <c r="BD23" s="124">
        <f t="shared" si="1"/>
        <v>0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>
      <c r="A26" s="125" t="s">
        <v>447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>
      <c r="A29" s="126" t="s">
        <v>448</v>
      </c>
      <c r="B29" s="84"/>
      <c r="C29" s="84"/>
      <c r="D29" s="84"/>
      <c r="E29" s="84"/>
      <c r="F29" s="84"/>
      <c r="G29" s="84"/>
      <c r="H29" s="8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>
      <c r="A30" s="85" t="s">
        <v>449</v>
      </c>
      <c r="B30" s="127" t="s">
        <v>450</v>
      </c>
      <c r="C30" s="127" t="s">
        <v>451</v>
      </c>
      <c r="D30" s="55" t="s">
        <v>452</v>
      </c>
      <c r="E30" s="36"/>
      <c r="F30" s="36"/>
      <c r="G30" s="9"/>
      <c r="H30" s="55" t="s">
        <v>453</v>
      </c>
      <c r="I30" s="36"/>
      <c r="J30" s="36"/>
      <c r="K30" s="36"/>
      <c r="L30" s="36"/>
      <c r="M30" s="36"/>
      <c r="N30" s="9"/>
      <c r="O30" s="55" t="s">
        <v>454</v>
      </c>
      <c r="P30" s="36"/>
      <c r="Q30" s="9"/>
      <c r="R30" s="55" t="s">
        <v>455</v>
      </c>
      <c r="S30" s="36"/>
      <c r="T30" s="9"/>
      <c r="U30" s="86" t="s">
        <v>456</v>
      </c>
      <c r="V30" s="62"/>
      <c r="W30" s="86" t="s">
        <v>457</v>
      </c>
      <c r="X30" s="62"/>
      <c r="Y30" s="128" t="s">
        <v>458</v>
      </c>
      <c r="Z30" s="62"/>
      <c r="AA30" s="129" t="s">
        <v>459</v>
      </c>
      <c r="AB30" s="130" t="s">
        <v>460</v>
      </c>
      <c r="AC30" s="62"/>
      <c r="AD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>
      <c r="A31" s="66"/>
      <c r="B31" s="66"/>
      <c r="C31" s="66"/>
      <c r="D31" s="55" t="s">
        <v>461</v>
      </c>
      <c r="E31" s="9"/>
      <c r="F31" s="55" t="s">
        <v>462</v>
      </c>
      <c r="G31" s="9"/>
      <c r="H31" s="55" t="s">
        <v>463</v>
      </c>
      <c r="I31" s="9"/>
      <c r="J31" s="55" t="s">
        <v>464</v>
      </c>
      <c r="K31" s="9"/>
      <c r="L31" s="55" t="s">
        <v>465</v>
      </c>
      <c r="M31" s="9"/>
      <c r="N31" s="85" t="s">
        <v>466</v>
      </c>
      <c r="O31" s="129" t="s">
        <v>467</v>
      </c>
      <c r="P31" s="55" t="s">
        <v>468</v>
      </c>
      <c r="Q31" s="9"/>
      <c r="R31" s="129" t="s">
        <v>467</v>
      </c>
      <c r="S31" s="55" t="s">
        <v>469</v>
      </c>
      <c r="T31" s="9"/>
      <c r="U31" s="67"/>
      <c r="V31" s="69"/>
      <c r="W31" s="67"/>
      <c r="X31" s="69"/>
      <c r="Y31" s="131" t="s">
        <v>470</v>
      </c>
      <c r="Z31" s="132"/>
      <c r="AA31" s="133" t="s">
        <v>471</v>
      </c>
      <c r="AB31" s="68"/>
      <c r="AC31" s="69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>
      <c r="A32" s="11"/>
      <c r="B32" s="11"/>
      <c r="C32" s="11"/>
      <c r="D32" s="24" t="s">
        <v>450</v>
      </c>
      <c r="E32" s="24" t="s">
        <v>451</v>
      </c>
      <c r="F32" s="24" t="s">
        <v>450</v>
      </c>
      <c r="G32" s="24" t="s">
        <v>451</v>
      </c>
      <c r="H32" s="24" t="s">
        <v>472</v>
      </c>
      <c r="I32" s="24" t="s">
        <v>473</v>
      </c>
      <c r="J32" s="24" t="s">
        <v>472</v>
      </c>
      <c r="K32" s="24" t="s">
        <v>474</v>
      </c>
      <c r="L32" s="24" t="s">
        <v>472</v>
      </c>
      <c r="M32" s="24" t="s">
        <v>473</v>
      </c>
      <c r="N32" s="11"/>
      <c r="O32" s="134" t="s">
        <v>475</v>
      </c>
      <c r="P32" s="24" t="s">
        <v>476</v>
      </c>
      <c r="Q32" s="24" t="s">
        <v>477</v>
      </c>
      <c r="R32" s="134" t="s">
        <v>478</v>
      </c>
      <c r="S32" s="24" t="s">
        <v>476</v>
      </c>
      <c r="T32" s="24" t="s">
        <v>477</v>
      </c>
      <c r="U32" s="24" t="s">
        <v>479</v>
      </c>
      <c r="V32" s="24" t="s">
        <v>477</v>
      </c>
      <c r="W32" s="24" t="s">
        <v>479</v>
      </c>
      <c r="X32" s="24" t="s">
        <v>477</v>
      </c>
      <c r="Y32" s="24" t="s">
        <v>479</v>
      </c>
      <c r="Z32" s="55" t="s">
        <v>477</v>
      </c>
      <c r="AA32" s="135"/>
      <c r="AB32" s="136" t="s">
        <v>450</v>
      </c>
      <c r="AC32" s="24" t="s">
        <v>480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>
      <c r="A33" s="88">
        <v>1.0</v>
      </c>
      <c r="B33" s="88">
        <v>2.0</v>
      </c>
      <c r="C33" s="137">
        <v>3.0</v>
      </c>
      <c r="D33" s="88">
        <v>4.0</v>
      </c>
      <c r="E33" s="88">
        <v>5.0</v>
      </c>
      <c r="F33" s="88">
        <v>6.0</v>
      </c>
      <c r="G33" s="88">
        <v>7.0</v>
      </c>
      <c r="H33" s="88">
        <v>8.0</v>
      </c>
      <c r="I33" s="88">
        <v>9.0</v>
      </c>
      <c r="J33" s="88">
        <v>10.0</v>
      </c>
      <c r="K33" s="88">
        <v>11.0</v>
      </c>
      <c r="L33" s="88">
        <v>12.0</v>
      </c>
      <c r="M33" s="88">
        <v>13.0</v>
      </c>
      <c r="N33" s="88">
        <v>14.0</v>
      </c>
      <c r="O33" s="138">
        <v>15.0</v>
      </c>
      <c r="P33" s="88">
        <v>16.0</v>
      </c>
      <c r="Q33" s="88">
        <v>17.0</v>
      </c>
      <c r="R33" s="138">
        <v>18.0</v>
      </c>
      <c r="S33" s="88">
        <v>19.0</v>
      </c>
      <c r="T33" s="88">
        <v>20.0</v>
      </c>
      <c r="U33" s="88">
        <v>21.0</v>
      </c>
      <c r="V33" s="88">
        <v>22.0</v>
      </c>
      <c r="W33" s="88">
        <v>23.0</v>
      </c>
      <c r="X33" s="88">
        <v>24.0</v>
      </c>
      <c r="Y33" s="88">
        <v>25.0</v>
      </c>
      <c r="Z33" s="139">
        <v>26.0</v>
      </c>
      <c r="AA33" s="138">
        <v>27.0</v>
      </c>
      <c r="AB33" s="140">
        <v>28.0</v>
      </c>
      <c r="AC33" s="88">
        <v>29.0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>
      <c r="A34" s="141">
        <v>45658.0</v>
      </c>
      <c r="B34" s="142"/>
      <c r="C34" s="143"/>
      <c r="D34" s="100"/>
      <c r="E34" s="100"/>
      <c r="F34" s="100"/>
      <c r="G34" s="100"/>
      <c r="H34" s="77"/>
      <c r="I34" s="144"/>
      <c r="J34" s="144"/>
      <c r="K34" s="144"/>
      <c r="L34" s="144"/>
      <c r="M34" s="144"/>
      <c r="N34" s="144"/>
      <c r="O34" s="93"/>
      <c r="P34" s="93"/>
      <c r="Q34" s="93"/>
      <c r="R34" s="93"/>
      <c r="S34" s="93"/>
      <c r="T34" s="93"/>
      <c r="U34" s="100"/>
      <c r="V34" s="100"/>
      <c r="W34" s="100"/>
      <c r="X34" s="100"/>
      <c r="Y34" s="100"/>
      <c r="Z34" s="100"/>
      <c r="AA34" s="99"/>
      <c r="AB34" s="100"/>
      <c r="AC34" s="100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>
      <c r="A35" s="141">
        <v>45689.0</v>
      </c>
      <c r="B35" s="123"/>
      <c r="C35" s="12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>
      <c r="A36" s="141">
        <v>45717.0</v>
      </c>
      <c r="B36" s="123"/>
      <c r="C36" s="12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>
      <c r="A37" s="141">
        <v>45748.0</v>
      </c>
      <c r="B37" s="123"/>
      <c r="C37" s="12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>
      <c r="A38" s="141">
        <v>45778.0</v>
      </c>
      <c r="B38" s="123"/>
      <c r="C38" s="12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>
      <c r="A39" s="141">
        <v>45809.0</v>
      </c>
      <c r="B39" s="123"/>
      <c r="C39" s="12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>
      <c r="A40" s="141">
        <v>45839.0</v>
      </c>
      <c r="B40" s="123"/>
      <c r="C40" s="12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>
      <c r="A41" s="141">
        <v>45870.0</v>
      </c>
      <c r="B41" s="123"/>
      <c r="C41" s="12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>
      <c r="A42" s="141">
        <v>45901.0</v>
      </c>
      <c r="B42" s="123"/>
      <c r="C42" s="12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>
      <c r="A43" s="141">
        <v>45931.0</v>
      </c>
      <c r="B43" s="123"/>
      <c r="C43" s="12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>
      <c r="A44" s="141">
        <v>45962.0</v>
      </c>
      <c r="B44" s="105">
        <v>7.0</v>
      </c>
      <c r="C44" s="105">
        <v>15.0</v>
      </c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>
      <c r="A45" s="141">
        <v>45992.0</v>
      </c>
      <c r="B45" s="123"/>
      <c r="C45" s="12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>
      <c r="A46" s="92" t="s">
        <v>481</v>
      </c>
      <c r="B46" s="123">
        <f t="shared" ref="B46:N46" si="2">sum(B34:B45)</f>
        <v>7</v>
      </c>
      <c r="C46" s="123">
        <f t="shared" si="2"/>
        <v>15</v>
      </c>
      <c r="D46" s="93">
        <f t="shared" si="2"/>
        <v>0</v>
      </c>
      <c r="E46" s="93">
        <f t="shared" si="2"/>
        <v>0</v>
      </c>
      <c r="F46" s="93">
        <f t="shared" si="2"/>
        <v>0</v>
      </c>
      <c r="G46" s="93">
        <f t="shared" si="2"/>
        <v>0</v>
      </c>
      <c r="H46" s="93">
        <f t="shared" si="2"/>
        <v>0</v>
      </c>
      <c r="I46" s="93">
        <f t="shared" si="2"/>
        <v>0</v>
      </c>
      <c r="J46" s="93">
        <f t="shared" si="2"/>
        <v>0</v>
      </c>
      <c r="K46" s="93">
        <f t="shared" si="2"/>
        <v>0</v>
      </c>
      <c r="L46" s="93">
        <f t="shared" si="2"/>
        <v>0</v>
      </c>
      <c r="M46" s="93">
        <f t="shared" si="2"/>
        <v>0</v>
      </c>
      <c r="N46" s="93">
        <f t="shared" si="2"/>
        <v>0</v>
      </c>
      <c r="O46" s="92">
        <v>0.0</v>
      </c>
      <c r="P46" s="93">
        <f t="shared" ref="P46:AC46" si="3">sum(P34:P45)</f>
        <v>0</v>
      </c>
      <c r="Q46" s="93">
        <f t="shared" si="3"/>
        <v>0</v>
      </c>
      <c r="R46" s="93">
        <f t="shared" si="3"/>
        <v>0</v>
      </c>
      <c r="S46" s="93">
        <f t="shared" si="3"/>
        <v>0</v>
      </c>
      <c r="T46" s="93">
        <f t="shared" si="3"/>
        <v>0</v>
      </c>
      <c r="U46" s="93">
        <f t="shared" si="3"/>
        <v>0</v>
      </c>
      <c r="V46" s="93">
        <f t="shared" si="3"/>
        <v>0</v>
      </c>
      <c r="W46" s="93">
        <f t="shared" si="3"/>
        <v>0</v>
      </c>
      <c r="X46" s="93">
        <f t="shared" si="3"/>
        <v>0</v>
      </c>
      <c r="Y46" s="93">
        <f t="shared" si="3"/>
        <v>0</v>
      </c>
      <c r="Z46" s="93">
        <f t="shared" si="3"/>
        <v>0</v>
      </c>
      <c r="AA46" s="93">
        <f t="shared" si="3"/>
        <v>0</v>
      </c>
      <c r="AB46" s="93">
        <f t="shared" si="3"/>
        <v>0</v>
      </c>
      <c r="AC46" s="93">
        <f t="shared" si="3"/>
        <v>0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>
      <c r="A49" s="126" t="s">
        <v>482</v>
      </c>
      <c r="B49" s="84"/>
      <c r="C49" s="84"/>
      <c r="D49" s="84"/>
      <c r="E49" s="84"/>
      <c r="F49" s="84"/>
      <c r="G49" s="84"/>
      <c r="H49" s="8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>
      <c r="A50" s="85" t="s">
        <v>449</v>
      </c>
      <c r="B50" s="85" t="s">
        <v>483</v>
      </c>
      <c r="C50" s="85" t="s">
        <v>484</v>
      </c>
      <c r="D50" s="55" t="s">
        <v>452</v>
      </c>
      <c r="E50" s="36"/>
      <c r="F50" s="36"/>
      <c r="G50" s="9"/>
      <c r="H50" s="55" t="s">
        <v>485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9"/>
      <c r="W50" s="86" t="s">
        <v>486</v>
      </c>
      <c r="X50" s="61"/>
      <c r="Y50" s="61"/>
      <c r="Z50" s="61"/>
      <c r="AA50" s="61"/>
      <c r="AB50" s="61"/>
      <c r="AC50" s="62"/>
      <c r="AD50" s="85" t="s">
        <v>487</v>
      </c>
      <c r="AE50" s="55" t="s">
        <v>488</v>
      </c>
      <c r="AF50" s="9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>
      <c r="A51" s="66"/>
      <c r="B51" s="145" t="s">
        <v>489</v>
      </c>
      <c r="C51" s="145" t="s">
        <v>490</v>
      </c>
      <c r="D51" s="55" t="s">
        <v>461</v>
      </c>
      <c r="E51" s="9"/>
      <c r="F51" s="55" t="s">
        <v>462</v>
      </c>
      <c r="G51" s="9"/>
      <c r="H51" s="55" t="s">
        <v>491</v>
      </c>
      <c r="I51" s="9"/>
      <c r="J51" s="55" t="s">
        <v>492</v>
      </c>
      <c r="K51" s="36"/>
      <c r="L51" s="36"/>
      <c r="M51" s="9"/>
      <c r="N51" s="146" t="s">
        <v>493</v>
      </c>
      <c r="O51" s="9"/>
      <c r="P51" s="55" t="s">
        <v>494</v>
      </c>
      <c r="Q51" s="9"/>
      <c r="R51" s="147" t="s">
        <v>495</v>
      </c>
      <c r="S51" s="9"/>
      <c r="T51" s="115" t="s">
        <v>464</v>
      </c>
      <c r="U51" s="9"/>
      <c r="V51" s="148" t="s">
        <v>466</v>
      </c>
      <c r="W51" s="67"/>
      <c r="X51" s="68"/>
      <c r="Y51" s="68"/>
      <c r="Z51" s="68"/>
      <c r="AA51" s="68"/>
      <c r="AB51" s="68"/>
      <c r="AC51" s="69"/>
      <c r="AD51" s="66"/>
      <c r="AE51" s="90" t="s">
        <v>483</v>
      </c>
      <c r="AF51" s="90" t="s">
        <v>496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>
      <c r="A52" s="11"/>
      <c r="B52" s="149"/>
      <c r="C52" s="150" t="s">
        <v>497</v>
      </c>
      <c r="D52" s="24" t="s">
        <v>483</v>
      </c>
      <c r="E52" s="24" t="s">
        <v>498</v>
      </c>
      <c r="F52" s="24" t="s">
        <v>483</v>
      </c>
      <c r="G52" s="24" t="s">
        <v>498</v>
      </c>
      <c r="H52" s="24" t="s">
        <v>499</v>
      </c>
      <c r="I52" s="24" t="s">
        <v>500</v>
      </c>
      <c r="J52" s="24" t="s">
        <v>501</v>
      </c>
      <c r="K52" s="24" t="s">
        <v>502</v>
      </c>
      <c r="L52" s="24" t="s">
        <v>503</v>
      </c>
      <c r="M52" s="24" t="s">
        <v>504</v>
      </c>
      <c r="N52" s="151" t="s">
        <v>505</v>
      </c>
      <c r="O52" s="152" t="s">
        <v>506</v>
      </c>
      <c r="P52" s="24" t="s">
        <v>503</v>
      </c>
      <c r="Q52" s="24" t="s">
        <v>504</v>
      </c>
      <c r="R52" s="134" t="s">
        <v>505</v>
      </c>
      <c r="S52" s="24" t="s">
        <v>506</v>
      </c>
      <c r="T52" s="24" t="s">
        <v>505</v>
      </c>
      <c r="U52" s="24" t="s">
        <v>506</v>
      </c>
      <c r="V52" s="24" t="s">
        <v>507</v>
      </c>
      <c r="W52" s="24" t="s">
        <v>508</v>
      </c>
      <c r="X52" s="24" t="s">
        <v>509</v>
      </c>
      <c r="Y52" s="97" t="s">
        <v>510</v>
      </c>
      <c r="Z52" s="55" t="s">
        <v>511</v>
      </c>
      <c r="AA52" s="135" t="s">
        <v>512</v>
      </c>
      <c r="AB52" s="136" t="s">
        <v>513</v>
      </c>
      <c r="AC52" s="24" t="s">
        <v>514</v>
      </c>
      <c r="AD52" s="11"/>
      <c r="AE52" s="90" t="s">
        <v>515</v>
      </c>
      <c r="AF52" s="90" t="s">
        <v>516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>
      <c r="A53" s="88">
        <v>1.0</v>
      </c>
      <c r="B53" s="88">
        <v>2.0</v>
      </c>
      <c r="C53" s="137">
        <v>3.0</v>
      </c>
      <c r="D53" s="88">
        <v>4.0</v>
      </c>
      <c r="E53" s="88">
        <v>5.0</v>
      </c>
      <c r="F53" s="88">
        <v>6.0</v>
      </c>
      <c r="G53" s="88">
        <v>7.0</v>
      </c>
      <c r="H53" s="88">
        <v>8.0</v>
      </c>
      <c r="I53" s="88">
        <v>9.0</v>
      </c>
      <c r="J53" s="88">
        <v>10.0</v>
      </c>
      <c r="K53" s="88">
        <v>11.0</v>
      </c>
      <c r="L53" s="88">
        <v>12.0</v>
      </c>
      <c r="M53" s="88">
        <v>13.0</v>
      </c>
      <c r="N53" s="88">
        <v>14.0</v>
      </c>
      <c r="O53" s="138">
        <v>15.0</v>
      </c>
      <c r="P53" s="88">
        <v>16.0</v>
      </c>
      <c r="Q53" s="88">
        <v>17.0</v>
      </c>
      <c r="R53" s="138">
        <v>18.0</v>
      </c>
      <c r="S53" s="88">
        <v>19.0</v>
      </c>
      <c r="T53" s="88">
        <v>20.0</v>
      </c>
      <c r="U53" s="88">
        <v>21.0</v>
      </c>
      <c r="V53" s="88">
        <v>22.0</v>
      </c>
      <c r="W53" s="88">
        <v>23.0</v>
      </c>
      <c r="X53" s="88">
        <v>24.0</v>
      </c>
      <c r="Y53" s="88">
        <v>25.0</v>
      </c>
      <c r="Z53" s="139">
        <v>26.0</v>
      </c>
      <c r="AA53" s="138">
        <v>27.0</v>
      </c>
      <c r="AB53" s="140">
        <v>28.0</v>
      </c>
      <c r="AC53" s="88">
        <v>29.0</v>
      </c>
      <c r="AD53" s="88">
        <v>30.0</v>
      </c>
      <c r="AE53" s="88">
        <v>31.0</v>
      </c>
      <c r="AF53" s="88">
        <v>32.0</v>
      </c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>
      <c r="A54" s="141">
        <v>45658.0</v>
      </c>
      <c r="B54" s="142"/>
      <c r="C54" s="143"/>
      <c r="D54" s="100"/>
      <c r="E54" s="100"/>
      <c r="F54" s="100"/>
      <c r="G54" s="100"/>
      <c r="H54" s="77"/>
      <c r="I54" s="144"/>
      <c r="J54" s="144"/>
      <c r="K54" s="144"/>
      <c r="L54" s="144"/>
      <c r="M54" s="144"/>
      <c r="N54" s="144"/>
      <c r="O54" s="93"/>
      <c r="P54" s="93"/>
      <c r="Q54" s="93"/>
      <c r="R54" s="93"/>
      <c r="S54" s="93"/>
      <c r="T54" s="93"/>
      <c r="U54" s="100"/>
      <c r="V54" s="100"/>
      <c r="W54" s="100"/>
      <c r="X54" s="100"/>
      <c r="Y54" s="100"/>
      <c r="Z54" s="100"/>
      <c r="AA54" s="99"/>
      <c r="AB54" s="100"/>
      <c r="AC54" s="100"/>
      <c r="AD54" s="93"/>
      <c r="AE54" s="93"/>
      <c r="AF54" s="9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>
      <c r="A55" s="153" t="s">
        <v>517</v>
      </c>
      <c r="B55" s="123"/>
      <c r="C55" s="12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>
      <c r="A56" s="141">
        <v>45717.0</v>
      </c>
      <c r="B56" s="123"/>
      <c r="C56" s="12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>
      <c r="A57" s="141">
        <v>45748.0</v>
      </c>
      <c r="B57" s="123"/>
      <c r="C57" s="12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>
      <c r="A58" s="141">
        <v>45778.0</v>
      </c>
      <c r="B58" s="123"/>
      <c r="C58" s="12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>
      <c r="A59" s="141">
        <v>45809.0</v>
      </c>
      <c r="B59" s="123"/>
      <c r="C59" s="12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>
      <c r="A60" s="141">
        <v>45839.0</v>
      </c>
      <c r="B60" s="123"/>
      <c r="C60" s="12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>
      <c r="A61" s="141">
        <v>45870.0</v>
      </c>
      <c r="B61" s="123"/>
      <c r="C61" s="12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>
      <c r="A62" s="141">
        <v>45901.0</v>
      </c>
      <c r="B62" s="123"/>
      <c r="C62" s="12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>
      <c r="A63" s="141">
        <v>45931.0</v>
      </c>
      <c r="B63" s="123"/>
      <c r="C63" s="12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>
      <c r="A64" s="141">
        <v>45962.0</v>
      </c>
      <c r="B64" s="105">
        <v>11.0</v>
      </c>
      <c r="C64" s="105">
        <v>37.0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>
      <c r="A65" s="154">
        <v>45992.0</v>
      </c>
      <c r="B65" s="123"/>
      <c r="C65" s="12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>
      <c r="A66" s="92" t="s">
        <v>481</v>
      </c>
      <c r="B66" s="123">
        <f t="shared" ref="B66:AF66" si="4">sum(B54:B65)</f>
        <v>11</v>
      </c>
      <c r="C66" s="123">
        <f t="shared" si="4"/>
        <v>37</v>
      </c>
      <c r="D66" s="123">
        <f t="shared" si="4"/>
        <v>0</v>
      </c>
      <c r="E66" s="123">
        <f t="shared" si="4"/>
        <v>0</v>
      </c>
      <c r="F66" s="123">
        <f t="shared" si="4"/>
        <v>0</v>
      </c>
      <c r="G66" s="123">
        <f t="shared" si="4"/>
        <v>0</v>
      </c>
      <c r="H66" s="123">
        <f t="shared" si="4"/>
        <v>0</v>
      </c>
      <c r="I66" s="123">
        <f t="shared" si="4"/>
        <v>0</v>
      </c>
      <c r="J66" s="123">
        <f t="shared" si="4"/>
        <v>0</v>
      </c>
      <c r="K66" s="123">
        <f t="shared" si="4"/>
        <v>0</v>
      </c>
      <c r="L66" s="123">
        <f t="shared" si="4"/>
        <v>0</v>
      </c>
      <c r="M66" s="123">
        <f t="shared" si="4"/>
        <v>0</v>
      </c>
      <c r="N66" s="123">
        <f t="shared" si="4"/>
        <v>0</v>
      </c>
      <c r="O66" s="123">
        <f t="shared" si="4"/>
        <v>0</v>
      </c>
      <c r="P66" s="123">
        <f t="shared" si="4"/>
        <v>0</v>
      </c>
      <c r="Q66" s="123">
        <f t="shared" si="4"/>
        <v>0</v>
      </c>
      <c r="R66" s="123">
        <f t="shared" si="4"/>
        <v>0</v>
      </c>
      <c r="S66" s="123">
        <f t="shared" si="4"/>
        <v>0</v>
      </c>
      <c r="T66" s="123">
        <f t="shared" si="4"/>
        <v>0</v>
      </c>
      <c r="U66" s="123">
        <f t="shared" si="4"/>
        <v>0</v>
      </c>
      <c r="V66" s="123">
        <f t="shared" si="4"/>
        <v>0</v>
      </c>
      <c r="W66" s="123">
        <f t="shared" si="4"/>
        <v>0</v>
      </c>
      <c r="X66" s="123">
        <f t="shared" si="4"/>
        <v>0</v>
      </c>
      <c r="Y66" s="123">
        <f t="shared" si="4"/>
        <v>0</v>
      </c>
      <c r="Z66" s="123">
        <f t="shared" si="4"/>
        <v>0</v>
      </c>
      <c r="AA66" s="123">
        <f t="shared" si="4"/>
        <v>0</v>
      </c>
      <c r="AB66" s="123">
        <f t="shared" si="4"/>
        <v>0</v>
      </c>
      <c r="AC66" s="123">
        <f t="shared" si="4"/>
        <v>0</v>
      </c>
      <c r="AD66" s="123">
        <f t="shared" si="4"/>
        <v>0</v>
      </c>
      <c r="AE66" s="123">
        <f t="shared" si="4"/>
        <v>0</v>
      </c>
      <c r="AF66" s="123">
        <f t="shared" si="4"/>
        <v>0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>
      <c r="A67" s="3"/>
      <c r="B67" s="3"/>
      <c r="C67" s="3"/>
      <c r="D67" s="3"/>
      <c r="E67" s="3"/>
      <c r="F67" s="3"/>
      <c r="G67" s="3"/>
      <c r="H67" s="1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>
      <c r="A69" s="126" t="s">
        <v>518</v>
      </c>
      <c r="B69" s="84"/>
      <c r="C69" s="84"/>
      <c r="D69" s="84"/>
      <c r="E69" s="84"/>
      <c r="F69" s="84"/>
      <c r="G69" s="84"/>
      <c r="H69" s="8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>
      <c r="A70" s="85" t="s">
        <v>449</v>
      </c>
      <c r="B70" s="155" t="s">
        <v>452</v>
      </c>
      <c r="C70" s="61"/>
      <c r="D70" s="61"/>
      <c r="E70" s="61"/>
      <c r="F70" s="61"/>
      <c r="G70" s="62"/>
      <c r="H70" s="55" t="s">
        <v>519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9"/>
      <c r="X70" s="85" t="s">
        <v>520</v>
      </c>
      <c r="Y70" s="85" t="s">
        <v>520</v>
      </c>
      <c r="Z70" s="156"/>
      <c r="AA70" s="156"/>
      <c r="AB70" s="156"/>
      <c r="AC70" s="156"/>
      <c r="AD70" s="156"/>
      <c r="AE70" s="157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>
      <c r="A71" s="66"/>
      <c r="B71" s="86" t="s">
        <v>521</v>
      </c>
      <c r="C71" s="85" t="s">
        <v>522</v>
      </c>
      <c r="D71" s="115" t="s">
        <v>461</v>
      </c>
      <c r="E71" s="9"/>
      <c r="F71" s="55" t="s">
        <v>462</v>
      </c>
      <c r="G71" s="9"/>
      <c r="H71" s="55" t="s">
        <v>523</v>
      </c>
      <c r="I71" s="36"/>
      <c r="J71" s="36"/>
      <c r="K71" s="36"/>
      <c r="L71" s="9"/>
      <c r="M71" s="55" t="s">
        <v>524</v>
      </c>
      <c r="N71" s="36"/>
      <c r="O71" s="36"/>
      <c r="P71" s="36"/>
      <c r="Q71" s="36"/>
      <c r="R71" s="36"/>
      <c r="S71" s="36"/>
      <c r="T71" s="36"/>
      <c r="U71" s="9"/>
      <c r="V71" s="86" t="s">
        <v>466</v>
      </c>
      <c r="W71" s="145" t="s">
        <v>525</v>
      </c>
      <c r="X71" s="145" t="s">
        <v>526</v>
      </c>
      <c r="Y71" s="145" t="s">
        <v>527</v>
      </c>
      <c r="Z71" s="156"/>
      <c r="AA71" s="156"/>
      <c r="AB71" s="156"/>
      <c r="AC71" s="156"/>
      <c r="AE71" s="82"/>
      <c r="AF71" s="82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>
      <c r="A72" s="66"/>
      <c r="B72" s="158" t="s">
        <v>528</v>
      </c>
      <c r="C72" s="145" t="s">
        <v>528</v>
      </c>
      <c r="D72" s="159" t="s">
        <v>529</v>
      </c>
      <c r="E72" s="85" t="s">
        <v>530</v>
      </c>
      <c r="F72" s="85" t="s">
        <v>529</v>
      </c>
      <c r="G72" s="85" t="s">
        <v>530</v>
      </c>
      <c r="H72" s="85" t="s">
        <v>531</v>
      </c>
      <c r="I72" s="85" t="s">
        <v>532</v>
      </c>
      <c r="J72" s="85" t="s">
        <v>505</v>
      </c>
      <c r="K72" s="85" t="s">
        <v>533</v>
      </c>
      <c r="L72" s="85" t="s">
        <v>534</v>
      </c>
      <c r="M72" s="85" t="s">
        <v>535</v>
      </c>
      <c r="N72" s="55" t="s">
        <v>465</v>
      </c>
      <c r="O72" s="36"/>
      <c r="P72" s="9"/>
      <c r="Q72" s="55" t="s">
        <v>536</v>
      </c>
      <c r="R72" s="36"/>
      <c r="S72" s="9"/>
      <c r="T72" s="160" t="s">
        <v>537</v>
      </c>
      <c r="U72" s="9"/>
      <c r="V72" s="161" t="s">
        <v>538</v>
      </c>
      <c r="W72" s="162" t="s">
        <v>539</v>
      </c>
      <c r="X72" s="162" t="s">
        <v>540</v>
      </c>
      <c r="Y72" s="162" t="s">
        <v>541</v>
      </c>
      <c r="Z72" s="157"/>
      <c r="AA72" s="163"/>
      <c r="AB72" s="157"/>
      <c r="AC72" s="157"/>
      <c r="AE72" s="82"/>
      <c r="AF72" s="82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>
      <c r="A73" s="11"/>
      <c r="B73" s="164"/>
      <c r="C73" s="165"/>
      <c r="D73" s="69"/>
      <c r="E73" s="11"/>
      <c r="F73" s="11"/>
      <c r="G73" s="11"/>
      <c r="H73" s="11"/>
      <c r="I73" s="11"/>
      <c r="J73" s="11"/>
      <c r="K73" s="11"/>
      <c r="L73" s="11"/>
      <c r="M73" s="11"/>
      <c r="N73" s="24" t="s">
        <v>542</v>
      </c>
      <c r="O73" s="22" t="s">
        <v>505</v>
      </c>
      <c r="P73" s="24" t="s">
        <v>543</v>
      </c>
      <c r="Q73" s="24" t="s">
        <v>542</v>
      </c>
      <c r="R73" s="24" t="s">
        <v>505</v>
      </c>
      <c r="S73" s="24" t="s">
        <v>543</v>
      </c>
      <c r="T73" s="166" t="s">
        <v>544</v>
      </c>
      <c r="U73" s="167" t="s">
        <v>545</v>
      </c>
      <c r="V73" s="168" t="s">
        <v>466</v>
      </c>
      <c r="W73" s="22" t="s">
        <v>546</v>
      </c>
      <c r="X73" s="22" t="s">
        <v>514</v>
      </c>
      <c r="Y73" s="22" t="s">
        <v>547</v>
      </c>
      <c r="Z73" s="169"/>
      <c r="AA73" s="169"/>
      <c r="AB73" s="169"/>
      <c r="AC73" s="169"/>
      <c r="AD73" s="169"/>
      <c r="AE73" s="169"/>
      <c r="AF73" s="169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>
      <c r="A74" s="88">
        <v>1.0</v>
      </c>
      <c r="B74" s="138">
        <v>2.0</v>
      </c>
      <c r="C74" s="170">
        <v>3.0</v>
      </c>
      <c r="D74" s="88"/>
      <c r="E74" s="88">
        <v>5.0</v>
      </c>
      <c r="F74" s="88">
        <v>6.0</v>
      </c>
      <c r="G74" s="88">
        <v>7.0</v>
      </c>
      <c r="H74" s="88">
        <v>8.0</v>
      </c>
      <c r="I74" s="88">
        <v>9.0</v>
      </c>
      <c r="J74" s="88">
        <v>10.0</v>
      </c>
      <c r="K74" s="88">
        <v>11.0</v>
      </c>
      <c r="L74" s="88">
        <v>12.0</v>
      </c>
      <c r="M74" s="88">
        <v>13.0</v>
      </c>
      <c r="N74" s="88">
        <v>14.0</v>
      </c>
      <c r="O74" s="138">
        <v>15.0</v>
      </c>
      <c r="P74" s="88">
        <v>16.0</v>
      </c>
      <c r="Q74" s="88">
        <v>17.0</v>
      </c>
      <c r="R74" s="138">
        <v>18.0</v>
      </c>
      <c r="S74" s="88">
        <v>19.0</v>
      </c>
      <c r="T74" s="88">
        <v>20.0</v>
      </c>
      <c r="U74" s="88">
        <v>21.0</v>
      </c>
      <c r="V74" s="138">
        <v>22.0</v>
      </c>
      <c r="W74" s="138">
        <v>23.0</v>
      </c>
      <c r="X74" s="138">
        <v>24.0</v>
      </c>
      <c r="Y74" s="138">
        <v>25.0</v>
      </c>
      <c r="Z74" s="169"/>
      <c r="AA74" s="169"/>
      <c r="AB74" s="169"/>
      <c r="AC74" s="169"/>
      <c r="AD74" s="169"/>
      <c r="AE74" s="169"/>
      <c r="AF74" s="169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>
      <c r="A75" s="141">
        <v>45658.0</v>
      </c>
      <c r="B75" s="100"/>
      <c r="C75" s="143"/>
      <c r="D75" s="100"/>
      <c r="E75" s="100"/>
      <c r="F75" s="100"/>
      <c r="G75" s="100"/>
      <c r="H75" s="77"/>
      <c r="I75" s="144"/>
      <c r="J75" s="144"/>
      <c r="K75" s="144"/>
      <c r="L75" s="144"/>
      <c r="M75" s="144"/>
      <c r="N75" s="144"/>
      <c r="O75" s="93"/>
      <c r="P75" s="93"/>
      <c r="Q75" s="93"/>
      <c r="R75" s="93"/>
      <c r="S75" s="93"/>
      <c r="T75" s="93"/>
      <c r="U75" s="100"/>
      <c r="V75" s="100"/>
      <c r="W75" s="100"/>
      <c r="X75" s="100"/>
      <c r="Y75" s="100"/>
      <c r="Z75" s="84"/>
      <c r="AA75" s="171"/>
      <c r="AB75" s="84"/>
      <c r="AC75" s="84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>
      <c r="A76" s="153" t="s">
        <v>517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>
      <c r="A77" s="141">
        <v>45717.0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>
      <c r="A78" s="141">
        <v>45748.0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>
      <c r="A79" s="141">
        <v>45778.0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>
      <c r="A80" s="141">
        <v>45809.0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>
      <c r="A81" s="141">
        <v>45839.0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>
      <c r="A82" s="141">
        <v>45870.0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>
      <c r="A83" s="141">
        <v>45901.0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>
      <c r="A84" s="141">
        <v>45931.0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>
      <c r="A85" s="141">
        <v>45962.0</v>
      </c>
      <c r="B85" s="105">
        <v>48.0</v>
      </c>
      <c r="C85" s="105">
        <v>10.0</v>
      </c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>
      <c r="A86" s="141">
        <v>45992.0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>
      <c r="A90" s="126" t="s">
        <v>548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>
      <c r="A91" s="172" t="s">
        <v>449</v>
      </c>
      <c r="B91" s="115" t="s">
        <v>549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9"/>
      <c r="AK91" s="173" t="s">
        <v>550</v>
      </c>
      <c r="AL91" s="174" t="s">
        <v>520</v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>
      <c r="A92" s="66"/>
      <c r="B92" s="55" t="s">
        <v>523</v>
      </c>
      <c r="C92" s="36"/>
      <c r="D92" s="36"/>
      <c r="E92" s="36"/>
      <c r="F92" s="9"/>
      <c r="G92" s="55" t="s">
        <v>551</v>
      </c>
      <c r="H92" s="36"/>
      <c r="I92" s="36"/>
      <c r="J92" s="36"/>
      <c r="K92" s="36"/>
      <c r="L92" s="36"/>
      <c r="M92" s="36"/>
      <c r="N92" s="36"/>
      <c r="O92" s="36"/>
      <c r="P92" s="36"/>
      <c r="Q92" s="9"/>
      <c r="R92" s="86" t="s">
        <v>552</v>
      </c>
      <c r="S92" s="62"/>
      <c r="T92" s="115" t="s">
        <v>553</v>
      </c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9"/>
      <c r="AK92" s="175" t="s">
        <v>554</v>
      </c>
      <c r="AL92" s="176" t="s">
        <v>554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>
      <c r="A93" s="66"/>
      <c r="B93" s="85" t="s">
        <v>531</v>
      </c>
      <c r="C93" s="85" t="s">
        <v>532</v>
      </c>
      <c r="D93" s="85" t="s">
        <v>505</v>
      </c>
      <c r="E93" s="85" t="s">
        <v>533</v>
      </c>
      <c r="F93" s="85" t="s">
        <v>534</v>
      </c>
      <c r="G93" s="177" t="s">
        <v>535</v>
      </c>
      <c r="H93" s="9"/>
      <c r="I93" s="55" t="s">
        <v>465</v>
      </c>
      <c r="J93" s="36"/>
      <c r="K93" s="36"/>
      <c r="L93" s="160" t="s">
        <v>536</v>
      </c>
      <c r="M93" s="36"/>
      <c r="N93" s="9"/>
      <c r="O93" s="178" t="s">
        <v>555</v>
      </c>
      <c r="P93" s="36"/>
      <c r="Q93" s="9"/>
      <c r="R93" s="179" t="s">
        <v>543</v>
      </c>
      <c r="S93" s="85" t="s">
        <v>505</v>
      </c>
      <c r="T93" s="115" t="s">
        <v>556</v>
      </c>
      <c r="U93" s="36"/>
      <c r="V93" s="36"/>
      <c r="W93" s="36"/>
      <c r="X93" s="9"/>
      <c r="Y93" s="180" t="s">
        <v>557</v>
      </c>
      <c r="Z93" s="36"/>
      <c r="AA93" s="36"/>
      <c r="AB93" s="9"/>
      <c r="AC93" s="180" t="s">
        <v>557</v>
      </c>
      <c r="AD93" s="36"/>
      <c r="AE93" s="36"/>
      <c r="AF93" s="9"/>
      <c r="AG93" s="180" t="s">
        <v>557</v>
      </c>
      <c r="AH93" s="36"/>
      <c r="AI93" s="36"/>
      <c r="AJ93" s="9"/>
      <c r="AK93" s="175" t="s">
        <v>553</v>
      </c>
      <c r="AL93" s="176" t="s">
        <v>553</v>
      </c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>
      <c r="A94" s="66"/>
      <c r="B94" s="66"/>
      <c r="C94" s="66"/>
      <c r="D94" s="66"/>
      <c r="E94" s="66"/>
      <c r="F94" s="66"/>
      <c r="G94" s="181" t="s">
        <v>558</v>
      </c>
      <c r="H94" s="182" t="s">
        <v>559</v>
      </c>
      <c r="I94" s="145" t="s">
        <v>542</v>
      </c>
      <c r="J94" s="85" t="s">
        <v>505</v>
      </c>
      <c r="K94" s="85" t="s">
        <v>543</v>
      </c>
      <c r="L94" s="85" t="s">
        <v>542</v>
      </c>
      <c r="M94" s="85" t="s">
        <v>505</v>
      </c>
      <c r="N94" s="183" t="s">
        <v>543</v>
      </c>
      <c r="O94" s="184" t="s">
        <v>560</v>
      </c>
      <c r="P94" s="36"/>
      <c r="Q94" s="9"/>
      <c r="R94" s="11"/>
      <c r="S94" s="11"/>
      <c r="T94" s="24" t="s">
        <v>561</v>
      </c>
      <c r="U94" s="55" t="s">
        <v>562</v>
      </c>
      <c r="V94" s="9"/>
      <c r="W94" s="55" t="s">
        <v>563</v>
      </c>
      <c r="X94" s="9"/>
      <c r="Y94" s="55" t="s">
        <v>564</v>
      </c>
      <c r="Z94" s="9"/>
      <c r="AA94" s="185" t="s">
        <v>565</v>
      </c>
      <c r="AB94" s="69"/>
      <c r="AC94" s="55" t="s">
        <v>566</v>
      </c>
      <c r="AD94" s="9"/>
      <c r="AE94" s="185" t="s">
        <v>567</v>
      </c>
      <c r="AF94" s="69"/>
      <c r="AG94" s="55" t="s">
        <v>568</v>
      </c>
      <c r="AH94" s="9"/>
      <c r="AI94" s="185" t="s">
        <v>569</v>
      </c>
      <c r="AJ94" s="69"/>
      <c r="AK94" s="175" t="s">
        <v>570</v>
      </c>
      <c r="AL94" s="176" t="s">
        <v>547</v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80" t="s">
        <v>571</v>
      </c>
      <c r="P95" s="24" t="s">
        <v>572</v>
      </c>
      <c r="Q95" s="24" t="s">
        <v>573</v>
      </c>
      <c r="R95" s="135" t="s">
        <v>571</v>
      </c>
      <c r="S95" s="24" t="s">
        <v>574</v>
      </c>
      <c r="T95" s="186" t="s">
        <v>575</v>
      </c>
      <c r="U95" s="186" t="s">
        <v>576</v>
      </c>
      <c r="V95" s="186" t="s">
        <v>577</v>
      </c>
      <c r="W95" s="24" t="s">
        <v>578</v>
      </c>
      <c r="X95" s="24" t="s">
        <v>579</v>
      </c>
      <c r="Y95" s="24" t="s">
        <v>479</v>
      </c>
      <c r="Z95" s="55" t="s">
        <v>477</v>
      </c>
      <c r="AA95" s="135" t="s">
        <v>479</v>
      </c>
      <c r="AB95" s="136" t="s">
        <v>477</v>
      </c>
      <c r="AC95" s="24" t="s">
        <v>479</v>
      </c>
      <c r="AD95" s="55" t="s">
        <v>477</v>
      </c>
      <c r="AE95" s="135" t="s">
        <v>479</v>
      </c>
      <c r="AF95" s="136" t="s">
        <v>477</v>
      </c>
      <c r="AG95" s="24" t="s">
        <v>479</v>
      </c>
      <c r="AH95" s="55" t="s">
        <v>477</v>
      </c>
      <c r="AI95" s="135" t="s">
        <v>479</v>
      </c>
      <c r="AJ95" s="115" t="s">
        <v>477</v>
      </c>
      <c r="AK95" s="187" t="s">
        <v>514</v>
      </c>
      <c r="AL95" s="51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>
      <c r="A96" s="188">
        <v>1.0</v>
      </c>
      <c r="B96" s="88">
        <v>2.0</v>
      </c>
      <c r="C96" s="88">
        <v>3.0</v>
      </c>
      <c r="D96" s="88">
        <v>4.0</v>
      </c>
      <c r="E96" s="88">
        <v>5.0</v>
      </c>
      <c r="F96" s="88">
        <v>6.0</v>
      </c>
      <c r="G96" s="88">
        <v>7.0</v>
      </c>
      <c r="H96" s="88">
        <v>8.0</v>
      </c>
      <c r="I96" s="138">
        <v>9.0</v>
      </c>
      <c r="J96" s="88">
        <v>10.0</v>
      </c>
      <c r="K96" s="88">
        <v>11.0</v>
      </c>
      <c r="L96" s="138">
        <v>12.0</v>
      </c>
      <c r="M96" s="88">
        <v>13.0</v>
      </c>
      <c r="N96" s="88">
        <v>14.0</v>
      </c>
      <c r="O96" s="88">
        <v>15.0</v>
      </c>
      <c r="P96" s="188">
        <v>16.0</v>
      </c>
      <c r="Q96" s="188">
        <v>17.0</v>
      </c>
      <c r="R96" s="72">
        <v>18.0</v>
      </c>
      <c r="S96" s="188">
        <v>19.0</v>
      </c>
      <c r="T96" s="188">
        <v>20.0</v>
      </c>
      <c r="U96" s="188">
        <v>21.0</v>
      </c>
      <c r="V96" s="188">
        <v>22.0</v>
      </c>
      <c r="W96" s="188">
        <v>23.0</v>
      </c>
      <c r="X96" s="188">
        <v>24.0</v>
      </c>
      <c r="Y96" s="188">
        <v>25.0</v>
      </c>
      <c r="Z96" s="189">
        <v>26.0</v>
      </c>
      <c r="AA96" s="72">
        <v>27.0</v>
      </c>
      <c r="AB96" s="190">
        <v>28.0</v>
      </c>
      <c r="AC96" s="188">
        <v>29.0</v>
      </c>
      <c r="AD96" s="188">
        <v>30.0</v>
      </c>
      <c r="AE96" s="188">
        <v>31.0</v>
      </c>
      <c r="AF96" s="188">
        <v>32.0</v>
      </c>
      <c r="AG96" s="191">
        <v>33.0</v>
      </c>
      <c r="AH96" s="191">
        <v>34.0</v>
      </c>
      <c r="AI96" s="191">
        <v>35.0</v>
      </c>
      <c r="AJ96" s="191">
        <v>36.0</v>
      </c>
      <c r="AK96" s="192">
        <v>37.0</v>
      </c>
      <c r="AL96" s="192">
        <v>38.0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>
      <c r="A97" s="193">
        <v>45658.0</v>
      </c>
      <c r="B97" s="93"/>
      <c r="C97" s="194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>
      <c r="A98" s="195" t="s">
        <v>517</v>
      </c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>
      <c r="A99" s="193">
        <v>45717.0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>
      <c r="A100" s="193">
        <v>45748.0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>
      <c r="A101" s="193">
        <v>45778.0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>
      <c r="A102" s="193">
        <v>45809.0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>
      <c r="A103" s="193">
        <v>45839.0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>
      <c r="A104" s="193">
        <v>45870.0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>
      <c r="A105" s="193">
        <v>45901.0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>
      <c r="A106" s="193">
        <v>45931.0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>
      <c r="A107" s="193">
        <v>45962.0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>
      <c r="A108" s="193">
        <v>45992.0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0:N30"/>
    <mergeCell ref="O30:Q30"/>
    <mergeCell ref="U30:V31"/>
    <mergeCell ref="W30:X31"/>
    <mergeCell ref="Y30:Z30"/>
    <mergeCell ref="AB30:AC31"/>
    <mergeCell ref="H31:I31"/>
    <mergeCell ref="S31:T31"/>
    <mergeCell ref="N31:N32"/>
    <mergeCell ref="P31:Q31"/>
    <mergeCell ref="H50:V50"/>
    <mergeCell ref="W50:AC51"/>
    <mergeCell ref="AD50:AD52"/>
    <mergeCell ref="AE50:AF50"/>
    <mergeCell ref="H51:I51"/>
    <mergeCell ref="T51:U51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1:K31"/>
    <mergeCell ref="L31:M31"/>
    <mergeCell ref="Q5:R8"/>
    <mergeCell ref="S5:T8"/>
    <mergeCell ref="A23:B23"/>
    <mergeCell ref="A30:A32"/>
    <mergeCell ref="B30:B32"/>
    <mergeCell ref="C30:C32"/>
    <mergeCell ref="R30:T30"/>
    <mergeCell ref="J51:M51"/>
    <mergeCell ref="N51:O51"/>
    <mergeCell ref="P51:Q51"/>
    <mergeCell ref="R51:S51"/>
    <mergeCell ref="D30:G30"/>
    <mergeCell ref="D31:E31"/>
    <mergeCell ref="F31:G31"/>
    <mergeCell ref="A50:A52"/>
    <mergeCell ref="D50:G50"/>
    <mergeCell ref="D51:E51"/>
    <mergeCell ref="F51:G51"/>
    <mergeCell ref="T72:U72"/>
    <mergeCell ref="B91:AJ91"/>
    <mergeCell ref="T92:AJ92"/>
    <mergeCell ref="T93:X93"/>
    <mergeCell ref="Y93:AB93"/>
    <mergeCell ref="AC93:AF93"/>
    <mergeCell ref="AG93:AJ93"/>
    <mergeCell ref="A70:A73"/>
    <mergeCell ref="B70:G70"/>
    <mergeCell ref="H70:W70"/>
    <mergeCell ref="AD70:AD72"/>
    <mergeCell ref="AE70:AF70"/>
    <mergeCell ref="D71:E71"/>
    <mergeCell ref="F71:G71"/>
    <mergeCell ref="F93:F95"/>
    <mergeCell ref="G94:G95"/>
    <mergeCell ref="H94:H95"/>
    <mergeCell ref="I94:I95"/>
    <mergeCell ref="J94:J95"/>
    <mergeCell ref="K94:K95"/>
    <mergeCell ref="L94:L95"/>
    <mergeCell ref="M94:M95"/>
    <mergeCell ref="O93:Q93"/>
    <mergeCell ref="O94:Q94"/>
    <mergeCell ref="U94:V94"/>
    <mergeCell ref="W94:X94"/>
    <mergeCell ref="Y94:Z94"/>
    <mergeCell ref="AA94:AB94"/>
    <mergeCell ref="AC94:AD94"/>
    <mergeCell ref="AE94:AF94"/>
    <mergeCell ref="AG94:AH94"/>
    <mergeCell ref="AI94:AJ94"/>
    <mergeCell ref="E93:E95"/>
    <mergeCell ref="G93:H93"/>
    <mergeCell ref="I93:K93"/>
    <mergeCell ref="L93:N93"/>
    <mergeCell ref="R93:R94"/>
    <mergeCell ref="S93:S94"/>
    <mergeCell ref="N94:N95"/>
    <mergeCell ref="H71:L71"/>
    <mergeCell ref="M71:U71"/>
    <mergeCell ref="F72:F73"/>
    <mergeCell ref="G72:G73"/>
    <mergeCell ref="H72:H73"/>
    <mergeCell ref="I72:I73"/>
    <mergeCell ref="J72:J73"/>
    <mergeCell ref="K72:K73"/>
    <mergeCell ref="L72:L73"/>
    <mergeCell ref="M72:M73"/>
    <mergeCell ref="G92:Q92"/>
    <mergeCell ref="R92:S92"/>
    <mergeCell ref="N72:P72"/>
    <mergeCell ref="Q72:S72"/>
    <mergeCell ref="D72:D73"/>
    <mergeCell ref="E72:E73"/>
    <mergeCell ref="A91:A95"/>
    <mergeCell ref="B92:F92"/>
    <mergeCell ref="B93:B95"/>
    <mergeCell ref="C93:C95"/>
    <mergeCell ref="D93:D9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25"/>
    <col customWidth="1" min="4" max="4" width="13.88"/>
    <col customWidth="1" min="6" max="6" width="18.13"/>
    <col customWidth="1" min="9" max="9" width="15.75"/>
  </cols>
  <sheetData>
    <row r="1">
      <c r="A1" s="38" t="s">
        <v>31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8" t="s">
        <v>580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8"/>
      <c r="B3" s="3" t="s">
        <v>2</v>
      </c>
      <c r="C3" s="39" t="s">
        <v>581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.5" customHeight="1">
      <c r="A4" s="3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96" t="s">
        <v>33</v>
      </c>
      <c r="B5" s="197" t="s">
        <v>582</v>
      </c>
      <c r="C5" s="196" t="s">
        <v>583</v>
      </c>
      <c r="D5" s="196" t="s">
        <v>584</v>
      </c>
      <c r="E5" s="196" t="s">
        <v>37</v>
      </c>
      <c r="F5" s="196" t="s">
        <v>36</v>
      </c>
      <c r="G5" s="196" t="s">
        <v>38</v>
      </c>
      <c r="H5" s="196" t="s">
        <v>585</v>
      </c>
      <c r="I5" s="196" t="s">
        <v>586</v>
      </c>
      <c r="J5" s="198" t="s">
        <v>587</v>
      </c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33.75" customHeight="1">
      <c r="A6" s="11"/>
      <c r="B6" s="11"/>
      <c r="C6" s="11"/>
      <c r="D6" s="11"/>
      <c r="E6" s="11"/>
      <c r="F6" s="11"/>
      <c r="G6" s="11"/>
      <c r="H6" s="11"/>
      <c r="I6" s="11"/>
      <c r="J6" s="199" t="s">
        <v>41</v>
      </c>
      <c r="K6" s="200" t="s">
        <v>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72">
        <v>1.0</v>
      </c>
      <c r="B7" s="73">
        <v>2.0</v>
      </c>
      <c r="C7" s="73">
        <v>3.0</v>
      </c>
      <c r="D7" s="72">
        <v>4.0</v>
      </c>
      <c r="E7" s="73">
        <v>5.0</v>
      </c>
      <c r="F7" s="73">
        <v>6.0</v>
      </c>
      <c r="G7" s="72">
        <v>7.0</v>
      </c>
      <c r="H7" s="73">
        <v>8.0</v>
      </c>
      <c r="I7" s="73">
        <v>9.0</v>
      </c>
      <c r="J7" s="72">
        <v>10.0</v>
      </c>
      <c r="K7" s="73">
        <v>11.0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1">
        <v>1.0</v>
      </c>
      <c r="B8" s="46" t="s">
        <v>588</v>
      </c>
      <c r="C8" s="45" t="s">
        <v>589</v>
      </c>
      <c r="D8" s="21" t="s">
        <v>590</v>
      </c>
      <c r="E8" s="46" t="s">
        <v>591</v>
      </c>
      <c r="F8" s="201" t="s">
        <v>592</v>
      </c>
      <c r="G8" s="46" t="s">
        <v>593</v>
      </c>
      <c r="H8" s="46" t="s">
        <v>594</v>
      </c>
      <c r="I8" s="46" t="s">
        <v>595</v>
      </c>
      <c r="J8" s="46" t="s">
        <v>596</v>
      </c>
      <c r="K8" s="20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1">
        <v>2.0</v>
      </c>
      <c r="B9" s="46"/>
      <c r="C9" s="45"/>
      <c r="D9" s="46"/>
      <c r="E9" s="46"/>
      <c r="F9" s="46"/>
      <c r="G9" s="46"/>
      <c r="H9" s="46"/>
      <c r="I9" s="46"/>
      <c r="J9" s="29"/>
      <c r="K9" s="20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1">
        <v>3.0</v>
      </c>
      <c r="B10" s="46"/>
      <c r="C10" s="46"/>
      <c r="D10" s="46"/>
      <c r="E10" s="46"/>
      <c r="F10" s="46"/>
      <c r="G10" s="46"/>
      <c r="H10" s="46"/>
      <c r="I10" s="46"/>
      <c r="J10" s="29"/>
      <c r="K10" s="20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1">
        <v>4.0</v>
      </c>
      <c r="B11" s="46"/>
      <c r="C11" s="46"/>
      <c r="D11" s="46"/>
      <c r="E11" s="46"/>
      <c r="F11" s="46"/>
      <c r="G11" s="46"/>
      <c r="H11" s="46"/>
      <c r="I11" s="46"/>
      <c r="J11" s="29"/>
      <c r="K11" s="20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1">
        <v>5.0</v>
      </c>
      <c r="B12" s="46"/>
      <c r="C12" s="46"/>
      <c r="D12" s="21"/>
      <c r="E12" s="46"/>
      <c r="F12" s="46"/>
      <c r="G12" s="46"/>
      <c r="H12" s="46"/>
      <c r="I12" s="29"/>
      <c r="J12" s="29"/>
      <c r="K12" s="20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1">
        <v>6.0</v>
      </c>
      <c r="B13" s="203"/>
      <c r="C13" s="46"/>
      <c r="D13" s="46"/>
      <c r="E13" s="46"/>
      <c r="F13" s="29"/>
      <c r="G13" s="46"/>
      <c r="H13" s="46"/>
      <c r="I13" s="46"/>
      <c r="J13" s="29"/>
      <c r="K13" s="20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1">
        <v>7.0</v>
      </c>
      <c r="B14" s="50"/>
      <c r="C14" s="46"/>
      <c r="D14" s="46"/>
      <c r="E14" s="46"/>
      <c r="F14" s="29"/>
      <c r="G14" s="46"/>
      <c r="H14" s="46"/>
      <c r="I14" s="46"/>
      <c r="J14" s="29"/>
      <c r="K14" s="20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51"/>
      <c r="B15" s="29"/>
      <c r="C15" s="29"/>
      <c r="D15" s="29"/>
      <c r="E15" s="29"/>
      <c r="F15" s="29"/>
      <c r="G15" s="29"/>
      <c r="H15" s="29"/>
      <c r="I15" s="29"/>
      <c r="J15" s="29"/>
      <c r="K15" s="20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51"/>
      <c r="B16" s="29"/>
      <c r="C16" s="29"/>
      <c r="D16" s="29"/>
      <c r="E16" s="29"/>
      <c r="F16" s="29"/>
      <c r="G16" s="29"/>
      <c r="H16" s="29"/>
      <c r="I16" s="29"/>
      <c r="J16" s="29"/>
      <c r="K16" s="20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51"/>
      <c r="B17" s="29"/>
      <c r="C17" s="29"/>
      <c r="D17" s="29"/>
      <c r="E17" s="29"/>
      <c r="F17" s="29"/>
      <c r="G17" s="29"/>
      <c r="H17" s="29"/>
      <c r="I17" s="29"/>
      <c r="J17" s="29"/>
      <c r="K17" s="20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51"/>
      <c r="B18" s="29"/>
      <c r="C18" s="29"/>
      <c r="D18" s="29"/>
      <c r="E18" s="29"/>
      <c r="F18" s="29"/>
      <c r="G18" s="29"/>
      <c r="H18" s="29"/>
      <c r="I18" s="29"/>
      <c r="J18" s="29"/>
      <c r="K18" s="20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51"/>
      <c r="B19" s="29"/>
      <c r="C19" s="29"/>
      <c r="D19" s="29"/>
      <c r="E19" s="29"/>
      <c r="F19" s="29"/>
      <c r="G19" s="29"/>
      <c r="H19" s="29"/>
      <c r="I19" s="29"/>
      <c r="J19" s="29"/>
      <c r="K19" s="20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51"/>
      <c r="B20" s="29"/>
      <c r="C20" s="29"/>
      <c r="D20" s="29"/>
      <c r="E20" s="29"/>
      <c r="F20" s="29"/>
      <c r="G20" s="29"/>
      <c r="H20" s="29"/>
      <c r="I20" s="29"/>
      <c r="J20" s="29"/>
      <c r="K20" s="20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51"/>
      <c r="B21" s="29"/>
      <c r="C21" s="29"/>
      <c r="D21" s="29"/>
      <c r="E21" s="29"/>
      <c r="F21" s="29"/>
      <c r="G21" s="29"/>
      <c r="H21" s="29"/>
      <c r="I21" s="29"/>
      <c r="J21" s="29"/>
      <c r="K21" s="20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51"/>
      <c r="B22" s="29"/>
      <c r="C22" s="29"/>
      <c r="D22" s="29"/>
      <c r="E22" s="29"/>
      <c r="F22" s="29"/>
      <c r="G22" s="29"/>
      <c r="H22" s="29"/>
      <c r="I22" s="29"/>
      <c r="J22" s="29"/>
      <c r="K22" s="20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51"/>
      <c r="B23" s="29"/>
      <c r="C23" s="29"/>
      <c r="D23" s="29"/>
      <c r="E23" s="29"/>
      <c r="F23" s="29"/>
      <c r="G23" s="29"/>
      <c r="H23" s="29"/>
      <c r="I23" s="29"/>
      <c r="J23" s="204">
        <v>0.25</v>
      </c>
      <c r="K23" s="20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51"/>
      <c r="B24" s="29"/>
      <c r="C24" s="29"/>
      <c r="D24" s="29"/>
      <c r="E24" s="29"/>
      <c r="F24" s="29"/>
      <c r="G24" s="29"/>
      <c r="H24" s="29"/>
      <c r="I24" s="29"/>
      <c r="J24" s="29"/>
      <c r="K24" s="20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51"/>
      <c r="B25" s="29"/>
      <c r="C25" s="29"/>
      <c r="D25" s="29"/>
      <c r="E25" s="29"/>
      <c r="F25" s="29"/>
      <c r="G25" s="29"/>
      <c r="H25" s="29"/>
      <c r="I25" s="29"/>
      <c r="J25" s="29"/>
      <c r="K25" s="20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51"/>
      <c r="B26" s="29"/>
      <c r="C26" s="29"/>
      <c r="D26" s="29"/>
      <c r="E26" s="29"/>
      <c r="F26" s="29"/>
      <c r="G26" s="29"/>
      <c r="H26" s="29"/>
      <c r="I26" s="29"/>
      <c r="J26" s="29"/>
      <c r="K26" s="20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51"/>
      <c r="B27" s="29"/>
      <c r="C27" s="29"/>
      <c r="D27" s="29"/>
      <c r="E27" s="29"/>
      <c r="F27" s="29"/>
      <c r="G27" s="29"/>
      <c r="H27" s="29"/>
      <c r="I27" s="29"/>
      <c r="J27" s="29"/>
      <c r="K27" s="20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51"/>
      <c r="B28" s="29"/>
      <c r="C28" s="29"/>
      <c r="D28" s="29"/>
      <c r="E28" s="29"/>
      <c r="F28" s="29"/>
      <c r="G28" s="29"/>
      <c r="H28" s="29"/>
      <c r="I28" s="29"/>
      <c r="J28" s="29"/>
      <c r="K28" s="20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51"/>
      <c r="B29" s="29"/>
      <c r="C29" s="29"/>
      <c r="D29" s="29"/>
      <c r="E29" s="29"/>
      <c r="F29" s="29"/>
      <c r="G29" s="29"/>
      <c r="H29" s="29"/>
      <c r="I29" s="29"/>
      <c r="J29" s="29"/>
      <c r="K29" s="20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51"/>
      <c r="B30" s="29"/>
      <c r="C30" s="29"/>
      <c r="D30" s="29"/>
      <c r="E30" s="29"/>
      <c r="F30" s="29"/>
      <c r="G30" s="29"/>
      <c r="H30" s="29"/>
      <c r="I30" s="29"/>
      <c r="J30" s="29"/>
      <c r="K30" s="20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51"/>
      <c r="B31" s="29"/>
      <c r="C31" s="29"/>
      <c r="D31" s="29"/>
      <c r="E31" s="29"/>
      <c r="F31" s="29"/>
      <c r="G31" s="29"/>
      <c r="H31" s="29"/>
      <c r="I31" s="29"/>
      <c r="J31" s="29"/>
      <c r="K31" s="20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8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63"/>
    <col customWidth="1" min="5" max="5" width="17.63"/>
    <col customWidth="1" min="7" max="7" width="8.13"/>
    <col customWidth="1" min="8" max="8" width="7.63"/>
    <col customWidth="1" min="9" max="9" width="7.75"/>
    <col customWidth="1" min="10" max="10" width="19.63"/>
    <col customWidth="1" min="11" max="11" width="20.63"/>
  </cols>
  <sheetData>
    <row r="1">
      <c r="A1" s="205" t="s">
        <v>31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05" t="s">
        <v>597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8"/>
      <c r="B3" s="3" t="s">
        <v>2</v>
      </c>
      <c r="C3" s="39" t="s">
        <v>581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0" t="s">
        <v>33</v>
      </c>
      <c r="B4" s="206" t="s">
        <v>582</v>
      </c>
      <c r="C4" s="40" t="s">
        <v>35</v>
      </c>
      <c r="D4" s="40" t="s">
        <v>37</v>
      </c>
      <c r="E4" s="40" t="s">
        <v>36</v>
      </c>
      <c r="F4" s="40" t="s">
        <v>38</v>
      </c>
      <c r="G4" s="207" t="s">
        <v>598</v>
      </c>
      <c r="H4" s="61"/>
      <c r="I4" s="61"/>
      <c r="J4" s="61"/>
      <c r="K4" s="62"/>
      <c r="L4" s="41" t="s">
        <v>587</v>
      </c>
      <c r="M4" s="3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1"/>
      <c r="B5" s="11"/>
      <c r="C5" s="11"/>
      <c r="D5" s="11"/>
      <c r="E5" s="11"/>
      <c r="F5" s="11"/>
      <c r="G5" s="208" t="s">
        <v>599</v>
      </c>
      <c r="H5" s="208" t="s">
        <v>600</v>
      </c>
      <c r="I5" s="208" t="s">
        <v>601</v>
      </c>
      <c r="J5" s="208" t="s">
        <v>602</v>
      </c>
      <c r="K5" s="208" t="s">
        <v>603</v>
      </c>
      <c r="L5" s="42" t="s">
        <v>41</v>
      </c>
      <c r="M5" s="209" t="s">
        <v>42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10">
        <v>1.0</v>
      </c>
      <c r="B6" s="211">
        <v>2.0</v>
      </c>
      <c r="C6" s="211">
        <v>3.0</v>
      </c>
      <c r="D6" s="210">
        <v>4.0</v>
      </c>
      <c r="E6" s="211">
        <v>5.0</v>
      </c>
      <c r="F6" s="211">
        <v>6.0</v>
      </c>
      <c r="G6" s="210">
        <v>7.0</v>
      </c>
      <c r="H6" s="211">
        <v>8.0</v>
      </c>
      <c r="I6" s="211">
        <v>9.0</v>
      </c>
      <c r="J6" s="210">
        <v>10.0</v>
      </c>
      <c r="K6" s="211">
        <v>11.0</v>
      </c>
      <c r="L6" s="211">
        <v>12.0</v>
      </c>
      <c r="M6" s="210">
        <v>13.0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1">
        <v>1.0</v>
      </c>
      <c r="B7" s="50">
        <v>45753.0</v>
      </c>
      <c r="C7" s="45" t="s">
        <v>44</v>
      </c>
      <c r="D7" s="46" t="s">
        <v>604</v>
      </c>
      <c r="E7" s="46" t="s">
        <v>605</v>
      </c>
      <c r="F7" s="46" t="s">
        <v>606</v>
      </c>
      <c r="G7" s="29"/>
      <c r="H7" s="29"/>
      <c r="I7" s="29"/>
      <c r="J7" s="29"/>
      <c r="K7" s="46" t="s">
        <v>607</v>
      </c>
      <c r="L7" s="29"/>
      <c r="M7" s="20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1">
        <v>2.0</v>
      </c>
      <c r="B8" s="50"/>
      <c r="C8" s="45"/>
      <c r="D8" s="46"/>
      <c r="E8" s="46"/>
      <c r="F8" s="46"/>
      <c r="G8" s="29"/>
      <c r="H8" s="29"/>
      <c r="I8" s="29"/>
      <c r="J8" s="29"/>
      <c r="K8" s="46"/>
      <c r="L8" s="29"/>
      <c r="M8" s="20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1">
        <v>3.0</v>
      </c>
      <c r="B9" s="50"/>
      <c r="C9" s="46"/>
      <c r="D9" s="46"/>
      <c r="E9" s="46"/>
      <c r="F9" s="46"/>
      <c r="G9" s="46"/>
      <c r="H9" s="46"/>
      <c r="I9" s="29"/>
      <c r="J9" s="29"/>
      <c r="K9" s="46"/>
      <c r="L9" s="29"/>
      <c r="M9" s="21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1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0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0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1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0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1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0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1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0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1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0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0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0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0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0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0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0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5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0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5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0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5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0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5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0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5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0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0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5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0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5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0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5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0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1.63"/>
    <col customWidth="1" min="4" max="4" width="17.75"/>
    <col customWidth="1" min="7" max="7" width="21.63"/>
  </cols>
  <sheetData>
    <row r="1">
      <c r="A1" s="38" t="s">
        <v>31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8" t="s">
        <v>608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3" t="s">
        <v>2</v>
      </c>
      <c r="C3" s="39" t="s">
        <v>581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13" t="s">
        <v>33</v>
      </c>
      <c r="B4" s="213" t="s">
        <v>34</v>
      </c>
      <c r="C4" s="213" t="s">
        <v>35</v>
      </c>
      <c r="D4" s="213" t="s">
        <v>36</v>
      </c>
      <c r="E4" s="213" t="s">
        <v>37</v>
      </c>
      <c r="F4" s="213" t="s">
        <v>38</v>
      </c>
      <c r="G4" s="214" t="s">
        <v>39</v>
      </c>
      <c r="H4" s="215" t="s">
        <v>40</v>
      </c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1"/>
      <c r="B5" s="11"/>
      <c r="C5" s="11"/>
      <c r="D5" s="11"/>
      <c r="E5" s="11"/>
      <c r="F5" s="11"/>
      <c r="G5" s="11"/>
      <c r="H5" s="216" t="s">
        <v>41</v>
      </c>
      <c r="I5" s="216" t="s">
        <v>42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10">
        <v>1.0</v>
      </c>
      <c r="B6" s="211">
        <v>2.0</v>
      </c>
      <c r="C6" s="217"/>
      <c r="D6" s="211">
        <v>3.0</v>
      </c>
      <c r="E6" s="211">
        <v>4.0</v>
      </c>
      <c r="F6" s="211">
        <v>5.0</v>
      </c>
      <c r="G6" s="211">
        <v>6.0</v>
      </c>
      <c r="H6" s="211">
        <v>7.0</v>
      </c>
      <c r="I6" s="211">
        <v>8.0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>
        <v>1.0</v>
      </c>
      <c r="B7" s="218" t="s">
        <v>609</v>
      </c>
      <c r="C7" s="219" t="s">
        <v>589</v>
      </c>
      <c r="D7" s="218" t="s">
        <v>610</v>
      </c>
      <c r="E7" s="218" t="s">
        <v>611</v>
      </c>
      <c r="F7" s="218" t="s">
        <v>612</v>
      </c>
      <c r="G7" s="218" t="s">
        <v>613</v>
      </c>
      <c r="H7" s="218" t="s">
        <v>614</v>
      </c>
      <c r="I7" s="22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2.0</v>
      </c>
      <c r="B8" s="218"/>
      <c r="C8" s="218"/>
      <c r="D8" s="218"/>
      <c r="E8" s="218"/>
      <c r="F8" s="218"/>
      <c r="G8" s="218"/>
      <c r="H8" s="218"/>
      <c r="I8" s="22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>
        <v>3.0</v>
      </c>
      <c r="B9" s="218"/>
      <c r="C9" s="218"/>
      <c r="D9" s="218"/>
      <c r="E9" s="218"/>
      <c r="F9" s="218"/>
      <c r="G9" s="218"/>
      <c r="H9" s="218"/>
      <c r="I9" s="22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3">
        <v>4.0</v>
      </c>
      <c r="B10" s="218"/>
      <c r="C10" s="218"/>
      <c r="D10" s="221"/>
      <c r="E10" s="218"/>
      <c r="F10" s="218"/>
      <c r="G10" s="218"/>
      <c r="H10" s="218"/>
      <c r="I10" s="2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3">
        <v>5.0</v>
      </c>
      <c r="B11" s="222"/>
      <c r="C11" s="218"/>
      <c r="D11" s="218"/>
      <c r="E11" s="218"/>
      <c r="F11" s="218"/>
      <c r="G11" s="218"/>
      <c r="H11" s="218"/>
      <c r="I11" s="22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3">
        <v>6.0</v>
      </c>
      <c r="B12" s="220"/>
      <c r="C12" s="220"/>
      <c r="D12" s="220"/>
      <c r="E12" s="220"/>
      <c r="F12" s="220"/>
      <c r="G12" s="220"/>
      <c r="H12" s="220"/>
      <c r="I12" s="22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8"/>
      <c r="B13" s="29"/>
      <c r="C13" s="29"/>
      <c r="D13" s="29"/>
      <c r="E13" s="29"/>
      <c r="F13" s="29"/>
      <c r="G13" s="29"/>
      <c r="H13" s="29"/>
      <c r="I13" s="2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8"/>
      <c r="B14" s="29"/>
      <c r="C14" s="29"/>
      <c r="D14" s="29"/>
      <c r="E14" s="29"/>
      <c r="F14" s="29"/>
      <c r="G14" s="29"/>
      <c r="H14" s="29"/>
      <c r="I14" s="2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8"/>
      <c r="B15" s="29"/>
      <c r="C15" s="29"/>
      <c r="D15" s="29"/>
      <c r="E15" s="29"/>
      <c r="F15" s="29"/>
      <c r="G15" s="29"/>
      <c r="H15" s="29"/>
      <c r="I15" s="2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8"/>
      <c r="B16" s="29"/>
      <c r="C16" s="29"/>
      <c r="D16" s="29"/>
      <c r="E16" s="29"/>
      <c r="F16" s="29"/>
      <c r="G16" s="29"/>
      <c r="H16" s="29"/>
      <c r="I16" s="2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8"/>
      <c r="B17" s="29"/>
      <c r="C17" s="29"/>
      <c r="D17" s="29"/>
      <c r="E17" s="29"/>
      <c r="F17" s="29"/>
      <c r="G17" s="29"/>
      <c r="H17" s="29"/>
      <c r="I17" s="2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8"/>
      <c r="B18" s="29"/>
      <c r="C18" s="29"/>
      <c r="D18" s="29"/>
      <c r="E18" s="29"/>
      <c r="F18" s="29"/>
      <c r="G18" s="29"/>
      <c r="H18" s="29"/>
      <c r="I18" s="2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8"/>
      <c r="B19" s="29"/>
      <c r="C19" s="29"/>
      <c r="D19" s="29"/>
      <c r="E19" s="29"/>
      <c r="F19" s="29"/>
      <c r="G19" s="29"/>
      <c r="H19" s="29"/>
      <c r="I19" s="2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8"/>
      <c r="B20" s="29"/>
      <c r="C20" s="29"/>
      <c r="D20" s="29"/>
      <c r="E20" s="29"/>
      <c r="F20" s="29"/>
      <c r="G20" s="29"/>
      <c r="H20" s="29"/>
      <c r="I20" s="2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8"/>
      <c r="B21" s="29"/>
      <c r="C21" s="29"/>
      <c r="D21" s="29"/>
      <c r="E21" s="29"/>
      <c r="F21" s="29"/>
      <c r="G21" s="29"/>
      <c r="H21" s="29"/>
      <c r="I21" s="2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8"/>
      <c r="B22" s="29"/>
      <c r="C22" s="29"/>
      <c r="D22" s="29"/>
      <c r="E22" s="29"/>
      <c r="F22" s="29"/>
      <c r="G22" s="29"/>
      <c r="H22" s="29"/>
      <c r="I22" s="2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8"/>
      <c r="B23" s="29"/>
      <c r="C23" s="29"/>
      <c r="D23" s="29"/>
      <c r="E23" s="29"/>
      <c r="F23" s="29"/>
      <c r="G23" s="29"/>
      <c r="H23" s="29"/>
      <c r="I23" s="2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8"/>
      <c r="B24" s="29"/>
      <c r="C24" s="29"/>
      <c r="D24" s="29"/>
      <c r="E24" s="29"/>
      <c r="F24" s="29"/>
      <c r="G24" s="29"/>
      <c r="H24" s="29"/>
      <c r="I24" s="2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8"/>
      <c r="B25" s="29"/>
      <c r="C25" s="29"/>
      <c r="D25" s="29"/>
      <c r="E25" s="29"/>
      <c r="F25" s="29"/>
      <c r="G25" s="29"/>
      <c r="H25" s="29"/>
      <c r="I25" s="2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8"/>
      <c r="B26" s="29"/>
      <c r="C26" s="29"/>
      <c r="D26" s="29"/>
      <c r="E26" s="29"/>
      <c r="F26" s="29"/>
      <c r="G26" s="29"/>
      <c r="H26" s="29"/>
      <c r="I26" s="2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8"/>
      <c r="B27" s="29"/>
      <c r="C27" s="29"/>
      <c r="D27" s="29"/>
      <c r="E27" s="29"/>
      <c r="F27" s="29"/>
      <c r="G27" s="29"/>
      <c r="H27" s="29"/>
      <c r="I27" s="2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78"/>
      <c r="B28" s="29"/>
      <c r="C28" s="29"/>
      <c r="D28" s="29"/>
      <c r="E28" s="29"/>
      <c r="F28" s="29"/>
      <c r="G28" s="29"/>
      <c r="H28" s="29"/>
      <c r="I28" s="2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8"/>
      <c r="B29" s="29"/>
      <c r="C29" s="29"/>
      <c r="D29" s="29"/>
      <c r="E29" s="29"/>
      <c r="F29" s="29"/>
      <c r="G29" s="29"/>
      <c r="H29" s="29"/>
      <c r="I29" s="2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78"/>
      <c r="B30" s="29"/>
      <c r="C30" s="29"/>
      <c r="D30" s="29"/>
      <c r="E30" s="29"/>
      <c r="F30" s="29"/>
      <c r="G30" s="29"/>
      <c r="H30" s="29"/>
      <c r="I30" s="2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4" max="4" width="16.5"/>
    <col customWidth="1" min="7" max="7" width="14.63"/>
    <col customWidth="1" min="8" max="8" width="17.13"/>
    <col customWidth="1" min="9" max="9" width="17.5"/>
  </cols>
  <sheetData>
    <row r="1">
      <c r="A1" s="37" t="s">
        <v>31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7" t="s">
        <v>615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616</v>
      </c>
      <c r="B3" s="157" t="s">
        <v>581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0" t="s">
        <v>33</v>
      </c>
      <c r="B5" s="206" t="s">
        <v>582</v>
      </c>
      <c r="C5" s="40" t="s">
        <v>35</v>
      </c>
      <c r="D5" s="40" t="s">
        <v>36</v>
      </c>
      <c r="E5" s="40" t="s">
        <v>37</v>
      </c>
      <c r="F5" s="40" t="s">
        <v>38</v>
      </c>
      <c r="G5" s="196" t="s">
        <v>39</v>
      </c>
      <c r="H5" s="41" t="s">
        <v>40</v>
      </c>
      <c r="I5" s="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1"/>
      <c r="B6" s="11"/>
      <c r="C6" s="11"/>
      <c r="D6" s="11"/>
      <c r="E6" s="11"/>
      <c r="F6" s="11"/>
      <c r="G6" s="11"/>
      <c r="H6" s="42" t="s">
        <v>41</v>
      </c>
      <c r="I6" s="42" t="s">
        <v>42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10">
        <v>1.0</v>
      </c>
      <c r="B7" s="211">
        <v>2.0</v>
      </c>
      <c r="C7" s="217"/>
      <c r="D7" s="211">
        <v>3.0</v>
      </c>
      <c r="E7" s="211">
        <v>4.0</v>
      </c>
      <c r="F7" s="211">
        <v>5.0</v>
      </c>
      <c r="G7" s="211">
        <v>6.0</v>
      </c>
      <c r="H7" s="211">
        <v>7.0</v>
      </c>
      <c r="I7" s="211">
        <v>8.0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>
        <v>1.0</v>
      </c>
      <c r="B8" s="218" t="s">
        <v>617</v>
      </c>
      <c r="C8" s="219" t="s">
        <v>589</v>
      </c>
      <c r="D8" s="34" t="s">
        <v>618</v>
      </c>
      <c r="E8" s="218" t="s">
        <v>619</v>
      </c>
      <c r="F8" s="218" t="s">
        <v>620</v>
      </c>
      <c r="G8" s="218" t="s">
        <v>621</v>
      </c>
      <c r="H8" s="218" t="s">
        <v>622</v>
      </c>
      <c r="I8" s="220"/>
      <c r="J8" s="8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218"/>
      <c r="C9" s="218"/>
      <c r="D9" s="220"/>
      <c r="E9" s="220"/>
      <c r="F9" s="220"/>
      <c r="G9" s="220"/>
      <c r="H9" s="220"/>
      <c r="I9" s="220"/>
      <c r="J9" s="8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3"/>
      <c r="B10" s="218"/>
      <c r="C10" s="218"/>
      <c r="D10" s="218"/>
      <c r="E10" s="218"/>
      <c r="F10" s="218"/>
      <c r="G10" s="218"/>
      <c r="H10" s="71"/>
      <c r="I10" s="71"/>
      <c r="J10" s="8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23"/>
      <c r="B11" s="224"/>
      <c r="C11" s="220"/>
      <c r="D11" s="220"/>
      <c r="E11" s="220"/>
      <c r="F11" s="220"/>
      <c r="G11" s="218"/>
      <c r="H11" s="220"/>
      <c r="I11" s="220"/>
      <c r="J11" s="8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25"/>
      <c r="B12" s="226"/>
      <c r="C12" s="218"/>
      <c r="D12" s="221"/>
      <c r="E12" s="218"/>
      <c r="F12" s="218"/>
      <c r="G12" s="218"/>
      <c r="H12" s="218"/>
      <c r="I12" s="220"/>
      <c r="J12" s="8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25"/>
      <c r="B13" s="227"/>
      <c r="C13" s="218"/>
      <c r="D13" s="218"/>
      <c r="E13" s="218"/>
      <c r="F13" s="218"/>
      <c r="G13" s="218"/>
      <c r="H13" s="220"/>
      <c r="I13" s="218"/>
      <c r="J13" s="8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23"/>
      <c r="B14" s="220"/>
      <c r="C14" s="220"/>
      <c r="D14" s="220"/>
      <c r="E14" s="220"/>
      <c r="F14" s="220"/>
      <c r="G14" s="220"/>
      <c r="H14" s="220"/>
      <c r="I14" s="220"/>
      <c r="J14" s="8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23"/>
      <c r="B15" s="220"/>
      <c r="C15" s="220"/>
      <c r="D15" s="220"/>
      <c r="E15" s="220"/>
      <c r="F15" s="220"/>
      <c r="G15" s="220"/>
      <c r="H15" s="220"/>
      <c r="I15" s="220"/>
      <c r="J15" s="8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23"/>
      <c r="B16" s="220"/>
      <c r="C16" s="220"/>
      <c r="D16" s="220"/>
      <c r="E16" s="220"/>
      <c r="F16" s="220"/>
      <c r="G16" s="220"/>
      <c r="H16" s="220"/>
      <c r="I16" s="220"/>
      <c r="J16" s="8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23"/>
      <c r="B17" s="220"/>
      <c r="C17" s="220"/>
      <c r="D17" s="220"/>
      <c r="E17" s="220"/>
      <c r="F17" s="220"/>
      <c r="G17" s="220"/>
      <c r="H17" s="220"/>
      <c r="I17" s="220"/>
      <c r="J17" s="8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8"/>
      <c r="B18" s="29"/>
      <c r="C18" s="29"/>
      <c r="D18" s="29"/>
      <c r="E18" s="29"/>
      <c r="F18" s="29"/>
      <c r="G18" s="29"/>
      <c r="H18" s="29"/>
      <c r="I18" s="2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8"/>
      <c r="B19" s="29"/>
      <c r="C19" s="29"/>
      <c r="D19" s="29"/>
      <c r="E19" s="29"/>
      <c r="F19" s="29"/>
      <c r="G19" s="29"/>
      <c r="H19" s="29"/>
      <c r="I19" s="2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8"/>
      <c r="B20" s="29"/>
      <c r="C20" s="29"/>
      <c r="D20" s="29"/>
      <c r="E20" s="29"/>
      <c r="F20" s="29"/>
      <c r="G20" s="29"/>
      <c r="H20" s="29"/>
      <c r="I20" s="2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8"/>
      <c r="B21" s="29"/>
      <c r="C21" s="29"/>
      <c r="D21" s="29"/>
      <c r="E21" s="29"/>
      <c r="F21" s="29"/>
      <c r="G21" s="29"/>
      <c r="H21" s="29"/>
      <c r="I21" s="2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8"/>
      <c r="B22" s="29"/>
      <c r="C22" s="29"/>
      <c r="D22" s="29"/>
      <c r="E22" s="29"/>
      <c r="F22" s="29"/>
      <c r="G22" s="29"/>
      <c r="H22" s="29"/>
      <c r="I22" s="2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8"/>
      <c r="B23" s="29"/>
      <c r="C23" s="29"/>
      <c r="D23" s="29"/>
      <c r="E23" s="29"/>
      <c r="F23" s="29"/>
      <c r="G23" s="29"/>
      <c r="H23" s="29"/>
      <c r="I23" s="2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8"/>
      <c r="B24" s="29"/>
      <c r="C24" s="29"/>
      <c r="D24" s="29"/>
      <c r="E24" s="29"/>
      <c r="F24" s="29"/>
      <c r="G24" s="29"/>
      <c r="H24" s="29"/>
      <c r="I24" s="2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8"/>
      <c r="B25" s="29"/>
      <c r="C25" s="29"/>
      <c r="D25" s="29"/>
      <c r="E25" s="29"/>
      <c r="F25" s="29"/>
      <c r="G25" s="29"/>
      <c r="H25" s="29"/>
      <c r="I25" s="2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8"/>
      <c r="B26" s="29"/>
      <c r="C26" s="29"/>
      <c r="D26" s="29"/>
      <c r="E26" s="29"/>
      <c r="F26" s="29"/>
      <c r="G26" s="29"/>
      <c r="H26" s="29"/>
      <c r="I26" s="2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8"/>
      <c r="B27" s="29"/>
      <c r="C27" s="29"/>
      <c r="D27" s="29"/>
      <c r="E27" s="29"/>
      <c r="F27" s="29"/>
      <c r="G27" s="29"/>
      <c r="H27" s="29"/>
      <c r="I27" s="2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78"/>
      <c r="B28" s="29"/>
      <c r="C28" s="29"/>
      <c r="D28" s="29"/>
      <c r="E28" s="29"/>
      <c r="F28" s="29"/>
      <c r="G28" s="29"/>
      <c r="H28" s="29"/>
      <c r="I28" s="2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8"/>
      <c r="B29" s="29"/>
      <c r="C29" s="29"/>
      <c r="D29" s="29"/>
      <c r="E29" s="29"/>
      <c r="F29" s="29"/>
      <c r="G29" s="29"/>
      <c r="H29" s="29"/>
      <c r="I29" s="2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78"/>
      <c r="B30" s="29"/>
      <c r="C30" s="29"/>
      <c r="D30" s="29"/>
      <c r="E30" s="29"/>
      <c r="F30" s="29"/>
      <c r="G30" s="29"/>
      <c r="H30" s="29"/>
      <c r="I30" s="2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78"/>
      <c r="B31" s="29"/>
      <c r="C31" s="29"/>
      <c r="D31" s="29"/>
      <c r="E31" s="29"/>
      <c r="F31" s="29"/>
      <c r="G31" s="29"/>
      <c r="H31" s="29"/>
      <c r="I31" s="2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