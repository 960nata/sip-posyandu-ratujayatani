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<sst xmlns="http://schemas.openxmlformats.org/spreadsheetml/2006/main" count="849" uniqueCount="377">
  <si>
    <t>DATABASE POSYANDU</t>
  </si>
  <si>
    <t>DESA</t>
  </si>
  <si>
    <t>:  SRIMENANTI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</si>
  <si>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</si>
  <si>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</si>
  <si>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</si>
  <si>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</si>
  <si>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</si>
  <si>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</si>
  <si>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</si>
  <si>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</si>
  <si>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</si>
  <si>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</si>
  <si>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</si>
  <si>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</si>
  <si>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</si>
  <si>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</si>
  <si>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</si>
  <si>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</si>
  <si>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</si>
  <si>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</si>
  <si>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</si>
  <si>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</si>
  <si>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MENTARI 1</t>
  </si>
  <si>
    <t>Senin ke 2</t>
  </si>
  <si>
    <t>-</t>
  </si>
  <si>
    <t>PURNAMA</t>
  </si>
  <si>
    <t>penimbangan balita, kelas bumil, konseling kb</t>
  </si>
  <si>
    <t>MENTARI 2</t>
  </si>
  <si>
    <t>Senin ke 1</t>
  </si>
  <si>
    <t>MENTARI 3</t>
  </si>
  <si>
    <t>Kamis ke 2</t>
  </si>
  <si>
    <t>MENTARI 4</t>
  </si>
  <si>
    <t>Selasa ke 1</t>
  </si>
  <si>
    <t>MENTARI 5</t>
  </si>
  <si>
    <t>Selasa ke 2</t>
  </si>
  <si>
    <t>MENTARI 6</t>
  </si>
  <si>
    <t>Kamis ke 1</t>
  </si>
  <si>
    <t>MENTARI 7</t>
  </si>
  <si>
    <t>MENTARI 8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</si>
  <si>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</si>
  <si>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</si>
  <si>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</si>
  <si>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</si>
  <si>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</si>
  <si>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</si>
  <si>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</si>
  <si>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</si>
  <si>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</si>
  <si>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</si>
  <si>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</si>
  <si>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</si>
  <si>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</si>
  <si>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</si>
  <si>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</si>
  <si>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: SRIMENANTI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</si>
  <si>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</si>
  <si>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</si>
  <si>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</si>
  <si>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</si>
  <si>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</si>
  <si>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</si>
  <si>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</si>
  <si>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</si>
  <si>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</si>
  <si>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</si>
  <si>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</si>
  <si>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</si>
  <si>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</si>
  <si>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</si>
  <si>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</si>
  <si>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</si>
  <si>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</si>
  <si>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</si>
  <si>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</si>
  <si>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</si>
  <si>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</si>
  <si>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</si>
  <si>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</si>
  <si>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</si>
  <si>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</si>
  <si>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</si>
  <si>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</si>
  <si>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</si>
  <si>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</si>
  <si>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</si>
  <si>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</si>
  <si>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</si>
  <si>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</si>
  <si>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</si>
  <si>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</si>
  <si>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</si>
  <si>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</si>
  <si>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</si>
  <si>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</si>
  <si>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SRIMENANTI</t>
  </si>
  <si>
    <t>TAHUN :</t>
  </si>
  <si>
    <t>DATA SASARAN IBU HAMIL/NIFAS/MENYUSUI</t>
  </si>
  <si>
    <t>JUMLAH KUNJUNGAN DAN JUMLAH SASARAN IBU HAMIL/NIFAS/MENYUSUI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</si>
  <si>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</si>
  <si>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</si>
  <si>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</si>
  <si>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</si>
  <si>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</si>
  <si>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</si>
  <si>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</si>
  <si>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</si>
  <si>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</si>
  <si>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</si>
  <si>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</si>
  <si>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JUMLAH TOTAL</t>
  </si>
  <si>
    <t>DATA SASARAN BAYI/ BALITA/APRAS</t>
  </si>
  <si>
    <t>JUMLAH KUNJUNGAN DAN JUMLAH SASARAN BAYI/BALITA/APRAS</t>
  </si>
  <si>
    <t>DATA SASARAN USIA SEKOLAH/REMAJA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</si>
  <si>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</si>
  <si>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</si>
  <si>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</si>
  <si>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</si>
  <si>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</si>
  <si>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</si>
  <si>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</si>
  <si>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</si>
  <si>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</si>
  <si>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</si>
  <si>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BALITA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</si>
  <si>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</si>
  <si>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</si>
  <si>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</si>
  <si>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</si>
  <si>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</si>
  <si>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</si>
  <si>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</si>
  <si>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</si>
  <si>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</si>
  <si>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</si>
  <si>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</si>
  <si>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</si>
  <si>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</si>
  <si>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</si>
  <si>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</si>
  <si>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</si>
  <si>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</si>
  <si>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</si>
  <si>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</si>
  <si>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</si>
  <si>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</si>
  <si>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</si>
  <si>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</si>
  <si>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</si>
  <si>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</si>
  <si>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</si>
  <si>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</si>
  <si>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</si>
  <si>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</si>
  <si>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</si>
  <si>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</si>
  <si>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</si>
  <si>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</si>
  <si>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</si>
  <si>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</si>
  <si>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</si>
  <si>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</si>
  <si>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</si>
  <si>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</si>
  <si>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</si>
  <si>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</si>
  <si>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</si>
  <si>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</si>
  <si>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</si>
  <si>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</si>
  <si>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</si>
  <si>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</si>
  <si>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</si>
  <si>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</si>
  <si>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</si>
  <si>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</si>
  <si>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</si>
  <si>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</si>
  <si>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</si>
  <si>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</si>
  <si>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</si>
  <si>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</si>
  <si>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</si>
  <si>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</si>
  <si>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</si>
  <si>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</si>
  <si>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</si>
  <si>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</si>
  <si>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</si>
  <si>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</si>
  <si>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</si>
  <si>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</si>
  <si>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</si>
  <si>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</si>
  <si>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</si>
  <si>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</si>
  <si>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</si>
  <si>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</si>
  <si>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</si>
  <si>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</si>
  <si>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</si>
  <si>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</si>
  <si>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</si>
  <si>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</si>
  <si>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</si>
  <si>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</si>
  <si>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</si>
  <si>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</si>
  <si>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</si>
  <si>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</si>
  <si>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</si>
  <si>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</si>
  <si>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</si>
  <si>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</si>
  <si>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</si>
  <si>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</si>
  <si>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</si>
  <si>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</si>
  <si>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</si>
  <si>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</si>
  <si>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</si>
  <si>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</si>
  <si>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</si>
  <si>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</si>
  <si>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</si>
  <si>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</si>
  <si>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</si>
  <si>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</si>
  <si>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</si>
  <si>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</si>
  <si>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</si>
  <si>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</si>
  <si>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</si>
  <si>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</si>
  <si>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</si>
  <si>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</si>
  <si>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</si>
  <si>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</si>
  <si>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</si>
  <si>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</si>
  <si>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</si>
  <si>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</si>
  <si>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</si>
  <si>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</si>
  <si>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</si>
  <si>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</si>
  <si>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</si>
  <si>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</si>
  <si>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</si>
  <si>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</si>
  <si>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</si>
  <si>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</si>
  <si>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</si>
  <si>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</si>
  <si>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</si>
  <si>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</si>
  <si>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</si>
  <si>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</si>
  <si>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</si>
  <si>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</si>
  <si>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</si>
  <si>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</si>
  <si>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</si>
  <si>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</si>
  <si>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</si>
  <si>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</si>
  <si>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</si>
  <si>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</si>
  <si>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</si>
  <si>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</si>
  <si>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</si>
  <si>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</si>
  <si>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</si>
  <si>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</si>
  <si>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</si>
  <si>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</si>
  <si>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</si>
  <si>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</si>
  <si>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</si>
  <si>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</si>
  <si>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</si>
  <si>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</si>
  <si>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</si>
  <si>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</si>
  <si>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</si>
  <si>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</si>
  <si>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</si>
  <si>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</si>
  <si>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</si>
  <si>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</si>
  <si>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ELFI SUKAESIH</t>
  </si>
  <si>
    <t>1807155406730000</t>
  </si>
  <si>
    <t>DUSUN II</t>
  </si>
  <si>
    <t>MENGAJUKAN PEMBUATAN SUMUR BOR KARENA DIMUSIM KEMARAU KEKERINGAN</t>
  </si>
  <si>
    <t>LAPANG/TANAH KOSONG DEKAT RUMAH WARGA</t>
  </si>
  <si>
    <t>BELUM TEREALISASI</t>
  </si>
  <si>
    <t>MENTARI VI</t>
  </si>
  <si>
    <t>PURWANTI</t>
  </si>
  <si>
    <t>1807156909550005</t>
  </si>
  <si>
    <t>DUSUN VI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</si>
  <si>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</si>
  <si>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</si>
  <si>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</si>
  <si>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</si>
  <si>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</si>
  <si>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</si>
  <si>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</si>
  <si>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</si>
  <si>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Anton</t>
  </si>
  <si>
    <t>Dusun IV</t>
  </si>
  <si>
    <t>Kehilangan 1 unit motor</t>
  </si>
  <si>
    <t>Lapor ke Polisi</t>
  </si>
  <si>
    <t>Surono</t>
  </si>
  <si>
    <t>Dusun VIII</t>
  </si>
  <si>
    <t>BIDANG SOSIAL</t>
  </si>
  <si>
    <t>Mentari 1</t>
  </si>
  <si>
    <t>1807151008580003</t>
  </si>
  <si>
    <t>Tamrin</t>
  </si>
  <si>
    <t>DUSUN I SRIMENANTI</t>
  </si>
  <si>
    <t>PENGAJUAN KIS</t>
  </si>
  <si>
    <t>1807150404380002</t>
  </si>
  <si>
    <t>Mardiyanto</t>
  </si>
  <si>
    <t>1807150609720001</t>
  </si>
  <si>
    <t>Nursyamsi</t>
  </si>
  <si>
    <t>Mentari 3</t>
  </si>
  <si>
    <t>1807154304500004</t>
  </si>
  <si>
    <t>Nurhayati</t>
  </si>
  <si>
    <t>DUSUN III SRIMENANTI</t>
  </si>
  <si>
    <t>1807154805480003</t>
  </si>
  <si>
    <t>Suratmi</t>
  </si>
  <si>
    <t>1807155503490002</t>
  </si>
  <si>
    <t>Mujiem</t>
  </si>
  <si>
    <t>Mentari 2</t>
  </si>
  <si>
    <t>1807154205540001</t>
  </si>
  <si>
    <t>Nurlian</t>
  </si>
  <si>
    <t>DUSUN II SRIMENANTI</t>
  </si>
  <si>
    <t>1807155004700007</t>
  </si>
  <si>
    <t>Painem</t>
  </si>
  <si>
    <t>1807152009600001</t>
  </si>
  <si>
    <t>Jianto</t>
  </si>
  <si>
    <t>29 Februari 2025</t>
  </si>
  <si>
    <t>1807154107650078</t>
  </si>
  <si>
    <t>Tugiyem</t>
  </si>
  <si>
    <t>Mentari 4</t>
  </si>
  <si>
    <t>1807154909580001</t>
  </si>
  <si>
    <t>Rohana</t>
  </si>
  <si>
    <t>DUSUN IV SRIMENANTI</t>
  </si>
  <si>
    <t>Mentari 5</t>
  </si>
  <si>
    <t>1807240205500003</t>
  </si>
  <si>
    <t>Sutiyo</t>
  </si>
  <si>
    <t>DUSUN V SRIMENANTI</t>
  </si>
  <si>
    <t>1807154108550001</t>
  </si>
  <si>
    <t>Mardiyah</t>
  </si>
  <si>
    <t>1807150107300041</t>
  </si>
  <si>
    <t>Sangudi</t>
  </si>
  <si>
    <t>1807155012570008</t>
  </si>
  <si>
    <t>Mujirah</t>
  </si>
  <si>
    <t>1807155807550002</t>
  </si>
  <si>
    <t>Ngatinem</t>
  </si>
  <si>
    <t>1807151201380001</t>
  </si>
  <si>
    <t>Pandal</t>
  </si>
  <si>
    <t>1807155707990002</t>
  </si>
  <si>
    <t>Vikre Julianne Virly</t>
  </si>
  <si>
    <t>1807151806480001</t>
  </si>
  <si>
    <t>Mahfud</t>
  </si>
  <si>
    <t>1807155811500002</t>
  </si>
  <si>
    <t>Ngatminah</t>
  </si>
  <si>
    <t>1807154909640001</t>
  </si>
  <si>
    <t>Yuni</t>
  </si>
  <si>
    <t>Mentari 7</t>
  </si>
  <si>
    <t>1807195508740005</t>
  </si>
  <si>
    <t>Iluh Burdani</t>
  </si>
  <si>
    <t>DUSUN VII SRIMENANTI</t>
  </si>
  <si>
    <t>Mentari 8</t>
  </si>
  <si>
    <t>1807151208730004</t>
  </si>
  <si>
    <t>Mundakir</t>
  </si>
  <si>
    <t>DUSUN VIII SRIMENANTI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</si>
</sst>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mmm yyyy"/>
    <numFmt numFmtId="166" formatCode="dd mmmm yyyy"/>
    <numFmt numFmtId="167" formatCode="d mmmm yyyy"/>
    <numFmt numFmtId="168" formatCode="dd-mm-yyyy"/>
    <numFmt numFmtId="169" formatCode="d-m-yyyy"/>
    <numFmt numFmtId="170" formatCode="d mmm yyyy"/>
    <numFmt numFmtId="171" formatCode="d-mmm-yyyy"/>
  </numFmts>
  <fonts count="35">
    <font>
      <sz val="10.0"/>
      <color rgb="FF000000"/>
      <name val="Arial"/>
      <scheme val="minor"/>
    </font>
    <font>
      <b/>
      <sz val="16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b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sz val="59.0"/>
      <color theme="1"/>
      <name val="Arial"/>
    </font>
    <font>
      <b/>
      <sz val="11.0"/>
      <color theme="1"/>
      <name val="Calibri"/>
    </font>
    <font>
      <b/>
      <i/>
      <sz val="9.0"/>
      <color theme="1"/>
      <name val="Calibri"/>
    </font>
    <font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Calibri"/>
    </font>
    <font>
      <b/>
      <i/>
      <sz val="9.0"/>
      <color rgb="FF000000"/>
      <name val="Calibri"/>
    </font>
    <font>
      <i/>
      <sz val="9.0"/>
      <color theme="1"/>
      <name val="Calibri"/>
    </font>
    <font>
      <b/>
      <color rgb="FF000000"/>
      <name val="Arial"/>
    </font>
    <font>
      <b/>
      <sz val="11.0"/>
      <color theme="1"/>
      <name val="Arial"/>
    </font>
    <font>
      <b/>
      <color theme="1"/>
      <name val="Calibri"/>
    </font>
    <font>
      <sz val="10.0"/>
      <color theme="1"/>
      <name val="Calibri"/>
    </font>
    <font>
      <b/>
      <i/>
      <sz val="11.0"/>
      <color theme="1"/>
      <name val="Calibri"/>
    </font>
    <font>
      <b/>
      <i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sz val="50.0"/>
      <color theme="1"/>
      <name val="Calibri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/>
    </xf>
    <xf borderId="6" fillId="3" fontId="9" numFmtId="0" xfId="0" applyAlignment="1" applyBorder="1" applyFill="1" applyFont="1">
      <alignment horizontal="center" readingOrder="0" shrinkToFit="0" vertical="bottom" wrapText="0"/>
    </xf>
    <xf borderId="6" fillId="3" fontId="10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7" fillId="2" fontId="3" numFmtId="0" xfId="0" applyAlignment="1" applyBorder="1" applyFont="1">
      <alignment horizontal="center" vertical="bottom"/>
    </xf>
    <xf borderId="2" fillId="0" fontId="4" numFmtId="0" xfId="0" applyBorder="1" applyFont="1"/>
    <xf borderId="5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1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readingOrder="0" vertical="center"/>
    </xf>
    <xf borderId="2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readingOrder="0" vertical="bottom"/>
    </xf>
    <xf borderId="6" fillId="3" fontId="10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8" fillId="0" fontId="14" numFmtId="0" xfId="0" applyAlignment="1" applyBorder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5" fillId="0" fontId="4" numFmtId="0" xfId="0" applyBorder="1" applyFont="1"/>
    <xf borderId="5" fillId="0" fontId="6" numFmtId="164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vertical="bottom"/>
    </xf>
    <xf borderId="0" fillId="0" fontId="1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readingOrder="0" vertical="center"/>
    </xf>
    <xf borderId="2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vertical="center"/>
    </xf>
    <xf borderId="8" fillId="2" fontId="15" numFmtId="0" xfId="0" applyAlignment="1" applyBorder="1" applyFont="1">
      <alignment horizontal="center" readingOrder="0" vertical="center"/>
    </xf>
    <xf borderId="11" fillId="2" fontId="15" numFmtId="0" xfId="0" applyAlignment="1" applyBorder="1" applyFont="1">
      <alignment horizontal="center" readingOrder="0" vertical="center"/>
    </xf>
    <xf borderId="15" fillId="2" fontId="15" numFmtId="0" xfId="0" applyAlignment="1" applyBorder="1" applyFont="1">
      <alignment horizontal="center" vertical="center"/>
    </xf>
    <xf borderId="15" fillId="0" fontId="4" numFmtId="0" xfId="0" applyBorder="1" applyFont="1"/>
    <xf borderId="14" fillId="2" fontId="15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readingOrder="0" vertical="center"/>
    </xf>
    <xf borderId="13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vertical="bottom"/>
    </xf>
    <xf borderId="6" fillId="0" fontId="17" numFmtId="0" xfId="0" applyAlignment="1" applyBorder="1" applyFont="1">
      <alignment horizontal="center" readingOrder="0" shrinkToFit="0" vertical="center" wrapText="0"/>
    </xf>
    <xf borderId="7" fillId="2" fontId="5" numFmtId="0" xfId="0" applyAlignment="1" applyBorder="1" applyFont="1">
      <alignment horizontal="center" readingOrder="0" vertical="bottom"/>
    </xf>
    <xf borderId="6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10" numFmtId="0" xfId="0" applyAlignment="1" applyFon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1" fillId="2" fontId="15" numFmtId="0" xfId="0" applyAlignment="1" applyBorder="1" applyFont="1">
      <alignment horizontal="center" readingOrder="0" vertical="center"/>
    </xf>
    <xf borderId="8" fillId="2" fontId="20" numFmtId="0" xfId="0" applyAlignment="1" applyBorder="1" applyFont="1">
      <alignment horizontal="center" readingOrder="0" shrinkToFit="0" vertical="center" wrapText="0"/>
    </xf>
    <xf borderId="0" fillId="3" fontId="8" numFmtId="0" xfId="0" applyFont="1"/>
    <xf borderId="6" fillId="2" fontId="15" numFmtId="0" xfId="0" applyAlignment="1" applyBorder="1" applyFont="1">
      <alignment horizontal="center" readingOrder="0" vertical="center"/>
    </xf>
    <xf borderId="6" fillId="2" fontId="16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shrinkToFit="0" vertical="center" wrapText="0"/>
    </xf>
    <xf borderId="12" fillId="2" fontId="21" numFmtId="0" xfId="0" applyAlignment="1" applyBorder="1" applyFont="1">
      <alignment horizontal="center" readingOrder="0" shrinkToFit="0" vertical="center" wrapText="0"/>
    </xf>
    <xf borderId="0" fillId="3" fontId="22" numFmtId="0" xfId="0" applyAlignment="1" applyFon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readingOrder="0" shrinkToFit="0" vertical="bottom" wrapText="0"/>
    </xf>
    <xf borderId="0" fillId="3" fontId="2" numFmtId="0" xfId="0" applyAlignment="1" applyFont="1">
      <alignment vertical="bottom"/>
    </xf>
    <xf borderId="13" fillId="0" fontId="9" numFmtId="0" xfId="0" applyAlignment="1" applyBorder="1" applyFont="1">
      <alignment horizontal="center" readingOrder="0" shrinkToFit="0" vertical="bottom" wrapText="0"/>
    </xf>
    <xf borderId="6" fillId="2" fontId="23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6" fillId="2" fontId="5" numFmtId="0" xfId="0" applyAlignment="1" applyBorder="1" applyFont="1">
      <alignment horizontal="center" readingOrder="0" vertical="center"/>
    </xf>
    <xf borderId="13" fillId="2" fontId="21" numFmtId="0" xfId="0" applyAlignment="1" applyBorder="1" applyFont="1">
      <alignment horizontal="center" readingOrder="0" shrinkToFit="0" vertical="center" wrapText="0"/>
    </xf>
    <xf borderId="14" fillId="2" fontId="21" numFmtId="0" xfId="0" applyAlignment="1" applyBorder="1" applyFont="1">
      <alignment horizontal="center" readingOrder="0" shrinkToFit="0" vertical="center" wrapText="0"/>
    </xf>
    <xf borderId="5" fillId="2" fontId="21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 shrinkToFit="0" vertical="bottom" wrapText="0"/>
    </xf>
    <xf borderId="15" fillId="0" fontId="17" numFmtId="0" xfId="0" applyAlignment="1" applyBorder="1" applyFont="1">
      <alignment horizontal="center" readingOrder="0" shrinkToFit="0" vertical="bottom" wrapText="0"/>
    </xf>
    <xf borderId="6" fillId="2" fontId="23" numFmtId="0" xfId="0" applyAlignment="1" applyBorder="1" applyFont="1">
      <alignment horizontal="center" readingOrder="0" shrinkToFit="0" vertical="bottom" wrapText="0"/>
    </xf>
    <xf borderId="0" fillId="0" fontId="24" numFmtId="0" xfId="0" applyAlignment="1" applyFont="1">
      <alignment vertical="bottom"/>
    </xf>
    <xf borderId="6" fillId="2" fontId="21" numFmtId="0" xfId="0" applyAlignment="1" applyBorder="1" applyFont="1">
      <alignment horizontal="center" readingOrder="0" shrinkToFit="0" vertical="center" wrapText="0"/>
    </xf>
    <xf borderId="6" fillId="2" fontId="5" numFmtId="0" xfId="0" applyAlignment="1" applyBorder="1" applyFont="1">
      <alignment readingOrder="0" vertical="center"/>
    </xf>
    <xf borderId="0" fillId="0" fontId="11" numFmtId="0" xfId="0" applyAlignment="1" applyFont="1">
      <alignment vertical="bottom"/>
    </xf>
    <xf borderId="1" fillId="2" fontId="15" numFmtId="0" xfId="0" applyAlignment="1" applyBorder="1" applyFont="1">
      <alignment horizontal="center" shrinkToFit="0" vertical="center" wrapText="1"/>
    </xf>
    <xf borderId="1" fillId="2" fontId="25" numFmtId="0" xfId="0" applyAlignment="1" applyBorder="1" applyFont="1">
      <alignment horizontal="center" shrinkToFit="0" vertical="center" wrapText="1"/>
    </xf>
    <xf borderId="2" fillId="2" fontId="15" numFmtId="0" xfId="0" applyAlignment="1" applyBorder="1" applyFont="1">
      <alignment horizontal="center" readingOrder="0" vertical="center"/>
    </xf>
    <xf borderId="15" fillId="2" fontId="15" numFmtId="0" xfId="0" applyAlignment="1" applyBorder="1" applyFont="1">
      <alignment horizontal="center" shrinkToFit="0" vertical="center" wrapText="1"/>
    </xf>
    <xf borderId="8" fillId="2" fontId="15" numFmtId="0" xfId="0" applyAlignment="1" applyBorder="1" applyFont="1">
      <alignment horizontal="center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5" fillId="2" fontId="1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vertical="center"/>
    </xf>
    <xf borderId="4" fillId="0" fontId="10" numFmtId="0" xfId="0" applyAlignment="1" applyBorder="1" applyFont="1">
      <alignment horizontal="center" vertical="bottom"/>
    </xf>
    <xf borderId="5" fillId="0" fontId="26" numFmtId="0" xfId="0" applyAlignment="1" applyBorder="1" applyFont="1">
      <alignment vertical="bottom"/>
    </xf>
    <xf borderId="5" fillId="0" fontId="17" numFmtId="0" xfId="0" applyAlignment="1" applyBorder="1" applyFont="1">
      <alignment horizontal="center" readingOrder="0" shrinkToFit="0" vertical="bottom" wrapText="0"/>
    </xf>
    <xf borderId="5" fillId="0" fontId="22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vertical="bottom"/>
    </xf>
    <xf borderId="1" fillId="2" fontId="24" numFmtId="0" xfId="0" applyAlignment="1" applyBorder="1" applyFont="1">
      <alignment readingOrder="0" vertical="center"/>
    </xf>
    <xf borderId="7" fillId="2" fontId="15" numFmtId="0" xfId="0" applyAlignment="1" applyBorder="1" applyFont="1">
      <alignment horizontal="center" readingOrder="0" vertical="bottom"/>
    </xf>
    <xf borderId="8" fillId="2" fontId="15" numFmtId="0" xfId="0" applyAlignment="1" applyBorder="1" applyFont="1">
      <alignment horizontal="center" readingOrder="0" vertical="bottom"/>
    </xf>
    <xf borderId="1" fillId="2" fontId="15" numFmtId="0" xfId="0" applyAlignment="1" applyBorder="1" applyFont="1">
      <alignment horizontal="center" readingOrder="0" vertical="bottom"/>
    </xf>
    <xf borderId="9" fillId="2" fontId="15" numFmtId="0" xfId="0" applyAlignment="1" applyBorder="1" applyFont="1">
      <alignment horizontal="center" readingOrder="0" vertical="center"/>
    </xf>
    <xf borderId="13" fillId="2" fontId="15" numFmtId="0" xfId="0" applyAlignment="1" applyBorder="1" applyFont="1">
      <alignment horizontal="center" readingOrder="0" vertical="bottom"/>
    </xf>
    <xf borderId="15" fillId="2" fontId="15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horizontal="center" readingOrder="0" vertical="bottom"/>
    </xf>
    <xf borderId="4" fillId="2" fontId="15" numFmtId="0" xfId="0" applyAlignment="1" applyBorder="1" applyFont="1">
      <alignment horizontal="center" readingOrder="0" vertical="bottom"/>
    </xf>
    <xf borderId="3" fillId="2" fontId="15" numFmtId="0" xfId="0" applyAlignment="1" applyBorder="1" applyFont="1">
      <alignment horizontal="center" readingOrder="0" vertical="bottom"/>
    </xf>
    <xf borderId="6" fillId="2" fontId="27" numFmtId="0" xfId="0" applyAlignment="1" applyBorder="1" applyFont="1">
      <alignment horizontal="center" readingOrder="0" vertical="bottom"/>
    </xf>
    <xf borderId="6" fillId="2" fontId="27" numFmtId="0" xfId="0" applyAlignment="1" applyBorder="1" applyFont="1">
      <alignment horizontal="center" readingOrder="0" vertical="center"/>
    </xf>
    <xf borderId="6" fillId="2" fontId="28" numFmtId="0" xfId="0" applyAlignment="1" applyBorder="1" applyFont="1">
      <alignment horizontal="center" readingOrder="0" vertical="bottom"/>
    </xf>
    <xf borderId="4" fillId="2" fontId="28" numFmtId="0" xfId="0" applyAlignment="1" applyBorder="1" applyFont="1">
      <alignment horizontal="center" readingOrder="0" vertical="bottom"/>
    </xf>
    <xf borderId="7" fillId="2" fontId="27" numFmtId="0" xfId="0" applyAlignment="1" applyBorder="1" applyFont="1">
      <alignment horizontal="center" readingOrder="0" vertical="bottom"/>
    </xf>
    <xf borderId="4" fillId="2" fontId="27" numFmtId="0" xfId="0" applyAlignment="1" applyBorder="1" applyFont="1">
      <alignment horizontal="center" readingOrder="0" vertical="bottom"/>
    </xf>
    <xf borderId="3" fillId="2" fontId="27" numFmtId="0" xfId="0" applyAlignment="1" applyBorder="1" applyFont="1">
      <alignment horizontal="center" readingOrder="0" vertical="bottom"/>
    </xf>
    <xf borderId="6" fillId="0" fontId="26" numFmtId="165" xfId="0" applyAlignment="1" applyBorder="1" applyFont="1" applyNumberFormat="1">
      <alignment horizontal="left" readingOrder="0" vertical="bottom"/>
    </xf>
    <xf borderId="6" fillId="2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15" fillId="2" fontId="15" numFmtId="0" xfId="0" applyAlignment="1" applyBorder="1" applyFont="1">
      <alignment horizontal="center" readingOrder="0" vertical="center"/>
    </xf>
    <xf borderId="4" fillId="2" fontId="24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readingOrder="0" vertical="center"/>
    </xf>
    <xf borderId="3" fillId="2" fontId="15" numFmtId="0" xfId="0" applyAlignment="1" applyBorder="1" applyFont="1">
      <alignment horizontal="center" readingOrder="0" vertical="center"/>
    </xf>
    <xf borderId="6" fillId="2" fontId="28" numFmtId="0" xfId="0" applyAlignment="1" applyBorder="1" applyFont="1">
      <alignment horizontal="center" readingOrder="0" vertical="center"/>
    </xf>
    <xf borderId="4" fillId="2" fontId="28" numFmtId="0" xfId="0" applyAlignment="1" applyBorder="1" applyFont="1">
      <alignment horizontal="center" readingOrder="0" vertical="center"/>
    </xf>
    <xf borderId="7" fillId="2" fontId="27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readingOrder="0" vertical="center"/>
    </xf>
    <xf borderId="3" fillId="2" fontId="27" numFmtId="0" xfId="0" applyAlignment="1" applyBorder="1" applyFont="1">
      <alignment horizontal="center" readingOrder="0" vertical="center"/>
    </xf>
    <xf borderId="6" fillId="0" fontId="26" numFmtId="0" xfId="0" applyAlignment="1" applyBorder="1" applyFont="1">
      <alignment horizontal="left" readingOrder="0" vertical="bottom"/>
    </xf>
    <xf borderId="6" fillId="0" fontId="10" numFmtId="165" xfId="0" applyAlignment="1" applyBorder="1" applyFont="1" applyNumberFormat="1">
      <alignment horizontal="left" readingOrder="0" vertical="bottom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bottom"/>
    </xf>
    <xf borderId="2" fillId="2" fontId="15" numFmtId="0" xfId="0" applyAlignment="1" applyBorder="1" applyFont="1">
      <alignment horizontal="center" readingOrder="0" vertical="bottom"/>
    </xf>
    <xf borderId="11" fillId="2" fontId="24" numFmtId="0" xfId="0" applyAlignment="1" applyBorder="1" applyFont="1">
      <alignment horizontal="center" readingOrder="0" vertical="center"/>
    </xf>
    <xf borderId="10" fillId="2" fontId="15" numFmtId="0" xfId="0" applyAlignment="1" applyBorder="1" applyFont="1">
      <alignment horizontal="center" readingOrder="0" vertical="center"/>
    </xf>
    <xf borderId="7" fillId="2" fontId="29" numFmtId="0" xfId="0" applyAlignment="1" applyBorder="1" applyFont="1">
      <alignment horizontal="center" readingOrder="0"/>
    </xf>
    <xf borderId="11" fillId="2" fontId="29" numFmtId="0" xfId="0" applyAlignment="1" applyBorder="1" applyFont="1">
      <alignment horizontal="center" readingOrder="0" vertical="center"/>
    </xf>
    <xf borderId="0" fillId="3" fontId="10" numFmtId="0" xfId="0" applyAlignment="1" applyFont="1">
      <alignment horizontal="center" readingOrder="0" vertical="bottom"/>
    </xf>
    <xf borderId="13" fillId="2" fontId="27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readingOrder="0"/>
    </xf>
    <xf borderId="7" fillId="2" fontId="15" numFmtId="0" xfId="0" applyAlignment="1" applyBorder="1" applyFont="1">
      <alignment readingOrder="0"/>
    </xf>
    <xf borderId="13" fillId="2" fontId="29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vertical="bottom"/>
    </xf>
    <xf borderId="0" fillId="0" fontId="18" numFmtId="0" xfId="0" applyAlignment="1" applyFont="1">
      <alignment readingOrder="0" vertical="bottom"/>
    </xf>
    <xf borderId="8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1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7" fillId="2" fontId="29" numFmtId="0" xfId="0" applyAlignment="1" applyBorder="1" applyFont="1">
      <alignment horizontal="center" readingOrder="0" vertical="center"/>
    </xf>
    <xf borderId="2" fillId="2" fontId="29" numFmtId="0" xfId="0" applyAlignment="1" applyBorder="1" applyFont="1">
      <alignment horizontal="center" readingOrder="0" vertical="center"/>
    </xf>
    <xf borderId="15" fillId="2" fontId="31" numFmtId="0" xfId="0" applyAlignment="1" applyBorder="1" applyFont="1">
      <alignment horizontal="center" readingOrder="0" vertical="center"/>
    </xf>
    <xf borderId="1" fillId="2" fontId="31" numFmtId="0" xfId="0" applyAlignment="1" applyBorder="1" applyFont="1">
      <alignment horizontal="center" readingOrder="0" vertical="center"/>
    </xf>
    <xf borderId="6" fillId="2" fontId="29" numFmtId="0" xfId="0" applyAlignment="1" applyBorder="1" applyFont="1">
      <alignment horizontal="center" readingOrder="0" vertical="center"/>
    </xf>
    <xf borderId="13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vertical="center"/>
    </xf>
    <xf borderId="6" fillId="2" fontId="32" numFmtId="0" xfId="0" applyAlignment="1" applyBorder="1" applyFont="1">
      <alignment horizontal="center" vertical="center"/>
    </xf>
    <xf borderId="6" fillId="2" fontId="32" numFmtId="0" xfId="0" applyAlignment="1" applyBorder="1" applyFont="1">
      <alignment horizontal="center" readingOrder="0" vertical="center"/>
    </xf>
    <xf borderId="4" fillId="2" fontId="32" numFmtId="0" xfId="0" applyAlignment="1" applyBorder="1" applyFont="1">
      <alignment horizontal="center" readingOrder="0" vertical="center"/>
    </xf>
    <xf borderId="4" fillId="2" fontId="32" numFmtId="0" xfId="0" applyAlignment="1" applyBorder="1" applyFont="1">
      <alignment horizontal="center" vertical="center"/>
    </xf>
    <xf borderId="7" fillId="2" fontId="32" numFmtId="0" xfId="0" applyAlignment="1" applyBorder="1" applyFont="1">
      <alignment horizontal="center" vertical="center"/>
    </xf>
    <xf borderId="3" fillId="2" fontId="32" numFmtId="0" xfId="0" applyAlignment="1" applyBorder="1" applyFont="1">
      <alignment horizontal="center" vertical="center"/>
    </xf>
    <xf borderId="6" fillId="0" fontId="26" numFmtId="165" xfId="0" applyAlignment="1" applyBorder="1" applyFont="1" applyNumberFormat="1">
      <alignment horizontal="left" vertical="bottom"/>
    </xf>
    <xf borderId="6" fillId="0" fontId="26" numFmtId="0" xfId="0" applyAlignment="1" applyBorder="1" applyFont="1">
      <alignment horizontal="left" vertical="bottom"/>
    </xf>
    <xf borderId="1" fillId="2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6" fillId="2" fontId="12" numFmtId="0" xfId="0" applyAlignment="1" applyBorder="1" applyFont="1">
      <alignment horizontal="center" shrinkToFit="0" vertical="center" wrapText="1"/>
    </xf>
    <xf borderId="6" fillId="2" fontId="30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shrinkToFit="0" vertical="center" wrapText="0"/>
    </xf>
    <xf borderId="5" fillId="0" fontId="7" numFmtId="166" xfId="0" applyAlignment="1" applyBorder="1" applyFont="1" applyNumberFormat="1">
      <alignment horizontal="left"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quotePrefix="1" borderId="5" fillId="0" fontId="7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readingOrder="0" shrinkToFit="0" vertical="bottom" wrapText="1"/>
    </xf>
    <xf borderId="5" fillId="0" fontId="7" numFmtId="167" xfId="0" applyAlignment="1" applyBorder="1" applyFont="1" applyNumberFormat="1">
      <alignment horizontal="left" readingOrder="0" shrinkToFit="0" vertical="center" wrapText="0"/>
    </xf>
    <xf borderId="5" fillId="0" fontId="7" numFmtId="0" xfId="0" applyAlignment="1" applyBorder="1" applyFont="1">
      <alignment shrinkToFit="0" vertical="center" wrapText="0"/>
    </xf>
    <xf borderId="5" fillId="0" fontId="17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vertical="bottom"/>
    </xf>
    <xf borderId="9" fillId="2" fontId="12" numFmtId="0" xfId="0" applyAlignment="1" applyBorder="1" applyFont="1">
      <alignment horizontal="center" vertical="center"/>
    </xf>
    <xf borderId="6" fillId="2" fontId="12" numFmtId="0" xfId="0" applyAlignment="1" applyBorder="1" applyFont="1">
      <alignment horizontal="center" vertical="center"/>
    </xf>
    <xf borderId="14" fillId="2" fontId="12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0" fontId="6" numFmtId="164" xfId="0" applyAlignment="1" applyBorder="1" applyFont="1" applyNumberFormat="1">
      <alignment horizontal="right" vertical="bottom"/>
    </xf>
    <xf borderId="14" fillId="0" fontId="2" numFmtId="0" xfId="0" applyAlignment="1" applyBorder="1" applyFont="1">
      <alignment vertical="bottom"/>
    </xf>
    <xf borderId="0" fillId="0" fontId="33" numFmtId="0" xfId="0" applyAlignment="1" applyFont="1">
      <alignment horizontal="center" readingOrder="0" vertical="center"/>
    </xf>
    <xf borderId="14" fillId="0" fontId="6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vertical="center"/>
    </xf>
    <xf borderId="6" fillId="0" fontId="7" numFmtId="168" xfId="0" applyAlignment="1" applyBorder="1" applyFont="1" applyNumberFormat="1">
      <alignment horizontal="left" readingOrder="0" shrinkToFit="0" vertical="bottom" wrapText="0"/>
    </xf>
    <xf borderId="6" fillId="0" fontId="7" numFmtId="0" xfId="0" applyAlignment="1" applyBorder="1" applyFont="1">
      <alignment readingOrder="0" shrinkToFit="0" vertical="bottom" wrapText="0"/>
    </xf>
    <xf borderId="6" fillId="0" fontId="17" numFmtId="0" xfId="0" applyAlignment="1" applyBorder="1" applyFont="1">
      <alignment shrinkToFit="0" vertical="bottom" wrapText="0"/>
    </xf>
    <xf borderId="6" fillId="0" fontId="7" numFmtId="169" xfId="0" applyAlignment="1" applyBorder="1" applyFont="1" applyNumberFormat="1">
      <alignment horizontal="left" readingOrder="0" shrinkToFit="0" vertical="bottom" wrapText="0"/>
    </xf>
    <xf borderId="6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vertical="bottom"/>
    </xf>
    <xf borderId="5" fillId="2" fontId="2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167" xfId="0" applyAlignment="1" applyBorder="1" applyFont="1" applyNumberFormat="1">
      <alignment horizontal="left"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6" fillId="0" fontId="34" numFmtId="0" xfId="0" applyAlignment="1" applyBorder="1" applyFont="1">
      <alignment readingOrder="0" shrinkToFit="0" vertical="bottom" wrapText="0"/>
    </xf>
    <xf borderId="14" fillId="3" fontId="34" numFmtId="0" xfId="0" applyAlignment="1" applyBorder="1" applyFont="1">
      <alignment horizontal="left" readingOrder="0" shrinkToFit="0" wrapText="0"/>
    </xf>
    <xf borderId="6" fillId="0" fontId="17" numFmtId="0" xfId="0" applyAlignment="1" applyBorder="1" applyFont="1">
      <alignment readingOrder="0" shrinkToFit="0" vertical="bottom" wrapText="0"/>
    </xf>
    <xf borderId="6" fillId="3" fontId="34" numFmtId="0" xfId="0" applyAlignment="1" applyBorder="1" applyFont="1">
      <alignment readingOrder="0" shrinkToFit="0" vertical="bottom" wrapText="0"/>
    </xf>
    <xf borderId="14" fillId="3" fontId="34" numFmtId="0" xfId="0" applyAlignment="1" applyBorder="1" applyFont="1">
      <alignment readingOrder="0" shrinkToFit="0" vertical="bottom" wrapText="0"/>
    </xf>
    <xf borderId="5" fillId="0" fontId="7" numFmtId="170" xfId="0" applyAlignment="1" applyBorder="1" applyFont="1" applyNumberFormat="1">
      <alignment horizontal="left"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6" fillId="0" fontId="34" numFmtId="0" xfId="0" applyAlignment="1" applyBorder="1" applyFont="1">
      <alignment horizontal="left" readingOrder="0" shrinkToFit="0" vertical="bottom" wrapText="0"/>
    </xf>
    <xf borderId="5" fillId="0" fontId="7" numFmtId="171" xfId="0" applyAlignment="1" applyBorder="1" applyFont="1" applyNumberFormat="1">
      <alignment horizontal="left" readingOrder="0" shrinkToFit="0" vertical="bottom" wrapText="0"/>
    </xf>
    <xf borderId="5" fillId="0" fontId="7" numFmtId="167" xfId="0" applyAlignment="1" applyBorder="1" applyFont="1" applyNumberFormat="1">
      <alignment horizontal="left" readingOrder="0" shrinkToFit="0" vertical="bottom" wrapText="0"/>
    </xf>
    <xf borderId="14" fillId="3" fontId="34" numFmtId="0" xfId="0" applyAlignment="1" applyBorder="1" applyFont="1">
      <alignment horizontal="left" readingOrder="0" shrinkToFit="0" vertical="bottom" wrapText="0"/>
    </xf>
    <xf borderId="5" fillId="0" fontId="7" numFmtId="0" xfId="0" applyAlignment="1" applyBorder="1" applyFont="1">
      <alignment horizontal="left" readingOrder="0" shrinkToFit="0" vertical="bottom" wrapText="0"/>
    </xf>
    <xf borderId="6" fillId="3" fontId="34" numFmtId="0" xfId="0" applyAlignment="1" applyBorder="1" applyFont="1">
      <alignment horizontal="left" readingOrder="0" shrinkToFit="0" wrapText="0"/>
    </xf>
    <xf borderId="5" fillId="0" fontId="7" numFmtId="166" xfId="0" applyAlignment="1" applyBorder="1" applyFont="1" applyNumberFormat="1">
      <alignment horizontal="left" readingOrder="0" shrinkToFit="0" vertical="bottom" wrapText="0"/>
    </xf>
    <xf borderId="6" fillId="0" fontId="17" numFmtId="0" xfId="0" applyAlignment="1" applyBorder="1" applyFont="1">
      <alignment horizontal="left" readingOrder="0" shrinkToFit="0" vertical="bottom" wrapText="0"/>
    </xf>
    <xf borderId="12" fillId="0" fontId="34" numFmtId="0" xfId="0" applyAlignment="1" applyBorder="1" applyFont="1">
      <alignment horizontal="left" readingOrder="0" shrinkToFit="0" vertical="bottom" wrapText="0"/>
    </xf>
    <xf borderId="0" fillId="3" fontId="34" numFmtId="0" xfId="0" applyAlignment="1" applyFont="1">
      <alignment horizontal="left" readingOrder="0" shrinkToFit="0" wrapText="0"/>
    </xf>
    <xf borderId="15" fillId="0" fontId="17" numFmtId="0" xfId="0" applyAlignment="1" applyBorder="1" applyFont="1">
      <alignment readingOrder="0" shrinkToFit="0" vertical="bottom" wrapText="0"/>
    </xf>
    <xf borderId="6" fillId="3" fontId="34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18" max="18" width="38.63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104.0</v>
      </c>
      <c r="E6" s="16">
        <v>120.0</v>
      </c>
      <c r="F6" s="15">
        <v>354.0</v>
      </c>
      <c r="G6" s="15">
        <v>22.0</v>
      </c>
      <c r="H6" s="15">
        <v>29.0</v>
      </c>
      <c r="I6" s="15">
        <v>124.0</v>
      </c>
      <c r="J6" s="15">
        <v>109.0</v>
      </c>
      <c r="K6" s="15">
        <v>6.0</v>
      </c>
      <c r="L6" s="15" t="s">
        <v>25</v>
      </c>
      <c r="M6" s="17">
        <v>1.0</v>
      </c>
      <c r="N6" s="17">
        <v>1.0</v>
      </c>
      <c r="O6" s="18" t="s">
        <v>25</v>
      </c>
      <c r="P6" s="15">
        <v>7.0</v>
      </c>
      <c r="Q6" s="19" t="s">
        <v>26</v>
      </c>
      <c r="R6" s="14" t="s">
        <v>27</v>
      </c>
      <c r="S6" s="2"/>
    </row>
    <row r="7">
      <c r="A7" s="13">
        <v>2.0</v>
      </c>
      <c r="B7" s="13" t="s">
        <v>28</v>
      </c>
      <c r="C7" s="14" t="s">
        <v>29</v>
      </c>
      <c r="D7" s="14">
        <v>214.0</v>
      </c>
      <c r="E7" s="20">
        <v>238.0</v>
      </c>
      <c r="F7" s="14">
        <v>698.0</v>
      </c>
      <c r="G7" s="14">
        <v>32.0</v>
      </c>
      <c r="H7" s="14">
        <v>58.0</v>
      </c>
      <c r="I7" s="14">
        <v>128.0</v>
      </c>
      <c r="J7" s="14">
        <v>125.0</v>
      </c>
      <c r="K7" s="14">
        <v>4.0</v>
      </c>
      <c r="L7" s="17">
        <v>1.0</v>
      </c>
      <c r="M7" s="17" t="s">
        <v>25</v>
      </c>
      <c r="N7" s="17">
        <v>1.0</v>
      </c>
      <c r="O7" s="18" t="s">
        <v>25</v>
      </c>
      <c r="P7" s="15">
        <v>7.0</v>
      </c>
      <c r="Q7" s="19" t="s">
        <v>26</v>
      </c>
      <c r="R7" s="14" t="s">
        <v>27</v>
      </c>
      <c r="S7" s="2"/>
    </row>
    <row r="8">
      <c r="A8" s="13">
        <v>3.0</v>
      </c>
      <c r="B8" s="13" t="s">
        <v>30</v>
      </c>
      <c r="C8" s="14" t="s">
        <v>31</v>
      </c>
      <c r="D8" s="15">
        <v>250.0</v>
      </c>
      <c r="E8" s="16">
        <v>267.0</v>
      </c>
      <c r="F8" s="15">
        <v>718.0</v>
      </c>
      <c r="G8" s="14">
        <v>39.0</v>
      </c>
      <c r="H8" s="14">
        <v>118.0</v>
      </c>
      <c r="I8" s="14">
        <v>381.0</v>
      </c>
      <c r="J8" s="14">
        <v>105.0</v>
      </c>
      <c r="K8" s="14">
        <v>4.0</v>
      </c>
      <c r="L8" s="17">
        <v>1.0</v>
      </c>
      <c r="M8" s="17" t="s">
        <v>25</v>
      </c>
      <c r="N8" s="17">
        <v>1.0</v>
      </c>
      <c r="O8" s="18" t="s">
        <v>25</v>
      </c>
      <c r="P8" s="15">
        <v>7.0</v>
      </c>
      <c r="Q8" s="19" t="s">
        <v>26</v>
      </c>
      <c r="R8" s="14" t="s">
        <v>27</v>
      </c>
      <c r="S8" s="2"/>
    </row>
    <row r="9">
      <c r="A9" s="13">
        <v>4.0</v>
      </c>
      <c r="B9" s="13" t="s">
        <v>32</v>
      </c>
      <c r="C9" s="14" t="s">
        <v>33</v>
      </c>
      <c r="D9" s="14">
        <v>308.0</v>
      </c>
      <c r="E9" s="20">
        <v>343.0</v>
      </c>
      <c r="F9" s="14">
        <v>1055.0</v>
      </c>
      <c r="G9" s="14">
        <v>43.0</v>
      </c>
      <c r="H9" s="14">
        <v>97.0</v>
      </c>
      <c r="I9" s="14">
        <v>331.0</v>
      </c>
      <c r="J9" s="14">
        <v>108.0</v>
      </c>
      <c r="K9" s="14">
        <v>8.0</v>
      </c>
      <c r="L9" s="17">
        <v>1.0</v>
      </c>
      <c r="M9" s="17" t="s">
        <v>25</v>
      </c>
      <c r="N9" s="17">
        <v>1.0</v>
      </c>
      <c r="O9" s="18" t="s">
        <v>25</v>
      </c>
      <c r="P9" s="15">
        <v>7.0</v>
      </c>
      <c r="Q9" s="19" t="s">
        <v>26</v>
      </c>
      <c r="R9" s="14" t="s">
        <v>27</v>
      </c>
      <c r="S9" s="2"/>
    </row>
    <row r="10">
      <c r="A10" s="13">
        <v>5.0</v>
      </c>
      <c r="B10" s="13" t="s">
        <v>34</v>
      </c>
      <c r="C10" s="14" t="s">
        <v>35</v>
      </c>
      <c r="D10" s="14">
        <v>184.0</v>
      </c>
      <c r="E10" s="20">
        <v>184.0</v>
      </c>
      <c r="F10" s="14">
        <v>709.0</v>
      </c>
      <c r="G10" s="14">
        <v>48.0</v>
      </c>
      <c r="H10" s="14">
        <v>87.0</v>
      </c>
      <c r="I10" s="14">
        <v>271.0</v>
      </c>
      <c r="J10" s="14">
        <v>63.0</v>
      </c>
      <c r="K10" s="14">
        <v>1.0</v>
      </c>
      <c r="L10" s="17">
        <v>1.0</v>
      </c>
      <c r="M10" s="17" t="s">
        <v>25</v>
      </c>
      <c r="N10" s="17">
        <v>1.0</v>
      </c>
      <c r="O10" s="18" t="s">
        <v>25</v>
      </c>
      <c r="P10" s="15">
        <v>7.0</v>
      </c>
      <c r="Q10" s="19" t="s">
        <v>26</v>
      </c>
      <c r="R10" s="14" t="s">
        <v>27</v>
      </c>
      <c r="S10" s="2"/>
    </row>
    <row r="11">
      <c r="A11" s="13">
        <v>6.0</v>
      </c>
      <c r="B11" s="13" t="s">
        <v>36</v>
      </c>
      <c r="C11" s="14" t="s">
        <v>37</v>
      </c>
      <c r="D11" s="14">
        <v>235.0</v>
      </c>
      <c r="E11" s="20">
        <v>272.0</v>
      </c>
      <c r="F11" s="14">
        <v>816.0</v>
      </c>
      <c r="G11" s="14">
        <v>87.0</v>
      </c>
      <c r="H11" s="14">
        <v>100.0</v>
      </c>
      <c r="I11" s="14">
        <v>240.0</v>
      </c>
      <c r="J11" s="14">
        <v>130.0</v>
      </c>
      <c r="K11" s="14">
        <v>15.0</v>
      </c>
      <c r="L11" s="17">
        <v>1.0</v>
      </c>
      <c r="M11" s="17" t="s">
        <v>25</v>
      </c>
      <c r="N11" s="17">
        <v>1.0</v>
      </c>
      <c r="O11" s="18" t="s">
        <v>25</v>
      </c>
      <c r="P11" s="15">
        <v>7.0</v>
      </c>
      <c r="Q11" s="19" t="s">
        <v>26</v>
      </c>
      <c r="R11" s="14" t="s">
        <v>27</v>
      </c>
      <c r="S11" s="2"/>
    </row>
    <row r="12">
      <c r="A12" s="13">
        <v>7.0</v>
      </c>
      <c r="B12" s="13" t="s">
        <v>38</v>
      </c>
      <c r="C12" s="14" t="s">
        <v>35</v>
      </c>
      <c r="D12" s="14">
        <v>52.0</v>
      </c>
      <c r="E12" s="20">
        <v>61.0</v>
      </c>
      <c r="F12" s="21">
        <v>221.0</v>
      </c>
      <c r="G12" s="14">
        <v>12.0</v>
      </c>
      <c r="H12" s="14">
        <v>20.0</v>
      </c>
      <c r="I12" s="14">
        <v>87.0</v>
      </c>
      <c r="J12" s="14">
        <v>38.0</v>
      </c>
      <c r="K12" s="14">
        <v>2.0</v>
      </c>
      <c r="L12" s="17">
        <v>1.0</v>
      </c>
      <c r="M12" s="17" t="s">
        <v>25</v>
      </c>
      <c r="N12" s="17">
        <v>1.0</v>
      </c>
      <c r="O12" s="18" t="s">
        <v>25</v>
      </c>
      <c r="P12" s="15">
        <v>7.0</v>
      </c>
      <c r="Q12" s="19" t="s">
        <v>26</v>
      </c>
      <c r="R12" s="14" t="s">
        <v>27</v>
      </c>
      <c r="S12" s="2"/>
    </row>
    <row r="13">
      <c r="A13" s="13">
        <v>8.0</v>
      </c>
      <c r="B13" s="13" t="s">
        <v>39</v>
      </c>
      <c r="C13" s="14" t="s">
        <v>24</v>
      </c>
      <c r="D13" s="14">
        <v>155.0</v>
      </c>
      <c r="E13" s="20">
        <v>173.0</v>
      </c>
      <c r="F13" s="14">
        <v>581.0</v>
      </c>
      <c r="G13" s="14">
        <v>22.0</v>
      </c>
      <c r="H13" s="14">
        <v>52.0</v>
      </c>
      <c r="I13" s="14">
        <v>309.0</v>
      </c>
      <c r="J13" s="14">
        <v>82.0</v>
      </c>
      <c r="K13" s="14">
        <v>1.0</v>
      </c>
      <c r="L13" s="15" t="s">
        <v>25</v>
      </c>
      <c r="M13" s="17">
        <v>1.0</v>
      </c>
      <c r="N13" s="17">
        <v>1.0</v>
      </c>
      <c r="O13" s="18" t="s">
        <v>25</v>
      </c>
      <c r="P13" s="15">
        <v>7.0</v>
      </c>
      <c r="Q13" s="19" t="s">
        <v>26</v>
      </c>
      <c r="R13" s="14" t="s">
        <v>27</v>
      </c>
      <c r="S13" s="2"/>
    </row>
    <row r="14">
      <c r="A14" s="22" t="s">
        <v>40</v>
      </c>
      <c r="B14" s="23"/>
      <c r="C14" s="8"/>
      <c r="D14" s="24">
        <f t="shared" ref="D14:H14" si="1">SUM(D6:D13)</f>
        <v>1502</v>
      </c>
      <c r="E14" s="24">
        <f t="shared" si="1"/>
        <v>1658</v>
      </c>
      <c r="F14" s="24">
        <f t="shared" si="1"/>
        <v>5152</v>
      </c>
      <c r="G14" s="24">
        <f t="shared" si="1"/>
        <v>305</v>
      </c>
      <c r="H14" s="24">
        <f t="shared" si="1"/>
        <v>561</v>
      </c>
      <c r="I14" s="24">
        <f t="shared" ref="I14:J14" si="2">sum(I6:I13)</f>
        <v>1871</v>
      </c>
      <c r="J14" s="24">
        <f t="shared" si="2"/>
        <v>760</v>
      </c>
      <c r="K14" s="24">
        <f t="shared" ref="K14:R14" si="3">SUM(K6:K13)</f>
        <v>41</v>
      </c>
      <c r="L14" s="24">
        <f t="shared" si="3"/>
        <v>6</v>
      </c>
      <c r="M14" s="24">
        <f t="shared" si="3"/>
        <v>2</v>
      </c>
      <c r="N14" s="24">
        <f t="shared" si="3"/>
        <v>8</v>
      </c>
      <c r="O14" s="24">
        <f t="shared" si="3"/>
        <v>0</v>
      </c>
      <c r="P14" s="24">
        <f t="shared" si="3"/>
        <v>56</v>
      </c>
      <c r="Q14" s="25">
        <f t="shared" si="3"/>
        <v>0</v>
      </c>
      <c r="R14" s="24">
        <f t="shared" si="3"/>
        <v>0</v>
      </c>
      <c r="S14" s="2"/>
    </row>
  </sheetData>
  <mergeCells count="18">
    <mergeCell ref="G4:G5"/>
    <mergeCell ref="H4:H5"/>
    <mergeCell ref="A14:C14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53.0"/>
  </cols>
  <sheetData>
    <row r="1">
      <c r="A1" s="26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6" t="s">
        <v>42</v>
      </c>
      <c r="J2" s="2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8"/>
      <c r="B3" s="27" t="s">
        <v>1</v>
      </c>
      <c r="C3" s="29" t="s">
        <v>2</v>
      </c>
      <c r="D3" s="27"/>
      <c r="E3" s="27"/>
      <c r="F3" s="27"/>
      <c r="G3" s="27"/>
      <c r="H3" s="27"/>
      <c r="I3" s="27"/>
      <c r="J3" s="2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1" t="s">
        <v>43</v>
      </c>
      <c r="B5" s="32" t="s">
        <v>44</v>
      </c>
      <c r="C5" s="31" t="s">
        <v>45</v>
      </c>
      <c r="D5" s="31" t="s">
        <v>46</v>
      </c>
      <c r="E5" s="31" t="s">
        <v>47</v>
      </c>
      <c r="F5" s="31" t="s">
        <v>48</v>
      </c>
      <c r="G5" s="31" t="s">
        <v>49</v>
      </c>
      <c r="H5" s="33" t="s">
        <v>50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4" t="s">
        <v>51</v>
      </c>
      <c r="I6" s="34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5">
        <v>1.0</v>
      </c>
      <c r="B7" s="36">
        <v>2.0</v>
      </c>
      <c r="C7" s="36">
        <v>3.0</v>
      </c>
      <c r="D7" s="35">
        <v>4.0</v>
      </c>
      <c r="E7" s="36">
        <v>5.0</v>
      </c>
      <c r="F7" s="36">
        <v>6.0</v>
      </c>
      <c r="G7" s="35">
        <v>7.0</v>
      </c>
      <c r="H7" s="36">
        <v>8.0</v>
      </c>
      <c r="I7" s="36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/>
      <c r="B8" s="37"/>
      <c r="C8" s="38"/>
      <c r="D8" s="39"/>
      <c r="E8" s="39"/>
      <c r="F8" s="40"/>
      <c r="G8" s="40"/>
      <c r="H8" s="40"/>
      <c r="I8" s="3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41" t="s">
        <v>53</v>
      </c>
      <c r="B9" s="42"/>
      <c r="C9" s="42"/>
      <c r="D9" s="42"/>
      <c r="E9" s="42"/>
      <c r="F9" s="42"/>
      <c r="G9" s="42"/>
      <c r="H9" s="42"/>
      <c r="I9" s="4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4"/>
      <c r="I10" s="4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44"/>
      <c r="I11" s="4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44"/>
      <c r="I12" s="4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44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44"/>
      <c r="I14" s="4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44"/>
      <c r="I15" s="4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46"/>
      <c r="B16" s="47"/>
      <c r="C16" s="47"/>
      <c r="D16" s="47"/>
      <c r="E16" s="47"/>
      <c r="F16" s="47"/>
      <c r="G16" s="47"/>
      <c r="H16" s="47"/>
      <c r="I16" s="4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9"/>
      <c r="C17" s="40"/>
      <c r="D17" s="40"/>
      <c r="E17" s="40"/>
      <c r="F17" s="40"/>
      <c r="G17" s="40"/>
      <c r="H17" s="50"/>
      <c r="I17" s="5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3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3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3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3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3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</sheetData>
  <mergeCells count="11">
    <mergeCell ref="F5:F6"/>
    <mergeCell ref="G5:G6"/>
    <mergeCell ref="H5:I5"/>
    <mergeCell ref="A9:I16"/>
    <mergeCell ref="A1:I1"/>
    <mergeCell ref="A2:I2"/>
    <mergeCell ref="A5:A6"/>
    <mergeCell ref="B5:B6"/>
    <mergeCell ref="C5:C6"/>
    <mergeCell ref="D5:D6"/>
    <mergeCell ref="E5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4.5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54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7" t="s">
        <v>1</v>
      </c>
      <c r="C3" s="29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3</v>
      </c>
      <c r="B4" s="53" t="s">
        <v>56</v>
      </c>
      <c r="C4" s="54" t="s">
        <v>57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8"/>
      <c r="AA4" s="55" t="s">
        <v>58</v>
      </c>
      <c r="AB4" s="23"/>
      <c r="AC4" s="23"/>
      <c r="AD4" s="23"/>
      <c r="AE4" s="23"/>
      <c r="AF4" s="8"/>
      <c r="AG4" s="55" t="s">
        <v>59</v>
      </c>
      <c r="AH4" s="23"/>
      <c r="AI4" s="23"/>
      <c r="AJ4" s="8"/>
      <c r="AK4" s="56" t="s">
        <v>60</v>
      </c>
      <c r="AL4" s="2"/>
    </row>
    <row r="5">
      <c r="A5" s="44"/>
      <c r="B5" s="44"/>
      <c r="C5" s="57" t="s">
        <v>61</v>
      </c>
      <c r="D5" s="23"/>
      <c r="E5" s="23"/>
      <c r="F5" s="23"/>
      <c r="G5" s="23"/>
      <c r="H5" s="23"/>
      <c r="I5" s="23"/>
      <c r="J5" s="8"/>
      <c r="K5" s="58" t="s">
        <v>62</v>
      </c>
      <c r="L5" s="42"/>
      <c r="M5" s="42"/>
      <c r="N5" s="43"/>
      <c r="O5" s="59" t="s">
        <v>63</v>
      </c>
      <c r="R5" s="45"/>
      <c r="S5" s="59" t="s">
        <v>64</v>
      </c>
      <c r="V5" s="45"/>
      <c r="W5" s="60" t="s">
        <v>65</v>
      </c>
      <c r="X5" s="55" t="s">
        <v>66</v>
      </c>
      <c r="Y5" s="23"/>
      <c r="Z5" s="8"/>
      <c r="AA5" s="53" t="s">
        <v>67</v>
      </c>
      <c r="AB5" s="43"/>
      <c r="AC5" s="53" t="s">
        <v>68</v>
      </c>
      <c r="AD5" s="43"/>
      <c r="AE5" s="53" t="s">
        <v>69</v>
      </c>
      <c r="AF5" s="43"/>
      <c r="AG5" s="53" t="s">
        <v>70</v>
      </c>
      <c r="AH5" s="43"/>
      <c r="AI5" s="53" t="s">
        <v>71</v>
      </c>
      <c r="AJ5" s="43"/>
      <c r="AK5" s="61"/>
      <c r="AL5" s="2"/>
    </row>
    <row r="6">
      <c r="A6" s="44"/>
      <c r="B6" s="44"/>
      <c r="C6" s="57" t="s">
        <v>72</v>
      </c>
      <c r="D6" s="23"/>
      <c r="E6" s="23"/>
      <c r="F6" s="8"/>
      <c r="G6" s="55" t="s">
        <v>73</v>
      </c>
      <c r="H6" s="23"/>
      <c r="I6" s="23"/>
      <c r="J6" s="8"/>
      <c r="K6" s="46"/>
      <c r="L6" s="47"/>
      <c r="M6" s="47"/>
      <c r="N6" s="48"/>
      <c r="O6" s="46"/>
      <c r="P6" s="47"/>
      <c r="Q6" s="47"/>
      <c r="R6" s="48"/>
      <c r="S6" s="46"/>
      <c r="T6" s="47"/>
      <c r="U6" s="47"/>
      <c r="V6" s="48"/>
      <c r="W6" s="61"/>
      <c r="X6" s="60" t="s">
        <v>74</v>
      </c>
      <c r="Y6" s="60" t="s">
        <v>75</v>
      </c>
      <c r="Z6" s="60" t="s">
        <v>76</v>
      </c>
      <c r="AA6" s="44"/>
      <c r="AB6" s="45"/>
      <c r="AC6" s="44"/>
      <c r="AD6" s="45"/>
      <c r="AE6" s="44"/>
      <c r="AF6" s="45"/>
      <c r="AG6" s="44"/>
      <c r="AH6" s="45"/>
      <c r="AI6" s="44"/>
      <c r="AJ6" s="45"/>
      <c r="AK6" s="61"/>
      <c r="AL6" s="2"/>
    </row>
    <row r="7">
      <c r="A7" s="44"/>
      <c r="B7" s="44"/>
      <c r="C7" s="57" t="s">
        <v>77</v>
      </c>
      <c r="D7" s="8"/>
      <c r="E7" s="55" t="s">
        <v>78</v>
      </c>
      <c r="F7" s="8"/>
      <c r="G7" s="55" t="s">
        <v>77</v>
      </c>
      <c r="H7" s="8"/>
      <c r="I7" s="55" t="s">
        <v>78</v>
      </c>
      <c r="J7" s="8"/>
      <c r="K7" s="62" t="s">
        <v>77</v>
      </c>
      <c r="L7" s="48"/>
      <c r="M7" s="62" t="s">
        <v>78</v>
      </c>
      <c r="N7" s="48"/>
      <c r="O7" s="62" t="s">
        <v>77</v>
      </c>
      <c r="P7" s="48"/>
      <c r="Q7" s="62" t="s">
        <v>78</v>
      </c>
      <c r="R7" s="48"/>
      <c r="S7" s="62" t="s">
        <v>77</v>
      </c>
      <c r="T7" s="48"/>
      <c r="U7" s="62" t="s">
        <v>78</v>
      </c>
      <c r="V7" s="48"/>
      <c r="W7" s="61"/>
      <c r="X7" s="61"/>
      <c r="Y7" s="61"/>
      <c r="Z7" s="61"/>
      <c r="AA7" s="46"/>
      <c r="AB7" s="48"/>
      <c r="AC7" s="46"/>
      <c r="AD7" s="48"/>
      <c r="AE7" s="46"/>
      <c r="AF7" s="48"/>
      <c r="AG7" s="46"/>
      <c r="AH7" s="48"/>
      <c r="AI7" s="46"/>
      <c r="AJ7" s="48"/>
      <c r="AK7" s="61"/>
      <c r="AL7" s="2"/>
    </row>
    <row r="8">
      <c r="A8" s="46"/>
      <c r="B8" s="46"/>
      <c r="C8" s="63" t="s">
        <v>79</v>
      </c>
      <c r="D8" s="64" t="s">
        <v>80</v>
      </c>
      <c r="E8" s="64" t="s">
        <v>79</v>
      </c>
      <c r="F8" s="64" t="s">
        <v>80</v>
      </c>
      <c r="G8" s="64" t="s">
        <v>79</v>
      </c>
      <c r="H8" s="64" t="s">
        <v>80</v>
      </c>
      <c r="I8" s="64" t="s">
        <v>79</v>
      </c>
      <c r="J8" s="64" t="s">
        <v>80</v>
      </c>
      <c r="K8" s="65" t="s">
        <v>79</v>
      </c>
      <c r="L8" s="65" t="s">
        <v>80</v>
      </c>
      <c r="M8" s="65" t="s">
        <v>79</v>
      </c>
      <c r="N8" s="65" t="s">
        <v>80</v>
      </c>
      <c r="O8" s="65" t="s">
        <v>79</v>
      </c>
      <c r="P8" s="65" t="s">
        <v>80</v>
      </c>
      <c r="Q8" s="65" t="s">
        <v>79</v>
      </c>
      <c r="R8" s="65" t="s">
        <v>80</v>
      </c>
      <c r="S8" s="65" t="s">
        <v>79</v>
      </c>
      <c r="T8" s="65" t="s">
        <v>80</v>
      </c>
      <c r="U8" s="65" t="s">
        <v>79</v>
      </c>
      <c r="V8" s="65" t="s">
        <v>80</v>
      </c>
      <c r="W8" s="10"/>
      <c r="X8" s="10"/>
      <c r="Y8" s="10"/>
      <c r="Z8" s="10"/>
      <c r="AA8" s="64" t="s">
        <v>79</v>
      </c>
      <c r="AB8" s="64" t="s">
        <v>80</v>
      </c>
      <c r="AC8" s="64" t="s">
        <v>79</v>
      </c>
      <c r="AD8" s="64" t="s">
        <v>80</v>
      </c>
      <c r="AE8" s="64" t="s">
        <v>79</v>
      </c>
      <c r="AF8" s="64" t="s">
        <v>80</v>
      </c>
      <c r="AG8" s="64" t="s">
        <v>79</v>
      </c>
      <c r="AH8" s="64" t="s">
        <v>80</v>
      </c>
      <c r="AI8" s="64" t="s">
        <v>79</v>
      </c>
      <c r="AJ8" s="64" t="s">
        <v>80</v>
      </c>
      <c r="AK8" s="10"/>
      <c r="AL8" s="2"/>
    </row>
    <row r="9">
      <c r="A9" s="66">
        <v>1.0</v>
      </c>
      <c r="B9" s="67">
        <v>2.0</v>
      </c>
      <c r="C9" s="67">
        <v>3.0</v>
      </c>
      <c r="D9" s="67">
        <v>4.0</v>
      </c>
      <c r="E9" s="67">
        <v>5.0</v>
      </c>
      <c r="F9" s="67">
        <v>6.0</v>
      </c>
      <c r="G9" s="67">
        <v>7.0</v>
      </c>
      <c r="H9" s="67">
        <v>8.0</v>
      </c>
      <c r="I9" s="67">
        <v>9.0</v>
      </c>
      <c r="J9" s="67">
        <v>10.0</v>
      </c>
      <c r="K9" s="68">
        <v>11.0</v>
      </c>
      <c r="L9" s="68">
        <v>12.0</v>
      </c>
      <c r="M9" s="68">
        <v>13.0</v>
      </c>
      <c r="N9" s="68">
        <v>14.0</v>
      </c>
      <c r="O9" s="68">
        <v>15.0</v>
      </c>
      <c r="P9" s="68">
        <v>16.0</v>
      </c>
      <c r="Q9" s="68">
        <v>17.0</v>
      </c>
      <c r="R9" s="68">
        <v>18.0</v>
      </c>
      <c r="S9" s="68">
        <v>19.0</v>
      </c>
      <c r="T9" s="68">
        <v>20.0</v>
      </c>
      <c r="U9" s="68">
        <v>21.0</v>
      </c>
      <c r="V9" s="68">
        <v>22.0</v>
      </c>
      <c r="W9" s="68">
        <v>23.0</v>
      </c>
      <c r="X9" s="68">
        <v>24.0</v>
      </c>
      <c r="Y9" s="68">
        <v>25.0</v>
      </c>
      <c r="Z9" s="68">
        <v>26.0</v>
      </c>
      <c r="AA9" s="68">
        <v>27.0</v>
      </c>
      <c r="AB9" s="68">
        <v>28.0</v>
      </c>
      <c r="AC9" s="68">
        <v>29.0</v>
      </c>
      <c r="AD9" s="68">
        <v>30.0</v>
      </c>
      <c r="AE9" s="68">
        <v>31.0</v>
      </c>
      <c r="AF9" s="68">
        <v>32.0</v>
      </c>
      <c r="AG9" s="68">
        <v>33.0</v>
      </c>
      <c r="AH9" s="68">
        <v>34.0</v>
      </c>
      <c r="AI9" s="68">
        <v>35.0</v>
      </c>
      <c r="AJ9" s="68">
        <v>36.0</v>
      </c>
      <c r="AK9" s="68">
        <v>37.0</v>
      </c>
      <c r="AL9" s="2"/>
    </row>
    <row r="10">
      <c r="A10" s="69">
        <v>1.0</v>
      </c>
      <c r="B10" s="70" t="s">
        <v>81</v>
      </c>
      <c r="C10" s="71">
        <v>4.0</v>
      </c>
      <c r="D10" s="71">
        <v>5.0</v>
      </c>
      <c r="E10" s="71">
        <v>26.0</v>
      </c>
      <c r="F10" s="71">
        <v>22.0</v>
      </c>
      <c r="G10" s="71">
        <v>31.0</v>
      </c>
      <c r="H10" s="71">
        <v>26.0</v>
      </c>
      <c r="I10" s="71">
        <v>103.0</v>
      </c>
      <c r="J10" s="71">
        <v>81.0</v>
      </c>
      <c r="K10" s="71">
        <v>120.0</v>
      </c>
      <c r="L10" s="71">
        <v>129.0</v>
      </c>
      <c r="M10" s="71">
        <v>183.0</v>
      </c>
      <c r="N10" s="71">
        <v>156.0</v>
      </c>
      <c r="O10" s="71">
        <v>100.0</v>
      </c>
      <c r="P10" s="71">
        <v>249.0</v>
      </c>
      <c r="Q10" s="71">
        <v>155.0</v>
      </c>
      <c r="R10" s="71">
        <v>298.0</v>
      </c>
      <c r="S10" s="71">
        <v>29.0</v>
      </c>
      <c r="T10" s="71">
        <v>52.0</v>
      </c>
      <c r="U10" s="71">
        <v>111.0</v>
      </c>
      <c r="V10" s="71">
        <v>149.0</v>
      </c>
      <c r="W10" s="71">
        <v>584.0</v>
      </c>
      <c r="X10" s="71">
        <v>575.0</v>
      </c>
      <c r="Y10" s="71">
        <v>21.0</v>
      </c>
      <c r="Z10" s="71">
        <v>81.0</v>
      </c>
      <c r="AA10" s="71">
        <v>7.0</v>
      </c>
      <c r="AB10" s="71">
        <v>49.0</v>
      </c>
      <c r="AC10" s="71">
        <v>0.0</v>
      </c>
      <c r="AD10" s="71">
        <v>8.0</v>
      </c>
      <c r="AE10" s="71">
        <v>2.0</v>
      </c>
      <c r="AF10" s="71">
        <v>17.0</v>
      </c>
      <c r="AG10" s="71">
        <v>0.0</v>
      </c>
      <c r="AH10" s="71">
        <v>1.0</v>
      </c>
      <c r="AI10" s="71">
        <v>0.0</v>
      </c>
      <c r="AJ10" s="71">
        <v>0.0</v>
      </c>
      <c r="AK10" s="71">
        <v>0.0</v>
      </c>
      <c r="AL10" s="2"/>
    </row>
    <row r="11">
      <c r="A11" s="69">
        <v>2.0</v>
      </c>
      <c r="B11" s="70" t="s">
        <v>82</v>
      </c>
      <c r="C11" s="71">
        <v>4.0</v>
      </c>
      <c r="D11" s="71">
        <v>5.0</v>
      </c>
      <c r="E11" s="71">
        <v>26.0</v>
      </c>
      <c r="F11" s="71">
        <v>22.0</v>
      </c>
      <c r="G11" s="71">
        <v>31.0</v>
      </c>
      <c r="H11" s="71">
        <v>26.0</v>
      </c>
      <c r="I11" s="71">
        <v>103.0</v>
      </c>
      <c r="J11" s="71">
        <v>81.0</v>
      </c>
      <c r="K11" s="71">
        <v>120.0</v>
      </c>
      <c r="L11" s="71">
        <v>129.0</v>
      </c>
      <c r="M11" s="71">
        <v>183.0</v>
      </c>
      <c r="N11" s="71">
        <v>156.0</v>
      </c>
      <c r="O11" s="71">
        <v>100.0</v>
      </c>
      <c r="P11" s="71">
        <v>249.0</v>
      </c>
      <c r="Q11" s="71">
        <v>155.0</v>
      </c>
      <c r="R11" s="71">
        <v>298.0</v>
      </c>
      <c r="S11" s="71">
        <v>29.0</v>
      </c>
      <c r="T11" s="71">
        <v>52.0</v>
      </c>
      <c r="U11" s="71">
        <v>111.0</v>
      </c>
      <c r="V11" s="71">
        <v>149.0</v>
      </c>
      <c r="W11" s="71">
        <v>584.0</v>
      </c>
      <c r="X11" s="71">
        <v>575.0</v>
      </c>
      <c r="Y11" s="71">
        <v>21.0</v>
      </c>
      <c r="Z11" s="71">
        <v>81.0</v>
      </c>
      <c r="AA11" s="71">
        <v>7.0</v>
      </c>
      <c r="AB11" s="71">
        <v>49.0</v>
      </c>
      <c r="AC11" s="71">
        <v>0.0</v>
      </c>
      <c r="AD11" s="71">
        <v>8.0</v>
      </c>
      <c r="AE11" s="71">
        <v>2.0</v>
      </c>
      <c r="AF11" s="71">
        <v>17.0</v>
      </c>
      <c r="AG11" s="71">
        <v>0.0</v>
      </c>
      <c r="AH11" s="71">
        <v>1.0</v>
      </c>
      <c r="AI11" s="71">
        <v>0.0</v>
      </c>
      <c r="AJ11" s="71">
        <v>0.0</v>
      </c>
      <c r="AK11" s="71">
        <v>0.0</v>
      </c>
      <c r="AL11" s="2"/>
    </row>
    <row r="12">
      <c r="A12" s="69">
        <v>3.0</v>
      </c>
      <c r="B12" s="70" t="s">
        <v>83</v>
      </c>
      <c r="C12" s="71">
        <v>4.0</v>
      </c>
      <c r="D12" s="71">
        <v>5.0</v>
      </c>
      <c r="E12" s="71">
        <v>26.0</v>
      </c>
      <c r="F12" s="71">
        <v>22.0</v>
      </c>
      <c r="G12" s="71">
        <v>31.0</v>
      </c>
      <c r="H12" s="71">
        <v>26.0</v>
      </c>
      <c r="I12" s="71">
        <v>103.0</v>
      </c>
      <c r="J12" s="71">
        <v>81.0</v>
      </c>
      <c r="K12" s="71">
        <v>120.0</v>
      </c>
      <c r="L12" s="71">
        <v>129.0</v>
      </c>
      <c r="M12" s="71">
        <v>183.0</v>
      </c>
      <c r="N12" s="71">
        <v>156.0</v>
      </c>
      <c r="O12" s="71">
        <v>100.0</v>
      </c>
      <c r="P12" s="71">
        <v>249.0</v>
      </c>
      <c r="Q12" s="71">
        <v>155.0</v>
      </c>
      <c r="R12" s="71">
        <v>298.0</v>
      </c>
      <c r="S12" s="71">
        <v>29.0</v>
      </c>
      <c r="T12" s="71">
        <v>52.0</v>
      </c>
      <c r="U12" s="71">
        <v>111.0</v>
      </c>
      <c r="V12" s="71">
        <v>149.0</v>
      </c>
      <c r="W12" s="71">
        <v>584.0</v>
      </c>
      <c r="X12" s="71">
        <v>575.0</v>
      </c>
      <c r="Y12" s="71">
        <v>21.0</v>
      </c>
      <c r="Z12" s="71">
        <v>81.0</v>
      </c>
      <c r="AA12" s="71">
        <v>7.0</v>
      </c>
      <c r="AB12" s="71">
        <v>49.0</v>
      </c>
      <c r="AC12" s="71">
        <v>0.0</v>
      </c>
      <c r="AD12" s="71">
        <v>8.0</v>
      </c>
      <c r="AE12" s="71">
        <v>2.0</v>
      </c>
      <c r="AF12" s="71">
        <v>17.0</v>
      </c>
      <c r="AG12" s="71">
        <v>0.0</v>
      </c>
      <c r="AH12" s="71">
        <v>1.0</v>
      </c>
      <c r="AI12" s="71">
        <v>0.0</v>
      </c>
      <c r="AJ12" s="71">
        <v>0.0</v>
      </c>
      <c r="AK12" s="71">
        <v>0.0</v>
      </c>
      <c r="AL12" s="2"/>
    </row>
    <row r="13">
      <c r="A13" s="69">
        <v>4.0</v>
      </c>
      <c r="B13" s="70" t="s">
        <v>84</v>
      </c>
      <c r="C13" s="71">
        <v>4.0</v>
      </c>
      <c r="D13" s="71">
        <v>5.0</v>
      </c>
      <c r="E13" s="71">
        <v>26.0</v>
      </c>
      <c r="F13" s="71">
        <v>22.0</v>
      </c>
      <c r="G13" s="71">
        <v>31.0</v>
      </c>
      <c r="H13" s="71">
        <v>26.0</v>
      </c>
      <c r="I13" s="71">
        <v>103.0</v>
      </c>
      <c r="J13" s="71">
        <v>81.0</v>
      </c>
      <c r="K13" s="71">
        <v>120.0</v>
      </c>
      <c r="L13" s="71">
        <v>129.0</v>
      </c>
      <c r="M13" s="71">
        <v>183.0</v>
      </c>
      <c r="N13" s="71">
        <v>156.0</v>
      </c>
      <c r="O13" s="71">
        <v>100.0</v>
      </c>
      <c r="P13" s="71">
        <v>249.0</v>
      </c>
      <c r="Q13" s="71">
        <v>155.0</v>
      </c>
      <c r="R13" s="71">
        <v>298.0</v>
      </c>
      <c r="S13" s="71">
        <v>29.0</v>
      </c>
      <c r="T13" s="71">
        <v>52.0</v>
      </c>
      <c r="U13" s="71">
        <v>111.0</v>
      </c>
      <c r="V13" s="71">
        <v>149.0</v>
      </c>
      <c r="W13" s="71">
        <v>584.0</v>
      </c>
      <c r="X13" s="71">
        <v>575.0</v>
      </c>
      <c r="Y13" s="71">
        <v>21.0</v>
      </c>
      <c r="Z13" s="71">
        <v>81.0</v>
      </c>
      <c r="AA13" s="71">
        <v>7.0</v>
      </c>
      <c r="AB13" s="71">
        <v>49.0</v>
      </c>
      <c r="AC13" s="71">
        <v>0.0</v>
      </c>
      <c r="AD13" s="71">
        <v>8.0</v>
      </c>
      <c r="AE13" s="71">
        <v>2.0</v>
      </c>
      <c r="AF13" s="71">
        <v>17.0</v>
      </c>
      <c r="AG13" s="71">
        <v>0.0</v>
      </c>
      <c r="AH13" s="71">
        <v>1.0</v>
      </c>
      <c r="AI13" s="71">
        <v>0.0</v>
      </c>
      <c r="AJ13" s="71">
        <v>0.0</v>
      </c>
      <c r="AK13" s="71">
        <v>0.0</v>
      </c>
      <c r="AL13" s="2"/>
    </row>
    <row r="14">
      <c r="A14" s="69">
        <v>5.0</v>
      </c>
      <c r="B14" s="70" t="s">
        <v>85</v>
      </c>
      <c r="C14" s="71">
        <v>4.0</v>
      </c>
      <c r="D14" s="71">
        <v>5.0</v>
      </c>
      <c r="E14" s="71">
        <v>26.0</v>
      </c>
      <c r="F14" s="71">
        <v>22.0</v>
      </c>
      <c r="G14" s="71">
        <v>31.0</v>
      </c>
      <c r="H14" s="71">
        <v>26.0</v>
      </c>
      <c r="I14" s="71">
        <v>103.0</v>
      </c>
      <c r="J14" s="71">
        <v>81.0</v>
      </c>
      <c r="K14" s="71">
        <v>120.0</v>
      </c>
      <c r="L14" s="71">
        <v>129.0</v>
      </c>
      <c r="M14" s="71">
        <v>183.0</v>
      </c>
      <c r="N14" s="71">
        <v>156.0</v>
      </c>
      <c r="O14" s="71">
        <v>100.0</v>
      </c>
      <c r="P14" s="71">
        <v>249.0</v>
      </c>
      <c r="Q14" s="71">
        <v>155.0</v>
      </c>
      <c r="R14" s="71">
        <v>298.0</v>
      </c>
      <c r="S14" s="71">
        <v>29.0</v>
      </c>
      <c r="T14" s="71">
        <v>52.0</v>
      </c>
      <c r="U14" s="71">
        <v>111.0</v>
      </c>
      <c r="V14" s="71">
        <v>149.0</v>
      </c>
      <c r="W14" s="71">
        <v>584.0</v>
      </c>
      <c r="X14" s="71">
        <v>575.0</v>
      </c>
      <c r="Y14" s="71">
        <v>21.0</v>
      </c>
      <c r="Z14" s="71">
        <v>81.0</v>
      </c>
      <c r="AA14" s="71">
        <v>7.0</v>
      </c>
      <c r="AB14" s="71">
        <v>49.0</v>
      </c>
      <c r="AC14" s="71">
        <v>0.0</v>
      </c>
      <c r="AD14" s="71">
        <v>8.0</v>
      </c>
      <c r="AE14" s="71">
        <v>2.0</v>
      </c>
      <c r="AF14" s="71">
        <v>17.0</v>
      </c>
      <c r="AG14" s="71">
        <v>0.0</v>
      </c>
      <c r="AH14" s="71">
        <v>1.0</v>
      </c>
      <c r="AI14" s="71">
        <v>0.0</v>
      </c>
      <c r="AJ14" s="71">
        <v>0.0</v>
      </c>
      <c r="AK14" s="71">
        <v>0.0</v>
      </c>
      <c r="AL14" s="2"/>
    </row>
    <row r="15">
      <c r="A15" s="69">
        <v>6.0</v>
      </c>
      <c r="B15" s="70" t="s">
        <v>86</v>
      </c>
      <c r="C15" s="71">
        <v>4.0</v>
      </c>
      <c r="D15" s="71">
        <v>5.0</v>
      </c>
      <c r="E15" s="71">
        <v>26.0</v>
      </c>
      <c r="F15" s="71">
        <v>22.0</v>
      </c>
      <c r="G15" s="71">
        <v>31.0</v>
      </c>
      <c r="H15" s="71">
        <v>26.0</v>
      </c>
      <c r="I15" s="71">
        <v>103.0</v>
      </c>
      <c r="J15" s="71">
        <v>81.0</v>
      </c>
      <c r="K15" s="71">
        <v>120.0</v>
      </c>
      <c r="L15" s="71">
        <v>129.0</v>
      </c>
      <c r="M15" s="71">
        <v>183.0</v>
      </c>
      <c r="N15" s="71">
        <v>156.0</v>
      </c>
      <c r="O15" s="71">
        <v>100.0</v>
      </c>
      <c r="P15" s="71">
        <v>249.0</v>
      </c>
      <c r="Q15" s="71">
        <v>155.0</v>
      </c>
      <c r="R15" s="71">
        <v>298.0</v>
      </c>
      <c r="S15" s="71">
        <v>29.0</v>
      </c>
      <c r="T15" s="71">
        <v>52.0</v>
      </c>
      <c r="U15" s="71">
        <v>111.0</v>
      </c>
      <c r="V15" s="71">
        <v>149.0</v>
      </c>
      <c r="W15" s="71">
        <v>584.0</v>
      </c>
      <c r="X15" s="71">
        <v>575.0</v>
      </c>
      <c r="Y15" s="71">
        <v>21.0</v>
      </c>
      <c r="Z15" s="71">
        <v>81.0</v>
      </c>
      <c r="AA15" s="71">
        <v>7.0</v>
      </c>
      <c r="AB15" s="71">
        <v>49.0</v>
      </c>
      <c r="AC15" s="71">
        <v>0.0</v>
      </c>
      <c r="AD15" s="71">
        <v>8.0</v>
      </c>
      <c r="AE15" s="71">
        <v>2.0</v>
      </c>
      <c r="AF15" s="71">
        <v>17.0</v>
      </c>
      <c r="AG15" s="71">
        <v>0.0</v>
      </c>
      <c r="AH15" s="71">
        <v>1.0</v>
      </c>
      <c r="AI15" s="71">
        <v>0.0</v>
      </c>
      <c r="AJ15" s="71">
        <v>0.0</v>
      </c>
      <c r="AK15" s="71">
        <v>0.0</v>
      </c>
      <c r="AL15" s="2"/>
    </row>
    <row r="16">
      <c r="A16" s="69">
        <v>7.0</v>
      </c>
      <c r="B16" s="70" t="s">
        <v>87</v>
      </c>
      <c r="C16" s="71">
        <v>4.0</v>
      </c>
      <c r="D16" s="71">
        <v>5.0</v>
      </c>
      <c r="E16" s="71">
        <v>26.0</v>
      </c>
      <c r="F16" s="71">
        <v>22.0</v>
      </c>
      <c r="G16" s="71">
        <v>31.0</v>
      </c>
      <c r="H16" s="71">
        <v>26.0</v>
      </c>
      <c r="I16" s="71">
        <v>103.0</v>
      </c>
      <c r="J16" s="71">
        <v>81.0</v>
      </c>
      <c r="K16" s="71">
        <v>120.0</v>
      </c>
      <c r="L16" s="71">
        <v>129.0</v>
      </c>
      <c r="M16" s="71">
        <v>183.0</v>
      </c>
      <c r="N16" s="71">
        <v>156.0</v>
      </c>
      <c r="O16" s="71">
        <v>100.0</v>
      </c>
      <c r="P16" s="71">
        <v>249.0</v>
      </c>
      <c r="Q16" s="71">
        <v>155.0</v>
      </c>
      <c r="R16" s="71">
        <v>298.0</v>
      </c>
      <c r="S16" s="71">
        <v>29.0</v>
      </c>
      <c r="T16" s="71">
        <v>52.0</v>
      </c>
      <c r="U16" s="71">
        <v>111.0</v>
      </c>
      <c r="V16" s="71">
        <v>149.0</v>
      </c>
      <c r="W16" s="71">
        <v>584.0</v>
      </c>
      <c r="X16" s="71">
        <v>575.0</v>
      </c>
      <c r="Y16" s="71">
        <v>21.0</v>
      </c>
      <c r="Z16" s="71">
        <v>81.0</v>
      </c>
      <c r="AA16" s="71">
        <v>7.0</v>
      </c>
      <c r="AB16" s="71">
        <v>49.0</v>
      </c>
      <c r="AC16" s="71">
        <v>0.0</v>
      </c>
      <c r="AD16" s="71">
        <v>8.0</v>
      </c>
      <c r="AE16" s="71">
        <v>2.0</v>
      </c>
      <c r="AF16" s="71">
        <v>17.0</v>
      </c>
      <c r="AG16" s="71">
        <v>0.0</v>
      </c>
      <c r="AH16" s="71">
        <v>1.0</v>
      </c>
      <c r="AI16" s="71">
        <v>0.0</v>
      </c>
      <c r="AJ16" s="71">
        <v>0.0</v>
      </c>
      <c r="AK16" s="71">
        <v>0.0</v>
      </c>
      <c r="AL16" s="2"/>
    </row>
    <row r="17">
      <c r="A17" s="69">
        <v>8.0</v>
      </c>
      <c r="B17" s="70" t="s">
        <v>88</v>
      </c>
      <c r="C17" s="71">
        <v>4.0</v>
      </c>
      <c r="D17" s="71">
        <v>5.0</v>
      </c>
      <c r="E17" s="71">
        <v>26.0</v>
      </c>
      <c r="F17" s="71">
        <v>22.0</v>
      </c>
      <c r="G17" s="71">
        <v>31.0</v>
      </c>
      <c r="H17" s="71">
        <v>26.0</v>
      </c>
      <c r="I17" s="71">
        <v>103.0</v>
      </c>
      <c r="J17" s="71">
        <v>81.0</v>
      </c>
      <c r="K17" s="71">
        <v>120.0</v>
      </c>
      <c r="L17" s="71">
        <v>129.0</v>
      </c>
      <c r="M17" s="71">
        <v>183.0</v>
      </c>
      <c r="N17" s="71">
        <v>156.0</v>
      </c>
      <c r="O17" s="71">
        <v>100.0</v>
      </c>
      <c r="P17" s="71">
        <v>249.0</v>
      </c>
      <c r="Q17" s="71">
        <v>155.0</v>
      </c>
      <c r="R17" s="71">
        <v>298.0</v>
      </c>
      <c r="S17" s="71">
        <v>29.0</v>
      </c>
      <c r="T17" s="71">
        <v>52.0</v>
      </c>
      <c r="U17" s="71">
        <v>111.0</v>
      </c>
      <c r="V17" s="71">
        <v>149.0</v>
      </c>
      <c r="W17" s="71">
        <v>584.0</v>
      </c>
      <c r="X17" s="71">
        <v>575.0</v>
      </c>
      <c r="Y17" s="71">
        <v>21.0</v>
      </c>
      <c r="Z17" s="71">
        <v>81.0</v>
      </c>
      <c r="AA17" s="71">
        <v>7.0</v>
      </c>
      <c r="AB17" s="71">
        <v>49.0</v>
      </c>
      <c r="AC17" s="71">
        <v>0.0</v>
      </c>
      <c r="AD17" s="71">
        <v>8.0</v>
      </c>
      <c r="AE17" s="71">
        <v>2.0</v>
      </c>
      <c r="AF17" s="71">
        <v>17.0</v>
      </c>
      <c r="AG17" s="71">
        <v>0.0</v>
      </c>
      <c r="AH17" s="71">
        <v>1.0</v>
      </c>
      <c r="AI17" s="71">
        <v>0.0</v>
      </c>
      <c r="AJ17" s="71">
        <v>0.0</v>
      </c>
      <c r="AK17" s="71">
        <v>0.0</v>
      </c>
      <c r="AL17" s="2"/>
    </row>
    <row r="18">
      <c r="A18" s="69">
        <v>9.0</v>
      </c>
      <c r="B18" s="70" t="s">
        <v>89</v>
      </c>
      <c r="C18" s="71">
        <v>4.0</v>
      </c>
      <c r="D18" s="71">
        <v>5.0</v>
      </c>
      <c r="E18" s="71">
        <v>26.0</v>
      </c>
      <c r="F18" s="71">
        <v>22.0</v>
      </c>
      <c r="G18" s="71">
        <v>31.0</v>
      </c>
      <c r="H18" s="71">
        <v>26.0</v>
      </c>
      <c r="I18" s="71">
        <v>103.0</v>
      </c>
      <c r="J18" s="71">
        <v>81.0</v>
      </c>
      <c r="K18" s="71">
        <v>120.0</v>
      </c>
      <c r="L18" s="71">
        <v>129.0</v>
      </c>
      <c r="M18" s="71">
        <v>183.0</v>
      </c>
      <c r="N18" s="71">
        <v>156.0</v>
      </c>
      <c r="O18" s="71">
        <v>100.0</v>
      </c>
      <c r="P18" s="71">
        <v>249.0</v>
      </c>
      <c r="Q18" s="71">
        <v>155.0</v>
      </c>
      <c r="R18" s="71">
        <v>298.0</v>
      </c>
      <c r="S18" s="71">
        <v>29.0</v>
      </c>
      <c r="T18" s="71">
        <v>52.0</v>
      </c>
      <c r="U18" s="71">
        <v>111.0</v>
      </c>
      <c r="V18" s="71">
        <v>149.0</v>
      </c>
      <c r="W18" s="71">
        <v>584.0</v>
      </c>
      <c r="X18" s="71">
        <v>575.0</v>
      </c>
      <c r="Y18" s="71">
        <v>21.0</v>
      </c>
      <c r="Z18" s="71">
        <v>81.0</v>
      </c>
      <c r="AA18" s="71">
        <v>7.0</v>
      </c>
      <c r="AB18" s="71">
        <v>49.0</v>
      </c>
      <c r="AC18" s="71">
        <v>0.0</v>
      </c>
      <c r="AD18" s="71">
        <v>8.0</v>
      </c>
      <c r="AE18" s="71">
        <v>2.0</v>
      </c>
      <c r="AF18" s="71">
        <v>17.0</v>
      </c>
      <c r="AG18" s="71">
        <v>0.0</v>
      </c>
      <c r="AH18" s="71">
        <v>1.0</v>
      </c>
      <c r="AI18" s="71">
        <v>0.0</v>
      </c>
      <c r="AJ18" s="71">
        <v>0.0</v>
      </c>
      <c r="AK18" s="71">
        <v>0.0</v>
      </c>
      <c r="AL18" s="2"/>
    </row>
    <row r="19">
      <c r="A19" s="69">
        <v>10.0</v>
      </c>
      <c r="B19" s="70" t="s">
        <v>90</v>
      </c>
      <c r="C19" s="71">
        <v>4.0</v>
      </c>
      <c r="D19" s="71">
        <v>5.0</v>
      </c>
      <c r="E19" s="71">
        <v>26.0</v>
      </c>
      <c r="F19" s="71">
        <v>22.0</v>
      </c>
      <c r="G19" s="71">
        <v>31.0</v>
      </c>
      <c r="H19" s="71">
        <v>26.0</v>
      </c>
      <c r="I19" s="71">
        <v>103.0</v>
      </c>
      <c r="J19" s="71">
        <v>81.0</v>
      </c>
      <c r="K19" s="71">
        <v>120.0</v>
      </c>
      <c r="L19" s="71">
        <v>129.0</v>
      </c>
      <c r="M19" s="71">
        <v>183.0</v>
      </c>
      <c r="N19" s="71">
        <v>156.0</v>
      </c>
      <c r="O19" s="71">
        <v>100.0</v>
      </c>
      <c r="P19" s="71">
        <v>249.0</v>
      </c>
      <c r="Q19" s="71">
        <v>155.0</v>
      </c>
      <c r="R19" s="71">
        <v>298.0</v>
      </c>
      <c r="S19" s="71">
        <v>29.0</v>
      </c>
      <c r="T19" s="71">
        <v>52.0</v>
      </c>
      <c r="U19" s="71">
        <v>111.0</v>
      </c>
      <c r="V19" s="71">
        <v>149.0</v>
      </c>
      <c r="W19" s="71">
        <v>584.0</v>
      </c>
      <c r="X19" s="71">
        <v>575.0</v>
      </c>
      <c r="Y19" s="71">
        <v>21.0</v>
      </c>
      <c r="Z19" s="71">
        <v>81.0</v>
      </c>
      <c r="AA19" s="71">
        <v>7.0</v>
      </c>
      <c r="AB19" s="71">
        <v>49.0</v>
      </c>
      <c r="AC19" s="71">
        <v>0.0</v>
      </c>
      <c r="AD19" s="71">
        <v>8.0</v>
      </c>
      <c r="AE19" s="71">
        <v>2.0</v>
      </c>
      <c r="AF19" s="71">
        <v>17.0</v>
      </c>
      <c r="AG19" s="71">
        <v>0.0</v>
      </c>
      <c r="AH19" s="71">
        <v>1.0</v>
      </c>
      <c r="AI19" s="71">
        <v>0.0</v>
      </c>
      <c r="AJ19" s="71">
        <v>0.0</v>
      </c>
      <c r="AK19" s="71">
        <v>0.0</v>
      </c>
      <c r="AL19" s="2"/>
    </row>
    <row r="20">
      <c r="A20" s="69">
        <v>11.0</v>
      </c>
      <c r="B20" s="70" t="s">
        <v>91</v>
      </c>
      <c r="C20" s="71">
        <v>4.0</v>
      </c>
      <c r="D20" s="71">
        <v>5.0</v>
      </c>
      <c r="E20" s="71">
        <v>26.0</v>
      </c>
      <c r="F20" s="71">
        <v>22.0</v>
      </c>
      <c r="G20" s="71">
        <v>31.0</v>
      </c>
      <c r="H20" s="71">
        <v>26.0</v>
      </c>
      <c r="I20" s="71">
        <v>103.0</v>
      </c>
      <c r="J20" s="71">
        <v>81.0</v>
      </c>
      <c r="K20" s="71">
        <v>120.0</v>
      </c>
      <c r="L20" s="71">
        <v>129.0</v>
      </c>
      <c r="M20" s="71">
        <v>183.0</v>
      </c>
      <c r="N20" s="71">
        <v>156.0</v>
      </c>
      <c r="O20" s="71">
        <v>100.0</v>
      </c>
      <c r="P20" s="71">
        <v>249.0</v>
      </c>
      <c r="Q20" s="71">
        <v>155.0</v>
      </c>
      <c r="R20" s="71">
        <v>298.0</v>
      </c>
      <c r="S20" s="71">
        <v>29.0</v>
      </c>
      <c r="T20" s="71">
        <v>52.0</v>
      </c>
      <c r="U20" s="71">
        <v>111.0</v>
      </c>
      <c r="V20" s="71">
        <v>149.0</v>
      </c>
      <c r="W20" s="71">
        <v>584.0</v>
      </c>
      <c r="X20" s="71">
        <v>575.0</v>
      </c>
      <c r="Y20" s="71">
        <v>21.0</v>
      </c>
      <c r="Z20" s="71">
        <v>81.0</v>
      </c>
      <c r="AA20" s="71">
        <v>7.0</v>
      </c>
      <c r="AB20" s="71">
        <v>49.0</v>
      </c>
      <c r="AC20" s="71">
        <v>0.0</v>
      </c>
      <c r="AD20" s="71">
        <v>8.0</v>
      </c>
      <c r="AE20" s="71">
        <v>2.0</v>
      </c>
      <c r="AF20" s="71">
        <v>17.0</v>
      </c>
      <c r="AG20" s="71">
        <v>0.0</v>
      </c>
      <c r="AH20" s="71">
        <v>1.0</v>
      </c>
      <c r="AI20" s="71">
        <v>0.0</v>
      </c>
      <c r="AJ20" s="71">
        <v>0.0</v>
      </c>
      <c r="AK20" s="71">
        <v>0.0</v>
      </c>
      <c r="AL20" s="2"/>
    </row>
    <row r="21">
      <c r="A21" s="69">
        <v>12.0</v>
      </c>
      <c r="B21" s="70" t="s">
        <v>92</v>
      </c>
      <c r="C21" s="71">
        <v>4.0</v>
      </c>
      <c r="D21" s="71">
        <v>5.0</v>
      </c>
      <c r="E21" s="71">
        <v>26.0</v>
      </c>
      <c r="F21" s="71">
        <v>22.0</v>
      </c>
      <c r="G21" s="71">
        <v>31.0</v>
      </c>
      <c r="H21" s="71">
        <v>26.0</v>
      </c>
      <c r="I21" s="71">
        <v>103.0</v>
      </c>
      <c r="J21" s="71">
        <v>81.0</v>
      </c>
      <c r="K21" s="71">
        <v>120.0</v>
      </c>
      <c r="L21" s="71">
        <v>129.0</v>
      </c>
      <c r="M21" s="71">
        <v>183.0</v>
      </c>
      <c r="N21" s="71">
        <v>156.0</v>
      </c>
      <c r="O21" s="71">
        <v>100.0</v>
      </c>
      <c r="P21" s="71">
        <v>249.0</v>
      </c>
      <c r="Q21" s="71">
        <v>155.0</v>
      </c>
      <c r="R21" s="71">
        <v>298.0</v>
      </c>
      <c r="S21" s="71">
        <v>29.0</v>
      </c>
      <c r="T21" s="71">
        <v>52.0</v>
      </c>
      <c r="U21" s="71">
        <v>111.0</v>
      </c>
      <c r="V21" s="71">
        <v>149.0</v>
      </c>
      <c r="W21" s="71">
        <v>584.0</v>
      </c>
      <c r="X21" s="71">
        <v>575.0</v>
      </c>
      <c r="Y21" s="71">
        <v>21.0</v>
      </c>
      <c r="Z21" s="71">
        <v>81.0</v>
      </c>
      <c r="AA21" s="71">
        <v>7.0</v>
      </c>
      <c r="AB21" s="71">
        <v>49.0</v>
      </c>
      <c r="AC21" s="71">
        <v>0.0</v>
      </c>
      <c r="AD21" s="71">
        <v>8.0</v>
      </c>
      <c r="AE21" s="71">
        <v>2.0</v>
      </c>
      <c r="AF21" s="71">
        <v>17.0</v>
      </c>
      <c r="AG21" s="71">
        <v>0.0</v>
      </c>
      <c r="AH21" s="71">
        <v>1.0</v>
      </c>
      <c r="AI21" s="71">
        <v>0.0</v>
      </c>
      <c r="AJ21" s="71">
        <v>0.0</v>
      </c>
      <c r="AK21" s="71">
        <v>0.0</v>
      </c>
      <c r="AL21" s="2"/>
    </row>
    <row r="22">
      <c r="A22" s="72" t="s">
        <v>40</v>
      </c>
      <c r="B22" s="8"/>
      <c r="C22" s="73">
        <f t="shared" ref="C22:AK22" si="1">SUM(C10:C21)</f>
        <v>48</v>
      </c>
      <c r="D22" s="73">
        <f t="shared" si="1"/>
        <v>60</v>
      </c>
      <c r="E22" s="73">
        <f t="shared" si="1"/>
        <v>312</v>
      </c>
      <c r="F22" s="73">
        <f t="shared" si="1"/>
        <v>264</v>
      </c>
      <c r="G22" s="73">
        <f t="shared" si="1"/>
        <v>372</v>
      </c>
      <c r="H22" s="73">
        <f t="shared" si="1"/>
        <v>312</v>
      </c>
      <c r="I22" s="73">
        <f t="shared" si="1"/>
        <v>1236</v>
      </c>
      <c r="J22" s="73">
        <f t="shared" si="1"/>
        <v>972</v>
      </c>
      <c r="K22" s="73">
        <f t="shared" si="1"/>
        <v>1440</v>
      </c>
      <c r="L22" s="73">
        <f t="shared" si="1"/>
        <v>1548</v>
      </c>
      <c r="M22" s="73">
        <f t="shared" si="1"/>
        <v>2196</v>
      </c>
      <c r="N22" s="73">
        <f t="shared" si="1"/>
        <v>1872</v>
      </c>
      <c r="O22" s="73">
        <f t="shared" si="1"/>
        <v>1200</v>
      </c>
      <c r="P22" s="73">
        <f t="shared" si="1"/>
        <v>2988</v>
      </c>
      <c r="Q22" s="73">
        <f t="shared" si="1"/>
        <v>1860</v>
      </c>
      <c r="R22" s="73">
        <f t="shared" si="1"/>
        <v>3576</v>
      </c>
      <c r="S22" s="73">
        <f t="shared" si="1"/>
        <v>348</v>
      </c>
      <c r="T22" s="73">
        <f t="shared" si="1"/>
        <v>624</v>
      </c>
      <c r="U22" s="73">
        <f t="shared" si="1"/>
        <v>1332</v>
      </c>
      <c r="V22" s="73">
        <f t="shared" si="1"/>
        <v>1788</v>
      </c>
      <c r="W22" s="73">
        <f t="shared" si="1"/>
        <v>7008</v>
      </c>
      <c r="X22" s="73">
        <f t="shared" si="1"/>
        <v>6900</v>
      </c>
      <c r="Y22" s="73">
        <f t="shared" si="1"/>
        <v>252</v>
      </c>
      <c r="Z22" s="73">
        <f t="shared" si="1"/>
        <v>972</v>
      </c>
      <c r="AA22" s="73">
        <f t="shared" si="1"/>
        <v>84</v>
      </c>
      <c r="AB22" s="73">
        <f t="shared" si="1"/>
        <v>588</v>
      </c>
      <c r="AC22" s="73">
        <f t="shared" si="1"/>
        <v>0</v>
      </c>
      <c r="AD22" s="73">
        <f t="shared" si="1"/>
        <v>96</v>
      </c>
      <c r="AE22" s="73">
        <f t="shared" si="1"/>
        <v>24</v>
      </c>
      <c r="AF22" s="73">
        <f t="shared" si="1"/>
        <v>204</v>
      </c>
      <c r="AG22" s="73">
        <f t="shared" si="1"/>
        <v>0</v>
      </c>
      <c r="AH22" s="73">
        <f t="shared" si="1"/>
        <v>12</v>
      </c>
      <c r="AI22" s="73">
        <f t="shared" si="1"/>
        <v>0</v>
      </c>
      <c r="AJ22" s="73">
        <f t="shared" si="1"/>
        <v>0</v>
      </c>
      <c r="AK22" s="73">
        <f t="shared" si="1"/>
        <v>0</v>
      </c>
      <c r="AL22" s="2"/>
    </row>
    <row r="23">
      <c r="A23" s="7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5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6" t="s">
        <v>94</v>
      </c>
      <c r="B25" s="77" t="s">
        <v>95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6" t="s">
        <v>96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8" t="s">
        <v>97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82"/>
      <c r="AL28" s="2"/>
    </row>
    <row r="29" ht="21.0" customHeight="1">
      <c r="A29" s="83" t="s">
        <v>3</v>
      </c>
      <c r="B29" s="84" t="s">
        <v>4</v>
      </c>
      <c r="C29" s="42"/>
      <c r="D29" s="43"/>
      <c r="E29" s="54" t="s">
        <v>98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46"/>
      <c r="C30" s="47"/>
      <c r="D30" s="48"/>
      <c r="E30" s="86" t="s">
        <v>99</v>
      </c>
      <c r="F30" s="86" t="s">
        <v>100</v>
      </c>
      <c r="G30" s="86" t="s">
        <v>101</v>
      </c>
      <c r="H30" s="86" t="s">
        <v>102</v>
      </c>
      <c r="I30" s="86" t="s">
        <v>85</v>
      </c>
      <c r="J30" s="86" t="s">
        <v>103</v>
      </c>
      <c r="K30" s="86" t="s">
        <v>104</v>
      </c>
      <c r="L30" s="86" t="s">
        <v>105</v>
      </c>
      <c r="M30" s="86" t="s">
        <v>106</v>
      </c>
      <c r="N30" s="86" t="s">
        <v>107</v>
      </c>
      <c r="O30" s="86" t="s">
        <v>108</v>
      </c>
      <c r="P30" s="86" t="s">
        <v>109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8">
        <v>2.0</v>
      </c>
      <c r="C31" s="88">
        <v>3.0</v>
      </c>
      <c r="D31" s="89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 t="s">
        <v>23</v>
      </c>
      <c r="C32" s="23"/>
      <c r="D32" s="8"/>
      <c r="E32" s="71">
        <v>1.0</v>
      </c>
      <c r="F32" s="71">
        <v>1.0</v>
      </c>
      <c r="G32" s="71">
        <v>1.0</v>
      </c>
      <c r="H32" s="71">
        <v>1.0</v>
      </c>
      <c r="I32" s="71">
        <v>1.0</v>
      </c>
      <c r="J32" s="71">
        <v>1.0</v>
      </c>
      <c r="K32" s="71">
        <v>1.0</v>
      </c>
      <c r="L32" s="71">
        <v>1.0</v>
      </c>
      <c r="M32" s="71">
        <v>1.0</v>
      </c>
      <c r="N32" s="71">
        <v>1.0</v>
      </c>
      <c r="O32" s="71">
        <v>1.0</v>
      </c>
      <c r="P32" s="71">
        <v>1.0</v>
      </c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4" t="s">
        <v>28</v>
      </c>
      <c r="C33" s="47"/>
      <c r="D33" s="48"/>
      <c r="E33" s="71">
        <v>4.0</v>
      </c>
      <c r="F33" s="71">
        <v>4.0</v>
      </c>
      <c r="G33" s="71">
        <v>4.0</v>
      </c>
      <c r="H33" s="71">
        <v>4.0</v>
      </c>
      <c r="I33" s="71">
        <v>4.0</v>
      </c>
      <c r="J33" s="71">
        <v>4.0</v>
      </c>
      <c r="K33" s="71">
        <v>4.0</v>
      </c>
      <c r="L33" s="71">
        <v>4.0</v>
      </c>
      <c r="M33" s="71">
        <v>4.0</v>
      </c>
      <c r="N33" s="71">
        <v>4.0</v>
      </c>
      <c r="O33" s="71">
        <v>4.0</v>
      </c>
      <c r="P33" s="71">
        <v>4.0</v>
      </c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2" t="s">
        <v>30</v>
      </c>
      <c r="C34" s="23"/>
      <c r="D34" s="8"/>
      <c r="E34" s="71">
        <v>27.0</v>
      </c>
      <c r="F34" s="71">
        <v>27.0</v>
      </c>
      <c r="G34" s="71">
        <v>27.0</v>
      </c>
      <c r="H34" s="71">
        <v>27.0</v>
      </c>
      <c r="I34" s="71">
        <v>27.0</v>
      </c>
      <c r="J34" s="71">
        <v>27.0</v>
      </c>
      <c r="K34" s="71">
        <v>27.0</v>
      </c>
      <c r="L34" s="71">
        <v>27.0</v>
      </c>
      <c r="M34" s="71">
        <v>27.0</v>
      </c>
      <c r="N34" s="71">
        <v>27.0</v>
      </c>
      <c r="O34" s="71">
        <v>27.0</v>
      </c>
      <c r="P34" s="71">
        <v>27.0</v>
      </c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2" t="s">
        <v>32</v>
      </c>
      <c r="C35" s="23"/>
      <c r="D35" s="8"/>
      <c r="E35" s="71">
        <v>24.0</v>
      </c>
      <c r="F35" s="71">
        <v>24.0</v>
      </c>
      <c r="G35" s="71">
        <v>24.0</v>
      </c>
      <c r="H35" s="71">
        <v>24.0</v>
      </c>
      <c r="I35" s="71">
        <v>24.0</v>
      </c>
      <c r="J35" s="71">
        <v>24.0</v>
      </c>
      <c r="K35" s="71">
        <v>24.0</v>
      </c>
      <c r="L35" s="71">
        <v>24.0</v>
      </c>
      <c r="M35" s="71">
        <v>24.0</v>
      </c>
      <c r="N35" s="71">
        <v>24.0</v>
      </c>
      <c r="O35" s="71">
        <v>24.0</v>
      </c>
      <c r="P35" s="71">
        <v>24.0</v>
      </c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2" t="s">
        <v>34</v>
      </c>
      <c r="C36" s="23"/>
      <c r="D36" s="8"/>
      <c r="E36" s="71">
        <v>22.0</v>
      </c>
      <c r="F36" s="71">
        <v>22.0</v>
      </c>
      <c r="G36" s="71">
        <v>22.0</v>
      </c>
      <c r="H36" s="71">
        <v>22.0</v>
      </c>
      <c r="I36" s="71">
        <v>22.0</v>
      </c>
      <c r="J36" s="71">
        <v>22.0</v>
      </c>
      <c r="K36" s="71">
        <v>22.0</v>
      </c>
      <c r="L36" s="71">
        <v>22.0</v>
      </c>
      <c r="M36" s="71">
        <v>22.0</v>
      </c>
      <c r="N36" s="71">
        <v>22.0</v>
      </c>
      <c r="O36" s="71">
        <v>22.0</v>
      </c>
      <c r="P36" s="71">
        <v>22.0</v>
      </c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2" t="s">
        <v>36</v>
      </c>
      <c r="C37" s="23"/>
      <c r="D37" s="8"/>
      <c r="E37" s="71">
        <v>16.0</v>
      </c>
      <c r="F37" s="71">
        <v>16.0</v>
      </c>
      <c r="G37" s="71">
        <v>16.0</v>
      </c>
      <c r="H37" s="71">
        <v>16.0</v>
      </c>
      <c r="I37" s="71">
        <v>16.0</v>
      </c>
      <c r="J37" s="71">
        <v>16.0</v>
      </c>
      <c r="K37" s="71">
        <v>16.0</v>
      </c>
      <c r="L37" s="71">
        <v>16.0</v>
      </c>
      <c r="M37" s="71">
        <v>16.0</v>
      </c>
      <c r="N37" s="71">
        <v>16.0</v>
      </c>
      <c r="O37" s="71">
        <v>16.0</v>
      </c>
      <c r="P37" s="71">
        <v>16.0</v>
      </c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2" t="s">
        <v>38</v>
      </c>
      <c r="C38" s="23"/>
      <c r="D38" s="8"/>
      <c r="E38" s="71">
        <v>1.0</v>
      </c>
      <c r="F38" s="71">
        <v>1.0</v>
      </c>
      <c r="G38" s="71">
        <v>1.0</v>
      </c>
      <c r="H38" s="71">
        <v>1.0</v>
      </c>
      <c r="I38" s="71">
        <v>1.0</v>
      </c>
      <c r="J38" s="71">
        <v>1.0</v>
      </c>
      <c r="K38" s="71">
        <v>1.0</v>
      </c>
      <c r="L38" s="71">
        <v>1.0</v>
      </c>
      <c r="M38" s="71">
        <v>1.0</v>
      </c>
      <c r="N38" s="71">
        <v>1.0</v>
      </c>
      <c r="O38" s="71">
        <v>1.0</v>
      </c>
      <c r="P38" s="71">
        <v>1.0</v>
      </c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2" t="s">
        <v>39</v>
      </c>
      <c r="C39" s="23"/>
      <c r="D39" s="8"/>
      <c r="E39" s="71">
        <v>10.0</v>
      </c>
      <c r="F39" s="71">
        <v>10.0</v>
      </c>
      <c r="G39" s="71">
        <v>10.0</v>
      </c>
      <c r="H39" s="71">
        <v>10.0</v>
      </c>
      <c r="I39" s="71">
        <v>10.0</v>
      </c>
      <c r="J39" s="71">
        <v>10.0</v>
      </c>
      <c r="K39" s="71">
        <v>10.0</v>
      </c>
      <c r="L39" s="71">
        <v>10.0</v>
      </c>
      <c r="M39" s="71">
        <v>10.0</v>
      </c>
      <c r="N39" s="71">
        <v>10.0</v>
      </c>
      <c r="O39" s="71">
        <v>10.0</v>
      </c>
      <c r="P39" s="71">
        <v>10.0</v>
      </c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72" t="s">
        <v>110</v>
      </c>
      <c r="B40" s="23"/>
      <c r="C40" s="23"/>
      <c r="D40" s="23"/>
      <c r="E40" s="95">
        <v>105.0</v>
      </c>
      <c r="F40" s="95">
        <v>105.0</v>
      </c>
      <c r="G40" s="95">
        <v>105.0</v>
      </c>
      <c r="H40" s="95">
        <v>105.0</v>
      </c>
      <c r="I40" s="95">
        <v>105.0</v>
      </c>
      <c r="J40" s="95">
        <v>105.0</v>
      </c>
      <c r="K40" s="95">
        <v>105.0</v>
      </c>
      <c r="L40" s="95">
        <v>105.0</v>
      </c>
      <c r="M40" s="95">
        <v>105.0</v>
      </c>
      <c r="N40" s="95">
        <v>105.0</v>
      </c>
      <c r="O40" s="95">
        <v>105.0</v>
      </c>
      <c r="P40" s="95">
        <v>105.0</v>
      </c>
    </row>
    <row r="41">
      <c r="A41" s="96"/>
      <c r="B41" s="96"/>
    </row>
    <row r="42">
      <c r="A42" s="78" t="s">
        <v>111</v>
      </c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3" t="s">
        <v>3</v>
      </c>
      <c r="B43" s="84" t="s">
        <v>4</v>
      </c>
      <c r="C43" s="42"/>
      <c r="D43" s="42"/>
      <c r="E43" s="42"/>
      <c r="F43" s="43"/>
      <c r="G43" s="54" t="s">
        <v>112</v>
      </c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8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10"/>
      <c r="B44" s="46"/>
      <c r="C44" s="47"/>
      <c r="D44" s="47"/>
      <c r="E44" s="47"/>
      <c r="F44" s="48"/>
      <c r="G44" s="86" t="s">
        <v>99</v>
      </c>
      <c r="H44" s="86" t="s">
        <v>100</v>
      </c>
      <c r="I44" s="86" t="s">
        <v>101</v>
      </c>
      <c r="J44" s="86" t="s">
        <v>102</v>
      </c>
      <c r="K44" s="86" t="s">
        <v>85</v>
      </c>
      <c r="L44" s="86" t="s">
        <v>103</v>
      </c>
      <c r="M44" s="86" t="s">
        <v>104</v>
      </c>
      <c r="N44" s="86" t="s">
        <v>105</v>
      </c>
      <c r="O44" s="86" t="s">
        <v>106</v>
      </c>
      <c r="P44" s="86" t="s">
        <v>107</v>
      </c>
      <c r="Q44" s="86" t="s">
        <v>108</v>
      </c>
      <c r="R44" s="97" t="s">
        <v>109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87">
        <v>1.0</v>
      </c>
      <c r="B45" s="98">
        <v>2.0</v>
      </c>
      <c r="C45" s="99">
        <v>3.0</v>
      </c>
      <c r="D45" s="99">
        <v>4.0</v>
      </c>
      <c r="E45" s="99">
        <v>5.0</v>
      </c>
      <c r="F45" s="100">
        <v>6.0</v>
      </c>
      <c r="G45" s="87">
        <v>7.0</v>
      </c>
      <c r="H45" s="87">
        <v>8.0</v>
      </c>
      <c r="I45" s="87">
        <v>9.0</v>
      </c>
      <c r="J45" s="87">
        <v>10.0</v>
      </c>
      <c r="K45" s="87">
        <v>11.0</v>
      </c>
      <c r="L45" s="87">
        <v>12.0</v>
      </c>
      <c r="M45" s="87">
        <v>13.0</v>
      </c>
      <c r="N45" s="87">
        <v>14.0</v>
      </c>
      <c r="O45" s="87">
        <v>15.0</v>
      </c>
      <c r="P45" s="87">
        <v>16.0</v>
      </c>
      <c r="Q45" s="87">
        <v>17.0</v>
      </c>
      <c r="R45" s="87">
        <v>18.0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01">
        <v>1.0</v>
      </c>
      <c r="B46" s="102" t="s">
        <v>23</v>
      </c>
      <c r="C46" s="23"/>
      <c r="D46" s="23"/>
      <c r="E46" s="23"/>
      <c r="F46" s="8"/>
      <c r="G46" s="103">
        <v>25.0</v>
      </c>
      <c r="H46" s="103">
        <v>26.0</v>
      </c>
      <c r="I46" s="103">
        <v>26.0</v>
      </c>
      <c r="J46" s="103">
        <v>26.0</v>
      </c>
      <c r="K46" s="103">
        <v>26.0</v>
      </c>
      <c r="L46" s="103">
        <v>26.0</v>
      </c>
      <c r="M46" s="103">
        <v>26.0</v>
      </c>
      <c r="N46" s="103">
        <v>26.0</v>
      </c>
      <c r="O46" s="103">
        <v>26.0</v>
      </c>
      <c r="P46" s="103">
        <v>26.0</v>
      </c>
      <c r="Q46" s="103">
        <v>26.0</v>
      </c>
      <c r="R46" s="103">
        <v>26.0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101">
        <v>2.0</v>
      </c>
      <c r="B47" s="102" t="s">
        <v>28</v>
      </c>
      <c r="C47" s="23"/>
      <c r="D47" s="23"/>
      <c r="E47" s="23"/>
      <c r="F47" s="8"/>
      <c r="G47" s="103">
        <v>2.0</v>
      </c>
      <c r="H47" s="103">
        <v>2.0</v>
      </c>
      <c r="I47" s="103">
        <v>2.0</v>
      </c>
      <c r="J47" s="103">
        <v>2.0</v>
      </c>
      <c r="K47" s="103">
        <v>2.0</v>
      </c>
      <c r="L47" s="103">
        <v>2.0</v>
      </c>
      <c r="M47" s="103">
        <v>2.0</v>
      </c>
      <c r="N47" s="103">
        <v>2.0</v>
      </c>
      <c r="O47" s="103">
        <v>2.0</v>
      </c>
      <c r="P47" s="103">
        <v>2.0</v>
      </c>
      <c r="Q47" s="103">
        <v>2.0</v>
      </c>
      <c r="R47" s="103">
        <v>2.0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1">
        <v>3.0</v>
      </c>
      <c r="B48" s="102" t="s">
        <v>30</v>
      </c>
      <c r="C48" s="23"/>
      <c r="D48" s="23"/>
      <c r="E48" s="23"/>
      <c r="F48" s="8"/>
      <c r="G48" s="103">
        <v>65.0</v>
      </c>
      <c r="H48" s="103">
        <v>65.0</v>
      </c>
      <c r="I48" s="103">
        <v>66.0</v>
      </c>
      <c r="J48" s="103">
        <v>65.0</v>
      </c>
      <c r="K48" s="103">
        <v>65.0</v>
      </c>
      <c r="L48" s="103">
        <v>65.0</v>
      </c>
      <c r="M48" s="103">
        <v>65.0</v>
      </c>
      <c r="N48" s="103">
        <v>65.0</v>
      </c>
      <c r="O48" s="103">
        <v>65.0</v>
      </c>
      <c r="P48" s="103">
        <v>60.0</v>
      </c>
      <c r="Q48" s="103">
        <v>65.0</v>
      </c>
      <c r="R48" s="103">
        <v>65.0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1">
        <v>4.0</v>
      </c>
      <c r="B49" s="102" t="s">
        <v>32</v>
      </c>
      <c r="C49" s="23"/>
      <c r="D49" s="23"/>
      <c r="E49" s="23"/>
      <c r="F49" s="8"/>
      <c r="G49" s="103">
        <v>21.0</v>
      </c>
      <c r="H49" s="103">
        <v>21.0</v>
      </c>
      <c r="I49" s="103">
        <v>21.0</v>
      </c>
      <c r="J49" s="103">
        <v>21.0</v>
      </c>
      <c r="K49" s="103">
        <v>21.0</v>
      </c>
      <c r="L49" s="103">
        <v>21.0</v>
      </c>
      <c r="M49" s="103">
        <v>21.0</v>
      </c>
      <c r="N49" s="103">
        <v>21.0</v>
      </c>
      <c r="O49" s="103">
        <v>21.0</v>
      </c>
      <c r="P49" s="103">
        <v>21.0</v>
      </c>
      <c r="Q49" s="103">
        <v>21.0</v>
      </c>
      <c r="R49" s="103">
        <v>21.0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1">
        <v>5.0</v>
      </c>
      <c r="B50" s="102" t="s">
        <v>34</v>
      </c>
      <c r="C50" s="23"/>
      <c r="D50" s="23"/>
      <c r="E50" s="23"/>
      <c r="F50" s="8"/>
      <c r="G50" s="103">
        <v>46.0</v>
      </c>
      <c r="H50" s="103">
        <v>44.0</v>
      </c>
      <c r="I50" s="103">
        <v>46.0</v>
      </c>
      <c r="J50" s="103">
        <v>46.0</v>
      </c>
      <c r="K50" s="103">
        <v>46.0</v>
      </c>
      <c r="L50" s="103">
        <v>46.0</v>
      </c>
      <c r="M50" s="103">
        <v>46.0</v>
      </c>
      <c r="N50" s="103">
        <v>44.0</v>
      </c>
      <c r="O50" s="103">
        <v>46.0</v>
      </c>
      <c r="P50" s="103">
        <v>46.0</v>
      </c>
      <c r="Q50" s="103">
        <v>46.0</v>
      </c>
      <c r="R50" s="103">
        <v>46.0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1">
        <v>6.0</v>
      </c>
      <c r="B51" s="102" t="s">
        <v>36</v>
      </c>
      <c r="C51" s="23"/>
      <c r="D51" s="23"/>
      <c r="E51" s="23"/>
      <c r="F51" s="8"/>
      <c r="G51" s="103">
        <v>8.0</v>
      </c>
      <c r="H51" s="103">
        <v>8.0</v>
      </c>
      <c r="I51" s="103">
        <v>8.0</v>
      </c>
      <c r="J51" s="103">
        <v>8.0</v>
      </c>
      <c r="K51" s="103">
        <v>8.0</v>
      </c>
      <c r="L51" s="103">
        <v>8.0</v>
      </c>
      <c r="M51" s="103">
        <v>8.0</v>
      </c>
      <c r="N51" s="103">
        <v>8.0</v>
      </c>
      <c r="O51" s="103">
        <v>8.0</v>
      </c>
      <c r="P51" s="103">
        <v>8.0</v>
      </c>
      <c r="Q51" s="103">
        <v>8.0</v>
      </c>
      <c r="R51" s="103">
        <v>8.0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1">
        <v>7.0</v>
      </c>
      <c r="B52" s="102" t="s">
        <v>38</v>
      </c>
      <c r="C52" s="23"/>
      <c r="D52" s="23"/>
      <c r="E52" s="23"/>
      <c r="F52" s="8"/>
      <c r="G52" s="103">
        <v>17.0</v>
      </c>
      <c r="H52" s="103">
        <v>17.0</v>
      </c>
      <c r="I52" s="103">
        <v>17.0</v>
      </c>
      <c r="J52" s="103">
        <v>15.0</v>
      </c>
      <c r="K52" s="103">
        <v>17.0</v>
      </c>
      <c r="L52" s="103">
        <v>17.0</v>
      </c>
      <c r="M52" s="103">
        <v>17.0</v>
      </c>
      <c r="N52" s="103">
        <v>17.0</v>
      </c>
      <c r="O52" s="103">
        <v>17.0</v>
      </c>
      <c r="P52" s="103">
        <v>17.0</v>
      </c>
      <c r="Q52" s="103">
        <v>15.0</v>
      </c>
      <c r="R52" s="103">
        <v>17.0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1">
        <v>8.0</v>
      </c>
      <c r="B53" s="102" t="s">
        <v>39</v>
      </c>
      <c r="C53" s="23"/>
      <c r="D53" s="23"/>
      <c r="E53" s="23"/>
      <c r="F53" s="8"/>
      <c r="G53" s="104">
        <v>4.0</v>
      </c>
      <c r="H53" s="104">
        <v>4.0</v>
      </c>
      <c r="I53" s="104">
        <v>4.0</v>
      </c>
      <c r="J53" s="104">
        <v>4.0</v>
      </c>
      <c r="K53" s="104">
        <v>4.0</v>
      </c>
      <c r="L53" s="104">
        <v>4.0</v>
      </c>
      <c r="M53" s="104">
        <v>4.0</v>
      </c>
      <c r="N53" s="104">
        <v>4.0</v>
      </c>
      <c r="O53" s="104">
        <v>4.0</v>
      </c>
      <c r="P53" s="104">
        <v>4.0</v>
      </c>
      <c r="Q53" s="104">
        <v>4.0</v>
      </c>
      <c r="R53" s="104">
        <v>4.0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72" t="s">
        <v>110</v>
      </c>
      <c r="B54" s="23"/>
      <c r="C54" s="23"/>
      <c r="D54" s="23"/>
      <c r="E54" s="23"/>
      <c r="F54" s="8"/>
      <c r="G54" s="105">
        <f t="shared" ref="G54:R54" si="2">SUM(G46:G52)</f>
        <v>184</v>
      </c>
      <c r="H54" s="105">
        <f t="shared" si="2"/>
        <v>183</v>
      </c>
      <c r="I54" s="105">
        <f t="shared" si="2"/>
        <v>186</v>
      </c>
      <c r="J54" s="105">
        <f t="shared" si="2"/>
        <v>183</v>
      </c>
      <c r="K54" s="105">
        <f t="shared" si="2"/>
        <v>185</v>
      </c>
      <c r="L54" s="105">
        <f t="shared" si="2"/>
        <v>185</v>
      </c>
      <c r="M54" s="105">
        <f t="shared" si="2"/>
        <v>185</v>
      </c>
      <c r="N54" s="105">
        <f t="shared" si="2"/>
        <v>183</v>
      </c>
      <c r="O54" s="105">
        <f t="shared" si="2"/>
        <v>185</v>
      </c>
      <c r="P54" s="105">
        <f t="shared" si="2"/>
        <v>180</v>
      </c>
      <c r="Q54" s="105">
        <f t="shared" si="2"/>
        <v>183</v>
      </c>
      <c r="R54" s="105">
        <f t="shared" si="2"/>
        <v>185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78" t="s">
        <v>113</v>
      </c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>
      <c r="A57" s="83" t="s">
        <v>3</v>
      </c>
      <c r="B57" s="84" t="s">
        <v>4</v>
      </c>
      <c r="C57" s="42"/>
      <c r="D57" s="42"/>
      <c r="E57" s="42"/>
      <c r="F57" s="43"/>
      <c r="G57" s="54" t="s">
        <v>114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0"/>
      <c r="B58" s="46"/>
      <c r="C58" s="47"/>
      <c r="D58" s="47"/>
      <c r="E58" s="47"/>
      <c r="F58" s="48"/>
      <c r="G58" s="86" t="s">
        <v>99</v>
      </c>
      <c r="H58" s="86" t="s">
        <v>100</v>
      </c>
      <c r="I58" s="86" t="s">
        <v>101</v>
      </c>
      <c r="J58" s="86" t="s">
        <v>102</v>
      </c>
      <c r="K58" s="86" t="s">
        <v>85</v>
      </c>
      <c r="L58" s="86" t="s">
        <v>103</v>
      </c>
      <c r="M58" s="86" t="s">
        <v>104</v>
      </c>
      <c r="N58" s="86" t="s">
        <v>105</v>
      </c>
      <c r="O58" s="86" t="s">
        <v>106</v>
      </c>
      <c r="P58" s="86" t="s">
        <v>107</v>
      </c>
      <c r="Q58" s="86" t="s">
        <v>108</v>
      </c>
      <c r="R58" s="97" t="s">
        <v>109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87">
        <v>1.0</v>
      </c>
      <c r="B59" s="107">
        <v>2.0</v>
      </c>
      <c r="C59" s="107">
        <v>3.0</v>
      </c>
      <c r="D59" s="107">
        <v>4.0</v>
      </c>
      <c r="E59" s="107">
        <v>5.0</v>
      </c>
      <c r="F59" s="107">
        <v>6.0</v>
      </c>
      <c r="G59" s="87">
        <v>7.0</v>
      </c>
      <c r="H59" s="87">
        <v>8.0</v>
      </c>
      <c r="I59" s="87">
        <v>9.0</v>
      </c>
      <c r="J59" s="87">
        <v>10.0</v>
      </c>
      <c r="K59" s="87">
        <v>11.0</v>
      </c>
      <c r="L59" s="87">
        <v>12.0</v>
      </c>
      <c r="M59" s="87">
        <v>13.0</v>
      </c>
      <c r="N59" s="87">
        <v>14.0</v>
      </c>
      <c r="O59" s="87">
        <v>15.0</v>
      </c>
      <c r="P59" s="87">
        <v>16.0</v>
      </c>
      <c r="Q59" s="87">
        <v>17.0</v>
      </c>
      <c r="R59" s="87">
        <v>18.0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01">
        <v>1.0</v>
      </c>
      <c r="B60" s="102" t="s">
        <v>23</v>
      </c>
      <c r="C60" s="23"/>
      <c r="D60" s="23"/>
      <c r="E60" s="23"/>
      <c r="F60" s="8"/>
      <c r="G60" s="103">
        <v>48.0</v>
      </c>
      <c r="H60" s="103">
        <v>48.0</v>
      </c>
      <c r="I60" s="103">
        <v>45.0</v>
      </c>
      <c r="J60" s="103">
        <v>48.0</v>
      </c>
      <c r="K60" s="103">
        <v>48.0</v>
      </c>
      <c r="L60" s="103">
        <v>48.0</v>
      </c>
      <c r="M60" s="103">
        <v>48.0</v>
      </c>
      <c r="N60" s="103">
        <v>48.0</v>
      </c>
      <c r="O60" s="103">
        <v>48.0</v>
      </c>
      <c r="P60" s="103">
        <v>48.0</v>
      </c>
      <c r="Q60" s="103">
        <v>48.0</v>
      </c>
      <c r="R60" s="103">
        <v>48.0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1">
        <v>2.0</v>
      </c>
      <c r="B61" s="102" t="s">
        <v>28</v>
      </c>
      <c r="C61" s="23"/>
      <c r="D61" s="23"/>
      <c r="E61" s="23"/>
      <c r="F61" s="8"/>
      <c r="G61" s="103">
        <v>22.0</v>
      </c>
      <c r="H61" s="103">
        <v>22.0</v>
      </c>
      <c r="I61" s="103">
        <v>22.0</v>
      </c>
      <c r="J61" s="103">
        <v>22.0</v>
      </c>
      <c r="K61" s="103">
        <v>22.0</v>
      </c>
      <c r="L61" s="103">
        <v>22.0</v>
      </c>
      <c r="M61" s="103">
        <v>22.0</v>
      </c>
      <c r="N61" s="103">
        <v>22.0</v>
      </c>
      <c r="O61" s="103">
        <v>22.0</v>
      </c>
      <c r="P61" s="103">
        <v>22.0</v>
      </c>
      <c r="Q61" s="103">
        <v>22.0</v>
      </c>
      <c r="R61" s="103">
        <v>22.0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1">
        <v>3.0</v>
      </c>
      <c r="B62" s="102" t="s">
        <v>30</v>
      </c>
      <c r="C62" s="23"/>
      <c r="D62" s="23"/>
      <c r="E62" s="23"/>
      <c r="F62" s="8"/>
      <c r="G62" s="103">
        <v>12.0</v>
      </c>
      <c r="H62" s="103">
        <v>12.0</v>
      </c>
      <c r="I62" s="103">
        <v>12.0</v>
      </c>
      <c r="J62" s="103">
        <v>12.0</v>
      </c>
      <c r="K62" s="103">
        <v>12.0</v>
      </c>
      <c r="L62" s="103">
        <v>12.0</v>
      </c>
      <c r="M62" s="103">
        <v>12.0</v>
      </c>
      <c r="N62" s="103">
        <v>12.0</v>
      </c>
      <c r="O62" s="103">
        <v>12.0</v>
      </c>
      <c r="P62" s="103">
        <v>12.0</v>
      </c>
      <c r="Q62" s="103">
        <v>11.0</v>
      </c>
      <c r="R62" s="103">
        <v>12.0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1">
        <v>4.0</v>
      </c>
      <c r="B63" s="102" t="s">
        <v>32</v>
      </c>
      <c r="C63" s="23"/>
      <c r="D63" s="23"/>
      <c r="E63" s="23"/>
      <c r="F63" s="8"/>
      <c r="G63" s="103">
        <v>197.0</v>
      </c>
      <c r="H63" s="103">
        <v>195.0</v>
      </c>
      <c r="I63" s="103">
        <v>197.0</v>
      </c>
      <c r="J63" s="103">
        <v>197.0</v>
      </c>
      <c r="K63" s="103">
        <v>192.0</v>
      </c>
      <c r="L63" s="103">
        <v>197.0</v>
      </c>
      <c r="M63" s="103">
        <v>197.0</v>
      </c>
      <c r="N63" s="103">
        <v>190.0</v>
      </c>
      <c r="O63" s="103">
        <v>197.0</v>
      </c>
      <c r="P63" s="103">
        <v>197.0</v>
      </c>
      <c r="Q63" s="103">
        <v>197.0</v>
      </c>
      <c r="R63" s="103">
        <v>197.0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1">
        <v>5.0</v>
      </c>
      <c r="B64" s="102" t="s">
        <v>34</v>
      </c>
      <c r="C64" s="23"/>
      <c r="D64" s="23"/>
      <c r="E64" s="23"/>
      <c r="F64" s="8"/>
      <c r="G64" s="103">
        <v>87.0</v>
      </c>
      <c r="H64" s="103">
        <v>87.0</v>
      </c>
      <c r="I64" s="103">
        <v>87.0</v>
      </c>
      <c r="J64" s="103">
        <v>87.0</v>
      </c>
      <c r="K64" s="103">
        <v>87.0</v>
      </c>
      <c r="L64" s="103">
        <v>87.0</v>
      </c>
      <c r="M64" s="103">
        <v>87.0</v>
      </c>
      <c r="N64" s="103">
        <v>87.0</v>
      </c>
      <c r="O64" s="103">
        <v>87.0</v>
      </c>
      <c r="P64" s="103">
        <v>85.0</v>
      </c>
      <c r="Q64" s="103">
        <v>87.0</v>
      </c>
      <c r="R64" s="103">
        <v>87.0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1">
        <v>6.0</v>
      </c>
      <c r="B65" s="102" t="s">
        <v>36</v>
      </c>
      <c r="C65" s="23"/>
      <c r="D65" s="23"/>
      <c r="E65" s="23"/>
      <c r="F65" s="8"/>
      <c r="G65" s="103">
        <v>5.0</v>
      </c>
      <c r="H65" s="103">
        <v>5.0</v>
      </c>
      <c r="I65" s="103">
        <v>5.0</v>
      </c>
      <c r="J65" s="103">
        <v>5.0</v>
      </c>
      <c r="K65" s="103">
        <v>5.0</v>
      </c>
      <c r="L65" s="103">
        <v>5.0</v>
      </c>
      <c r="M65" s="103">
        <v>5.0</v>
      </c>
      <c r="N65" s="103">
        <v>5.0</v>
      </c>
      <c r="O65" s="103">
        <v>5.0</v>
      </c>
      <c r="P65" s="103">
        <v>5.0</v>
      </c>
      <c r="Q65" s="103">
        <v>5.0</v>
      </c>
      <c r="R65" s="103">
        <v>5.0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1">
        <v>7.0</v>
      </c>
      <c r="B66" s="102" t="s">
        <v>38</v>
      </c>
      <c r="C66" s="23"/>
      <c r="D66" s="23"/>
      <c r="E66" s="23"/>
      <c r="F66" s="8"/>
      <c r="G66" s="103">
        <v>36.0</v>
      </c>
      <c r="H66" s="103">
        <v>36.0</v>
      </c>
      <c r="I66" s="103">
        <v>36.0</v>
      </c>
      <c r="J66" s="103">
        <v>36.0</v>
      </c>
      <c r="K66" s="103">
        <v>36.0</v>
      </c>
      <c r="L66" s="103">
        <v>36.0</v>
      </c>
      <c r="M66" s="103">
        <v>35.0</v>
      </c>
      <c r="N66" s="103">
        <v>36.0</v>
      </c>
      <c r="O66" s="103">
        <v>36.0</v>
      </c>
      <c r="P66" s="103">
        <v>36.0</v>
      </c>
      <c r="Q66" s="103">
        <v>36.0</v>
      </c>
      <c r="R66" s="103">
        <v>36.0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1">
        <v>8.0</v>
      </c>
      <c r="B67" s="102" t="s">
        <v>39</v>
      </c>
      <c r="C67" s="23"/>
      <c r="D67" s="23"/>
      <c r="E67" s="23"/>
      <c r="F67" s="8"/>
      <c r="G67" s="104">
        <v>95.0</v>
      </c>
      <c r="H67" s="104">
        <v>96.0</v>
      </c>
      <c r="I67" s="104">
        <v>96.0</v>
      </c>
      <c r="J67" s="104">
        <v>96.0</v>
      </c>
      <c r="K67" s="104">
        <v>96.0</v>
      </c>
      <c r="L67" s="104">
        <v>96.0</v>
      </c>
      <c r="M67" s="104">
        <v>96.0</v>
      </c>
      <c r="N67" s="104">
        <v>96.0</v>
      </c>
      <c r="O67" s="104">
        <v>95.0</v>
      </c>
      <c r="P67" s="104">
        <v>96.0</v>
      </c>
      <c r="Q67" s="104">
        <v>96.0</v>
      </c>
      <c r="R67" s="104">
        <v>96.0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72" t="s">
        <v>110</v>
      </c>
      <c r="B68" s="23"/>
      <c r="C68" s="23"/>
      <c r="D68" s="23"/>
      <c r="E68" s="23"/>
      <c r="F68" s="8"/>
      <c r="G68" s="105">
        <f t="shared" ref="G68:R68" si="3">SUM(G60:G67)</f>
        <v>502</v>
      </c>
      <c r="H68" s="105">
        <f t="shared" si="3"/>
        <v>501</v>
      </c>
      <c r="I68" s="105">
        <f t="shared" si="3"/>
        <v>500</v>
      </c>
      <c r="J68" s="105">
        <f t="shared" si="3"/>
        <v>503</v>
      </c>
      <c r="K68" s="105">
        <f t="shared" si="3"/>
        <v>498</v>
      </c>
      <c r="L68" s="105">
        <f t="shared" si="3"/>
        <v>503</v>
      </c>
      <c r="M68" s="105">
        <f t="shared" si="3"/>
        <v>502</v>
      </c>
      <c r="N68" s="105">
        <f t="shared" si="3"/>
        <v>496</v>
      </c>
      <c r="O68" s="105">
        <f t="shared" si="3"/>
        <v>502</v>
      </c>
      <c r="P68" s="105">
        <f t="shared" si="3"/>
        <v>501</v>
      </c>
      <c r="Q68" s="105">
        <f t="shared" si="3"/>
        <v>502</v>
      </c>
      <c r="R68" s="105">
        <f t="shared" si="3"/>
        <v>503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78" t="s">
        <v>115</v>
      </c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>
      <c r="A71" s="83" t="s">
        <v>3</v>
      </c>
      <c r="B71" s="84" t="s">
        <v>4</v>
      </c>
      <c r="C71" s="42"/>
      <c r="D71" s="42"/>
      <c r="E71" s="42"/>
      <c r="F71" s="43"/>
      <c r="G71" s="54" t="s">
        <v>116</v>
      </c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8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"/>
      <c r="B72" s="46"/>
      <c r="C72" s="47"/>
      <c r="D72" s="47"/>
      <c r="E72" s="47"/>
      <c r="F72" s="48"/>
      <c r="G72" s="86" t="s">
        <v>99</v>
      </c>
      <c r="H72" s="86" t="s">
        <v>100</v>
      </c>
      <c r="I72" s="86" t="s">
        <v>101</v>
      </c>
      <c r="J72" s="86" t="s">
        <v>102</v>
      </c>
      <c r="K72" s="86" t="s">
        <v>85</v>
      </c>
      <c r="L72" s="86" t="s">
        <v>103</v>
      </c>
      <c r="M72" s="86" t="s">
        <v>104</v>
      </c>
      <c r="N72" s="86" t="s">
        <v>105</v>
      </c>
      <c r="O72" s="86" t="s">
        <v>106</v>
      </c>
      <c r="P72" s="86" t="s">
        <v>107</v>
      </c>
      <c r="Q72" s="86" t="s">
        <v>108</v>
      </c>
      <c r="R72" s="108" t="s">
        <v>109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87">
        <v>1.0</v>
      </c>
      <c r="B73" s="107">
        <v>2.0</v>
      </c>
      <c r="C73" s="107">
        <v>3.0</v>
      </c>
      <c r="D73" s="107">
        <v>4.0</v>
      </c>
      <c r="E73" s="107">
        <v>5.0</v>
      </c>
      <c r="F73" s="107">
        <v>6.0</v>
      </c>
      <c r="G73" s="87">
        <v>7.0</v>
      </c>
      <c r="H73" s="87">
        <v>8.0</v>
      </c>
      <c r="I73" s="87">
        <v>9.0</v>
      </c>
      <c r="J73" s="87">
        <v>10.0</v>
      </c>
      <c r="K73" s="87">
        <v>11.0</v>
      </c>
      <c r="L73" s="87">
        <v>12.0</v>
      </c>
      <c r="M73" s="87">
        <v>13.0</v>
      </c>
      <c r="N73" s="87">
        <v>14.0</v>
      </c>
      <c r="O73" s="87">
        <v>15.0</v>
      </c>
      <c r="P73" s="87">
        <v>16.0</v>
      </c>
      <c r="Q73" s="87">
        <v>17.0</v>
      </c>
      <c r="R73" s="87">
        <v>18.0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1">
        <v>1.0</v>
      </c>
      <c r="B74" s="102" t="s">
        <v>23</v>
      </c>
      <c r="C74" s="23"/>
      <c r="D74" s="23"/>
      <c r="E74" s="23"/>
      <c r="F74" s="8"/>
      <c r="G74" s="103">
        <v>107.0</v>
      </c>
      <c r="H74" s="103">
        <v>107.0</v>
      </c>
      <c r="I74" s="103">
        <v>107.0</v>
      </c>
      <c r="J74" s="103">
        <v>107.0</v>
      </c>
      <c r="K74" s="103">
        <v>107.0</v>
      </c>
      <c r="L74" s="103">
        <v>107.0</v>
      </c>
      <c r="M74" s="103">
        <v>107.0</v>
      </c>
      <c r="N74" s="103">
        <v>107.0</v>
      </c>
      <c r="O74" s="103">
        <v>107.0</v>
      </c>
      <c r="P74" s="103">
        <v>107.0</v>
      </c>
      <c r="Q74" s="103">
        <v>107.0</v>
      </c>
      <c r="R74" s="103">
        <v>107.0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1">
        <v>2.0</v>
      </c>
      <c r="B75" s="102" t="s">
        <v>28</v>
      </c>
      <c r="C75" s="23"/>
      <c r="D75" s="23"/>
      <c r="E75" s="23"/>
      <c r="F75" s="8"/>
      <c r="G75" s="103">
        <v>125.0</v>
      </c>
      <c r="H75" s="103">
        <v>125.0</v>
      </c>
      <c r="I75" s="103">
        <v>125.0</v>
      </c>
      <c r="J75" s="103">
        <v>125.0</v>
      </c>
      <c r="K75" s="103">
        <v>125.0</v>
      </c>
      <c r="L75" s="103">
        <v>125.0</v>
      </c>
      <c r="M75" s="103">
        <v>125.0</v>
      </c>
      <c r="N75" s="103">
        <v>125.0</v>
      </c>
      <c r="O75" s="103">
        <v>125.0</v>
      </c>
      <c r="P75" s="103">
        <v>125.0</v>
      </c>
      <c r="Q75" s="103">
        <v>120.0</v>
      </c>
      <c r="R75" s="103">
        <v>125.0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1">
        <v>3.0</v>
      </c>
      <c r="B76" s="102" t="s">
        <v>30</v>
      </c>
      <c r="C76" s="23"/>
      <c r="D76" s="23"/>
      <c r="E76" s="23"/>
      <c r="F76" s="8"/>
      <c r="G76" s="103">
        <v>55.0</v>
      </c>
      <c r="H76" s="103">
        <v>56.0</v>
      </c>
      <c r="I76" s="103">
        <v>56.0</v>
      </c>
      <c r="J76" s="103">
        <v>56.0</v>
      </c>
      <c r="K76" s="103">
        <v>56.0</v>
      </c>
      <c r="L76" s="103">
        <v>56.0</v>
      </c>
      <c r="M76" s="103">
        <v>56.0</v>
      </c>
      <c r="N76" s="103">
        <v>56.0</v>
      </c>
      <c r="O76" s="103">
        <v>56.0</v>
      </c>
      <c r="P76" s="103">
        <v>56.0</v>
      </c>
      <c r="Q76" s="103">
        <v>56.0</v>
      </c>
      <c r="R76" s="103">
        <v>56.0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1">
        <v>4.0</v>
      </c>
      <c r="B77" s="102" t="s">
        <v>32</v>
      </c>
      <c r="C77" s="23"/>
      <c r="D77" s="23"/>
      <c r="E77" s="23"/>
      <c r="F77" s="8"/>
      <c r="G77" s="103">
        <v>128.0</v>
      </c>
      <c r="H77" s="103">
        <v>128.0</v>
      </c>
      <c r="I77" s="103">
        <v>127.0</v>
      </c>
      <c r="J77" s="103">
        <v>128.0</v>
      </c>
      <c r="K77" s="103">
        <v>128.0</v>
      </c>
      <c r="L77" s="103">
        <v>125.0</v>
      </c>
      <c r="M77" s="103">
        <v>128.0</v>
      </c>
      <c r="N77" s="103">
        <v>120.0</v>
      </c>
      <c r="O77" s="103">
        <v>128.0</v>
      </c>
      <c r="P77" s="103">
        <v>128.0</v>
      </c>
      <c r="Q77" s="103">
        <v>128.0</v>
      </c>
      <c r="R77" s="103">
        <v>128.0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1">
        <v>5.0</v>
      </c>
      <c r="B78" s="102" t="s">
        <v>34</v>
      </c>
      <c r="C78" s="23"/>
      <c r="D78" s="23"/>
      <c r="E78" s="23"/>
      <c r="F78" s="8"/>
      <c r="G78" s="103">
        <v>57.0</v>
      </c>
      <c r="H78" s="103">
        <v>6.0</v>
      </c>
      <c r="I78" s="103">
        <v>57.0</v>
      </c>
      <c r="J78" s="103">
        <v>57.0</v>
      </c>
      <c r="K78" s="103">
        <v>57.0</v>
      </c>
      <c r="L78" s="103">
        <v>57.0</v>
      </c>
      <c r="M78" s="103">
        <v>57.0</v>
      </c>
      <c r="N78" s="103">
        <v>57.0</v>
      </c>
      <c r="O78" s="103">
        <v>57.0</v>
      </c>
      <c r="P78" s="103">
        <v>57.0</v>
      </c>
      <c r="Q78" s="103">
        <v>57.0</v>
      </c>
      <c r="R78" s="103">
        <v>57.0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1">
        <v>6.0</v>
      </c>
      <c r="B79" s="102" t="s">
        <v>36</v>
      </c>
      <c r="C79" s="23"/>
      <c r="D79" s="23"/>
      <c r="E79" s="23"/>
      <c r="F79" s="8"/>
      <c r="G79" s="103">
        <v>157.0</v>
      </c>
      <c r="H79" s="103">
        <v>156.0</v>
      </c>
      <c r="I79" s="103">
        <v>157.0</v>
      </c>
      <c r="J79" s="103">
        <v>154.0</v>
      </c>
      <c r="K79" s="103">
        <v>157.0</v>
      </c>
      <c r="L79" s="103">
        <v>157.0</v>
      </c>
      <c r="M79" s="103">
        <v>157.0</v>
      </c>
      <c r="N79" s="103">
        <v>157.0</v>
      </c>
      <c r="O79" s="103">
        <v>157.0</v>
      </c>
      <c r="P79" s="103">
        <v>157.0</v>
      </c>
      <c r="Q79" s="103">
        <v>157.0</v>
      </c>
      <c r="R79" s="103">
        <v>157.0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1">
        <v>7.0</v>
      </c>
      <c r="B80" s="102" t="s">
        <v>38</v>
      </c>
      <c r="C80" s="23"/>
      <c r="D80" s="23"/>
      <c r="E80" s="23"/>
      <c r="F80" s="8"/>
      <c r="G80" s="103">
        <v>87.0</v>
      </c>
      <c r="H80" s="103">
        <v>87.0</v>
      </c>
      <c r="I80" s="103">
        <v>87.0</v>
      </c>
      <c r="J80" s="103">
        <v>87.0</v>
      </c>
      <c r="K80" s="103">
        <v>87.0</v>
      </c>
      <c r="L80" s="103">
        <v>87.0</v>
      </c>
      <c r="M80" s="103">
        <v>87.0</v>
      </c>
      <c r="N80" s="103">
        <v>87.0</v>
      </c>
      <c r="O80" s="103">
        <v>87.0</v>
      </c>
      <c r="P80" s="103">
        <v>78.0</v>
      </c>
      <c r="Q80" s="103">
        <v>87.0</v>
      </c>
      <c r="R80" s="103">
        <v>87.0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1">
        <v>8.0</v>
      </c>
      <c r="B81" s="102" t="s">
        <v>39</v>
      </c>
      <c r="C81" s="23"/>
      <c r="D81" s="23"/>
      <c r="E81" s="23"/>
      <c r="F81" s="8"/>
      <c r="G81" s="104">
        <v>168.0</v>
      </c>
      <c r="H81" s="104">
        <v>168.0</v>
      </c>
      <c r="I81" s="104">
        <v>168.0</v>
      </c>
      <c r="J81" s="104">
        <v>168.0</v>
      </c>
      <c r="K81" s="104">
        <v>159.0</v>
      </c>
      <c r="L81" s="104">
        <v>168.0</v>
      </c>
      <c r="M81" s="104">
        <v>154.0</v>
      </c>
      <c r="N81" s="104">
        <v>168.0</v>
      </c>
      <c r="O81" s="104">
        <v>169.0</v>
      </c>
      <c r="P81" s="104">
        <v>168.0</v>
      </c>
      <c r="Q81" s="104">
        <v>168.0</v>
      </c>
      <c r="R81" s="104">
        <v>168.0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72" t="s">
        <v>110</v>
      </c>
      <c r="B82" s="23"/>
      <c r="C82" s="23"/>
      <c r="D82" s="23"/>
      <c r="E82" s="23"/>
      <c r="F82" s="8"/>
      <c r="G82" s="105">
        <f t="shared" ref="G82:R82" si="4">SUM(G74:G81)</f>
        <v>884</v>
      </c>
      <c r="H82" s="105">
        <f t="shared" si="4"/>
        <v>833</v>
      </c>
      <c r="I82" s="105">
        <f t="shared" si="4"/>
        <v>884</v>
      </c>
      <c r="J82" s="105">
        <f t="shared" si="4"/>
        <v>882</v>
      </c>
      <c r="K82" s="105">
        <f t="shared" si="4"/>
        <v>876</v>
      </c>
      <c r="L82" s="105">
        <f t="shared" si="4"/>
        <v>882</v>
      </c>
      <c r="M82" s="105">
        <f t="shared" si="4"/>
        <v>871</v>
      </c>
      <c r="N82" s="105">
        <f t="shared" si="4"/>
        <v>877</v>
      </c>
      <c r="O82" s="105">
        <f t="shared" si="4"/>
        <v>886</v>
      </c>
      <c r="P82" s="105">
        <f t="shared" si="4"/>
        <v>876</v>
      </c>
      <c r="Q82" s="105">
        <f t="shared" si="4"/>
        <v>880</v>
      </c>
      <c r="R82" s="105">
        <f t="shared" si="4"/>
        <v>885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</sheetData>
  <mergeCells count="87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32:D32"/>
    <mergeCell ref="B33:D33"/>
    <mergeCell ref="B34:D34"/>
    <mergeCell ref="B35:D35"/>
    <mergeCell ref="B36:D36"/>
    <mergeCell ref="B37:D37"/>
    <mergeCell ref="B38:D38"/>
    <mergeCell ref="B39:D39"/>
    <mergeCell ref="A40:D40"/>
    <mergeCell ref="A42:C42"/>
    <mergeCell ref="A43:A44"/>
    <mergeCell ref="B43:F44"/>
    <mergeCell ref="G43:R43"/>
    <mergeCell ref="B46:F46"/>
    <mergeCell ref="A54:F54"/>
    <mergeCell ref="A56:C56"/>
    <mergeCell ref="A57:A58"/>
    <mergeCell ref="B57:F58"/>
    <mergeCell ref="G57:R57"/>
    <mergeCell ref="B47:F47"/>
    <mergeCell ref="B48:F48"/>
    <mergeCell ref="B49:F49"/>
    <mergeCell ref="B50:F50"/>
    <mergeCell ref="B51:F51"/>
    <mergeCell ref="B52:F52"/>
    <mergeCell ref="B53:F53"/>
    <mergeCell ref="B60:F60"/>
    <mergeCell ref="B61:F61"/>
    <mergeCell ref="B62:F62"/>
    <mergeCell ref="B63:F63"/>
    <mergeCell ref="B64:F64"/>
    <mergeCell ref="B65:F65"/>
    <mergeCell ref="B66:F66"/>
    <mergeCell ref="B75:F75"/>
    <mergeCell ref="B76:F76"/>
    <mergeCell ref="B77:F77"/>
    <mergeCell ref="B78:F78"/>
    <mergeCell ref="B79:F79"/>
    <mergeCell ref="B80:F80"/>
    <mergeCell ref="B81:F81"/>
    <mergeCell ref="A82:F82"/>
    <mergeCell ref="B67:F67"/>
    <mergeCell ref="A68:F68"/>
    <mergeCell ref="A70:C70"/>
    <mergeCell ref="A71:A72"/>
    <mergeCell ref="B71:F72"/>
    <mergeCell ref="G71:R71"/>
    <mergeCell ref="B74:F74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B4:B8"/>
    <mergeCell ref="C7:D7"/>
    <mergeCell ref="A22:B22"/>
    <mergeCell ref="A24:C24"/>
    <mergeCell ref="A28:D28"/>
    <mergeCell ref="A29:A30"/>
    <mergeCell ref="B29:D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2.25"/>
    <col customWidth="1" min="3" max="3" width="14.63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6.88"/>
    <col customWidth="1" min="17" max="17" width="11.13"/>
    <col customWidth="1" min="18" max="18" width="14.88"/>
    <col customWidth="1" min="19" max="20" width="12.0"/>
    <col customWidth="1" min="21" max="21" width="16.88"/>
    <col customWidth="1" min="22" max="22" width="10.0"/>
    <col customWidth="1" min="23" max="23" width="20.38"/>
    <col customWidth="1" min="24" max="24" width="15.63"/>
    <col customWidth="1" min="25" max="26" width="12.63"/>
    <col customWidth="1" min="27" max="27" width="27.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09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9" t="s">
        <v>1</v>
      </c>
      <c r="B2" s="29" t="s">
        <v>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3</v>
      </c>
      <c r="B4" s="56" t="s">
        <v>56</v>
      </c>
      <c r="C4" s="55" t="s">
        <v>118</v>
      </c>
      <c r="D4" s="23"/>
      <c r="E4" s="8"/>
      <c r="F4" s="110" t="s">
        <v>119</v>
      </c>
      <c r="G4" s="55" t="s">
        <v>120</v>
      </c>
      <c r="H4" s="23"/>
      <c r="I4" s="23"/>
      <c r="J4" s="23"/>
      <c r="K4" s="23"/>
      <c r="L4" s="23"/>
      <c r="M4" s="23"/>
      <c r="N4" s="8"/>
      <c r="O4" s="55" t="s">
        <v>121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8"/>
      <c r="AA4" s="111" t="s">
        <v>122</v>
      </c>
      <c r="AB4" s="112" t="s">
        <v>123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54" t="s">
        <v>124</v>
      </c>
      <c r="BA4" s="23"/>
      <c r="BB4" s="23"/>
      <c r="BC4" s="8"/>
      <c r="BD4" s="56" t="s">
        <v>125</v>
      </c>
    </row>
    <row r="5">
      <c r="A5" s="61"/>
      <c r="B5" s="61"/>
      <c r="C5" s="113" t="s">
        <v>40</v>
      </c>
      <c r="D5" s="113" t="s">
        <v>126</v>
      </c>
      <c r="E5" s="113" t="s">
        <v>127</v>
      </c>
      <c r="F5" s="61"/>
      <c r="G5" s="113" t="s">
        <v>128</v>
      </c>
      <c r="H5" s="113" t="s">
        <v>129</v>
      </c>
      <c r="I5" s="113" t="s">
        <v>130</v>
      </c>
      <c r="J5" s="113" t="s">
        <v>131</v>
      </c>
      <c r="K5" s="113" t="s">
        <v>132</v>
      </c>
      <c r="L5" s="113" t="s">
        <v>133</v>
      </c>
      <c r="M5" s="113" t="s">
        <v>134</v>
      </c>
      <c r="N5" s="113" t="s">
        <v>135</v>
      </c>
      <c r="O5" s="114" t="s">
        <v>136</v>
      </c>
      <c r="P5" s="43"/>
      <c r="Q5" s="114" t="s">
        <v>137</v>
      </c>
      <c r="R5" s="43"/>
      <c r="S5" s="114" t="s">
        <v>138</v>
      </c>
      <c r="T5" s="43"/>
      <c r="U5" s="114" t="s">
        <v>139</v>
      </c>
      <c r="V5" s="43"/>
      <c r="W5" s="114" t="s">
        <v>140</v>
      </c>
      <c r="X5" s="43"/>
      <c r="Y5" s="114" t="s">
        <v>141</v>
      </c>
      <c r="Z5" s="43"/>
      <c r="AA5" s="61"/>
      <c r="AB5" s="114" t="s">
        <v>142</v>
      </c>
      <c r="AC5" s="43"/>
      <c r="AD5" s="114" t="s">
        <v>143</v>
      </c>
      <c r="AE5" s="42"/>
      <c r="AF5" s="42"/>
      <c r="AG5" s="42"/>
      <c r="AH5" s="42"/>
      <c r="AI5" s="43"/>
      <c r="AJ5" s="114" t="s">
        <v>144</v>
      </c>
      <c r="AK5" s="42"/>
      <c r="AL5" s="42"/>
      <c r="AM5" s="42"/>
      <c r="AN5" s="42"/>
      <c r="AO5" s="42"/>
      <c r="AP5" s="42"/>
      <c r="AQ5" s="43"/>
      <c r="AR5" s="114" t="s">
        <v>145</v>
      </c>
      <c r="AS5" s="43"/>
      <c r="AT5" s="114" t="s">
        <v>146</v>
      </c>
      <c r="AU5" s="42"/>
      <c r="AV5" s="42"/>
      <c r="AW5" s="42"/>
      <c r="AX5" s="42"/>
      <c r="AY5" s="43"/>
      <c r="AZ5" s="114" t="s">
        <v>40</v>
      </c>
      <c r="BA5" s="43"/>
      <c r="BB5" s="114" t="s">
        <v>147</v>
      </c>
      <c r="BC5" s="43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44"/>
      <c r="P6" s="45"/>
      <c r="Q6" s="44"/>
      <c r="R6" s="45"/>
      <c r="S6" s="44"/>
      <c r="T6" s="45"/>
      <c r="U6" s="44"/>
      <c r="V6" s="45"/>
      <c r="W6" s="44"/>
      <c r="X6" s="45"/>
      <c r="Y6" s="44"/>
      <c r="Z6" s="45"/>
      <c r="AA6" s="61"/>
      <c r="AB6" s="44"/>
      <c r="AC6" s="45"/>
      <c r="AD6" s="46"/>
      <c r="AE6" s="47"/>
      <c r="AF6" s="47"/>
      <c r="AG6" s="47"/>
      <c r="AH6" s="47"/>
      <c r="AI6" s="48"/>
      <c r="AJ6" s="46"/>
      <c r="AK6" s="47"/>
      <c r="AL6" s="47"/>
      <c r="AM6" s="47"/>
      <c r="AN6" s="47"/>
      <c r="AO6" s="47"/>
      <c r="AP6" s="47"/>
      <c r="AQ6" s="48"/>
      <c r="AR6" s="44"/>
      <c r="AS6" s="45"/>
      <c r="AT6" s="46"/>
      <c r="AU6" s="47"/>
      <c r="AV6" s="47"/>
      <c r="AW6" s="47"/>
      <c r="AX6" s="47"/>
      <c r="AY6" s="48"/>
      <c r="AZ6" s="44"/>
      <c r="BA6" s="45"/>
      <c r="BB6" s="44"/>
      <c r="BC6" s="45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4"/>
      <c r="P7" s="45"/>
      <c r="Q7" s="44"/>
      <c r="R7" s="45"/>
      <c r="S7" s="44"/>
      <c r="T7" s="45"/>
      <c r="U7" s="44"/>
      <c r="V7" s="45"/>
      <c r="W7" s="44"/>
      <c r="X7" s="45"/>
      <c r="Y7" s="44"/>
      <c r="Z7" s="45"/>
      <c r="AA7" s="61"/>
      <c r="AB7" s="44"/>
      <c r="AC7" s="45"/>
      <c r="AD7" s="114" t="s">
        <v>148</v>
      </c>
      <c r="AE7" s="43"/>
      <c r="AF7" s="114" t="s">
        <v>149</v>
      </c>
      <c r="AG7" s="43"/>
      <c r="AH7" s="114" t="s">
        <v>150</v>
      </c>
      <c r="AI7" s="43"/>
      <c r="AJ7" s="114" t="s">
        <v>148</v>
      </c>
      <c r="AK7" s="43"/>
      <c r="AL7" s="114" t="s">
        <v>149</v>
      </c>
      <c r="AM7" s="43"/>
      <c r="AN7" s="114" t="s">
        <v>150</v>
      </c>
      <c r="AO7" s="43"/>
      <c r="AP7" s="114" t="s">
        <v>151</v>
      </c>
      <c r="AQ7" s="43"/>
      <c r="AR7" s="44"/>
      <c r="AS7" s="45"/>
      <c r="AT7" s="114" t="s">
        <v>148</v>
      </c>
      <c r="AU7" s="43"/>
      <c r="AV7" s="114" t="s">
        <v>149</v>
      </c>
      <c r="AW7" s="43"/>
      <c r="AX7" s="114" t="s">
        <v>150</v>
      </c>
      <c r="AY7" s="43"/>
      <c r="AZ7" s="44"/>
      <c r="BA7" s="45"/>
      <c r="BB7" s="44"/>
      <c r="BC7" s="45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4"/>
      <c r="P8" s="45"/>
      <c r="Q8" s="46"/>
      <c r="R8" s="48"/>
      <c r="S8" s="46"/>
      <c r="T8" s="48"/>
      <c r="U8" s="46"/>
      <c r="V8" s="48"/>
      <c r="W8" s="46"/>
      <c r="X8" s="48"/>
      <c r="Y8" s="46"/>
      <c r="Z8" s="48"/>
      <c r="AA8" s="10"/>
      <c r="AB8" s="46"/>
      <c r="AC8" s="48"/>
      <c r="AD8" s="46"/>
      <c r="AE8" s="48"/>
      <c r="AF8" s="46"/>
      <c r="AG8" s="48"/>
      <c r="AH8" s="46"/>
      <c r="AI8" s="48"/>
      <c r="AJ8" s="46"/>
      <c r="AK8" s="48"/>
      <c r="AL8" s="46"/>
      <c r="AM8" s="48"/>
      <c r="AN8" s="46"/>
      <c r="AO8" s="48"/>
      <c r="AP8" s="46"/>
      <c r="AQ8" s="48"/>
      <c r="AR8" s="46"/>
      <c r="AS8" s="48"/>
      <c r="AT8" s="46"/>
      <c r="AU8" s="48"/>
      <c r="AV8" s="46"/>
      <c r="AW8" s="48"/>
      <c r="AX8" s="46"/>
      <c r="AY8" s="48"/>
      <c r="AZ8" s="46"/>
      <c r="BA8" s="48"/>
      <c r="BB8" s="46"/>
      <c r="BC8" s="4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5" t="s">
        <v>79</v>
      </c>
      <c r="P9" s="115" t="s">
        <v>80</v>
      </c>
      <c r="Q9" s="116" t="s">
        <v>79</v>
      </c>
      <c r="R9" s="116" t="s">
        <v>80</v>
      </c>
      <c r="S9" s="116" t="s">
        <v>79</v>
      </c>
      <c r="T9" s="116" t="s">
        <v>80</v>
      </c>
      <c r="U9" s="116" t="s">
        <v>79</v>
      </c>
      <c r="V9" s="116" t="s">
        <v>80</v>
      </c>
      <c r="W9" s="116" t="s">
        <v>79</v>
      </c>
      <c r="X9" s="116" t="s">
        <v>80</v>
      </c>
      <c r="Y9" s="116" t="s">
        <v>79</v>
      </c>
      <c r="Z9" s="116" t="s">
        <v>80</v>
      </c>
      <c r="AA9" s="117"/>
      <c r="AB9" s="116" t="s">
        <v>79</v>
      </c>
      <c r="AC9" s="116" t="s">
        <v>80</v>
      </c>
      <c r="AD9" s="116" t="s">
        <v>79</v>
      </c>
      <c r="AE9" s="116" t="s">
        <v>80</v>
      </c>
      <c r="AF9" s="116" t="s">
        <v>79</v>
      </c>
      <c r="AG9" s="116" t="s">
        <v>80</v>
      </c>
      <c r="AH9" s="116" t="s">
        <v>79</v>
      </c>
      <c r="AI9" s="116" t="s">
        <v>80</v>
      </c>
      <c r="AJ9" s="116" t="s">
        <v>79</v>
      </c>
      <c r="AK9" s="116" t="s">
        <v>80</v>
      </c>
      <c r="AL9" s="116" t="s">
        <v>79</v>
      </c>
      <c r="AM9" s="116" t="s">
        <v>80</v>
      </c>
      <c r="AN9" s="116" t="s">
        <v>79</v>
      </c>
      <c r="AO9" s="116" t="s">
        <v>80</v>
      </c>
      <c r="AP9" s="116" t="s">
        <v>79</v>
      </c>
      <c r="AQ9" s="116" t="s">
        <v>80</v>
      </c>
      <c r="AR9" s="116" t="s">
        <v>79</v>
      </c>
      <c r="AS9" s="116" t="s">
        <v>80</v>
      </c>
      <c r="AT9" s="116" t="s">
        <v>79</v>
      </c>
      <c r="AU9" s="116" t="s">
        <v>80</v>
      </c>
      <c r="AV9" s="116" t="s">
        <v>79</v>
      </c>
      <c r="AW9" s="116" t="s">
        <v>80</v>
      </c>
      <c r="AX9" s="116" t="s">
        <v>79</v>
      </c>
      <c r="AY9" s="116" t="s">
        <v>80</v>
      </c>
      <c r="AZ9" s="116" t="s">
        <v>79</v>
      </c>
      <c r="BA9" s="116" t="s">
        <v>80</v>
      </c>
      <c r="BB9" s="116" t="s">
        <v>79</v>
      </c>
      <c r="BC9" s="116" t="s">
        <v>80</v>
      </c>
      <c r="BD9" s="117"/>
    </row>
    <row r="10">
      <c r="A10" s="66">
        <v>1.0</v>
      </c>
      <c r="B10" s="67">
        <v>2.0</v>
      </c>
      <c r="C10" s="67">
        <v>3.0</v>
      </c>
      <c r="D10" s="67">
        <v>4.0</v>
      </c>
      <c r="E10" s="67">
        <v>5.0</v>
      </c>
      <c r="F10" s="67">
        <v>6.0</v>
      </c>
      <c r="G10" s="67">
        <v>7.0</v>
      </c>
      <c r="H10" s="67">
        <v>8.0</v>
      </c>
      <c r="I10" s="67">
        <v>9.0</v>
      </c>
      <c r="J10" s="67">
        <v>10.0</v>
      </c>
      <c r="K10" s="67">
        <v>11.0</v>
      </c>
      <c r="L10" s="67">
        <v>12.0</v>
      </c>
      <c r="M10" s="67">
        <v>13.0</v>
      </c>
      <c r="N10" s="67">
        <v>14.0</v>
      </c>
      <c r="O10" s="67">
        <v>15.0</v>
      </c>
      <c r="P10" s="67">
        <v>16.0</v>
      </c>
      <c r="Q10" s="67">
        <v>17.0</v>
      </c>
      <c r="R10" s="67">
        <v>18.0</v>
      </c>
      <c r="S10" s="67">
        <v>19.0</v>
      </c>
      <c r="T10" s="67">
        <v>20.0</v>
      </c>
      <c r="U10" s="67">
        <v>21.0</v>
      </c>
      <c r="V10" s="67">
        <v>22.0</v>
      </c>
      <c r="W10" s="67">
        <v>23.0</v>
      </c>
      <c r="X10" s="67">
        <v>24.0</v>
      </c>
      <c r="Y10" s="67">
        <v>25.0</v>
      </c>
      <c r="Z10" s="67">
        <v>26.0</v>
      </c>
      <c r="AA10" s="67">
        <v>27.0</v>
      </c>
      <c r="AB10" s="67">
        <v>28.0</v>
      </c>
      <c r="AC10" s="67">
        <v>29.0</v>
      </c>
      <c r="AD10" s="67">
        <v>30.0</v>
      </c>
      <c r="AE10" s="67">
        <v>31.0</v>
      </c>
      <c r="AF10" s="67">
        <v>32.0</v>
      </c>
      <c r="AG10" s="67">
        <v>33.0</v>
      </c>
      <c r="AH10" s="67">
        <v>34.0</v>
      </c>
      <c r="AI10" s="67">
        <v>35.0</v>
      </c>
      <c r="AJ10" s="67">
        <v>36.0</v>
      </c>
      <c r="AK10" s="67">
        <v>37.0</v>
      </c>
      <c r="AL10" s="67">
        <v>38.0</v>
      </c>
      <c r="AM10" s="67">
        <v>39.0</v>
      </c>
      <c r="AN10" s="67">
        <v>40.0</v>
      </c>
      <c r="AO10" s="67">
        <v>41.0</v>
      </c>
      <c r="AP10" s="67">
        <v>42.0</v>
      </c>
      <c r="AQ10" s="67">
        <v>43.0</v>
      </c>
      <c r="AR10" s="67">
        <v>44.0</v>
      </c>
      <c r="AS10" s="67">
        <v>45.0</v>
      </c>
      <c r="AT10" s="67">
        <v>46.0</v>
      </c>
      <c r="AU10" s="67">
        <v>47.0</v>
      </c>
      <c r="AV10" s="67">
        <v>48.0</v>
      </c>
      <c r="AW10" s="67">
        <v>49.0</v>
      </c>
      <c r="AX10" s="67">
        <v>50.0</v>
      </c>
      <c r="AY10" s="67">
        <v>51.0</v>
      </c>
      <c r="AZ10" s="67">
        <v>52.0</v>
      </c>
      <c r="BA10" s="67">
        <v>53.0</v>
      </c>
      <c r="BB10" s="67">
        <v>54.0</v>
      </c>
      <c r="BC10" s="67">
        <v>55.0</v>
      </c>
      <c r="BD10" s="67">
        <v>56.0</v>
      </c>
    </row>
    <row r="11">
      <c r="A11" s="118">
        <v>1.0</v>
      </c>
      <c r="B11" s="119" t="s">
        <v>81</v>
      </c>
      <c r="C11" s="120">
        <v>31.0</v>
      </c>
      <c r="D11" s="120">
        <v>16.0</v>
      </c>
      <c r="E11" s="120">
        <v>8.0</v>
      </c>
      <c r="F11" s="120">
        <v>88.0</v>
      </c>
      <c r="G11" s="120">
        <v>20.0</v>
      </c>
      <c r="H11" s="120">
        <v>71.0</v>
      </c>
      <c r="I11" s="120">
        <v>54.0</v>
      </c>
      <c r="J11" s="120">
        <v>0.0</v>
      </c>
      <c r="K11" s="120">
        <v>9.0</v>
      </c>
      <c r="L11" s="120">
        <v>13.0</v>
      </c>
      <c r="M11" s="120">
        <v>150.0</v>
      </c>
      <c r="N11" s="120">
        <v>26.0</v>
      </c>
      <c r="O11" s="120">
        <v>192.0</v>
      </c>
      <c r="P11" s="120">
        <v>175.0</v>
      </c>
      <c r="Q11" s="121">
        <v>17.0</v>
      </c>
      <c r="R11" s="120">
        <v>186.0</v>
      </c>
      <c r="S11" s="120">
        <v>140.0</v>
      </c>
      <c r="T11" s="120">
        <v>120.0</v>
      </c>
      <c r="U11" s="120">
        <v>123.0</v>
      </c>
      <c r="V11" s="120">
        <v>117.0</v>
      </c>
      <c r="W11" s="120">
        <v>117.0</v>
      </c>
      <c r="X11" s="120">
        <v>106.0</v>
      </c>
      <c r="Y11" s="120">
        <v>191.0</v>
      </c>
      <c r="Z11" s="120">
        <v>122.0</v>
      </c>
      <c r="AA11" s="120">
        <v>7.0</v>
      </c>
      <c r="AB11" s="120">
        <v>0.0</v>
      </c>
      <c r="AC11" s="120">
        <v>5.0</v>
      </c>
      <c r="AD11" s="120">
        <v>3.0</v>
      </c>
      <c r="AE11" s="120">
        <v>3.0</v>
      </c>
      <c r="AF11" s="120">
        <v>3.0</v>
      </c>
      <c r="AG11" s="120">
        <v>3.0</v>
      </c>
      <c r="AH11" s="120">
        <v>4.0</v>
      </c>
      <c r="AI11" s="120">
        <v>1.0</v>
      </c>
      <c r="AJ11" s="120">
        <v>0.0</v>
      </c>
      <c r="AK11" s="120">
        <v>3.0</v>
      </c>
      <c r="AL11" s="120">
        <v>0.0</v>
      </c>
      <c r="AM11" s="120">
        <v>4.0</v>
      </c>
      <c r="AN11" s="120">
        <v>1.0</v>
      </c>
      <c r="AO11" s="120">
        <v>3.0</v>
      </c>
      <c r="AP11" s="120">
        <v>1.0</v>
      </c>
      <c r="AQ11" s="120">
        <v>1.0</v>
      </c>
      <c r="AR11" s="120">
        <v>1.0</v>
      </c>
      <c r="AS11" s="120">
        <v>0.0</v>
      </c>
      <c r="AT11" s="120">
        <v>0.0</v>
      </c>
      <c r="AU11" s="120">
        <v>1.0</v>
      </c>
      <c r="AV11" s="120">
        <v>0.0</v>
      </c>
      <c r="AW11" s="120">
        <v>3.0</v>
      </c>
      <c r="AX11" s="120">
        <v>0.0</v>
      </c>
      <c r="AY11" s="120">
        <v>1.0</v>
      </c>
      <c r="AZ11" s="120">
        <v>2.0</v>
      </c>
      <c r="BA11" s="120">
        <v>1.0</v>
      </c>
      <c r="BB11" s="120">
        <v>2.0</v>
      </c>
      <c r="BC11" s="120">
        <v>1.0</v>
      </c>
      <c r="BD11" s="122"/>
    </row>
    <row r="12">
      <c r="A12" s="118">
        <v>2.0</v>
      </c>
      <c r="B12" s="119" t="s">
        <v>82</v>
      </c>
      <c r="C12" s="120">
        <v>31.0</v>
      </c>
      <c r="D12" s="120">
        <v>16.0</v>
      </c>
      <c r="E12" s="120">
        <v>8.0</v>
      </c>
      <c r="F12" s="120">
        <v>88.0</v>
      </c>
      <c r="G12" s="120">
        <v>20.0</v>
      </c>
      <c r="H12" s="120">
        <v>71.0</v>
      </c>
      <c r="I12" s="120">
        <v>54.0</v>
      </c>
      <c r="J12" s="120">
        <v>0.0</v>
      </c>
      <c r="K12" s="120">
        <v>9.0</v>
      </c>
      <c r="L12" s="120">
        <v>13.0</v>
      </c>
      <c r="M12" s="120">
        <v>150.0</v>
      </c>
      <c r="N12" s="120">
        <v>26.0</v>
      </c>
      <c r="O12" s="120">
        <v>192.0</v>
      </c>
      <c r="P12" s="120">
        <v>175.0</v>
      </c>
      <c r="Q12" s="121">
        <v>17.0</v>
      </c>
      <c r="R12" s="120">
        <v>186.0</v>
      </c>
      <c r="S12" s="120">
        <v>140.0</v>
      </c>
      <c r="T12" s="120">
        <v>120.0</v>
      </c>
      <c r="U12" s="120">
        <v>123.0</v>
      </c>
      <c r="V12" s="120">
        <v>117.0</v>
      </c>
      <c r="W12" s="120">
        <v>117.0</v>
      </c>
      <c r="X12" s="120">
        <v>106.0</v>
      </c>
      <c r="Y12" s="120">
        <v>191.0</v>
      </c>
      <c r="Z12" s="120">
        <v>122.0</v>
      </c>
      <c r="AA12" s="120">
        <v>7.0</v>
      </c>
      <c r="AB12" s="120">
        <v>0.0</v>
      </c>
      <c r="AC12" s="120">
        <v>5.0</v>
      </c>
      <c r="AD12" s="120">
        <v>3.0</v>
      </c>
      <c r="AE12" s="120">
        <v>3.0</v>
      </c>
      <c r="AF12" s="120">
        <v>3.0</v>
      </c>
      <c r="AG12" s="120">
        <v>3.0</v>
      </c>
      <c r="AH12" s="120">
        <v>4.0</v>
      </c>
      <c r="AI12" s="120">
        <v>1.0</v>
      </c>
      <c r="AJ12" s="120">
        <v>0.0</v>
      </c>
      <c r="AK12" s="120">
        <v>3.0</v>
      </c>
      <c r="AL12" s="120">
        <v>0.0</v>
      </c>
      <c r="AM12" s="120">
        <v>4.0</v>
      </c>
      <c r="AN12" s="120">
        <v>1.0</v>
      </c>
      <c r="AO12" s="120">
        <v>3.0</v>
      </c>
      <c r="AP12" s="120">
        <v>1.0</v>
      </c>
      <c r="AQ12" s="120">
        <v>1.0</v>
      </c>
      <c r="AR12" s="120">
        <v>1.0</v>
      </c>
      <c r="AS12" s="120">
        <v>0.0</v>
      </c>
      <c r="AT12" s="120">
        <v>0.0</v>
      </c>
      <c r="AU12" s="120">
        <v>1.0</v>
      </c>
      <c r="AV12" s="120">
        <v>0.0</v>
      </c>
      <c r="AW12" s="120">
        <v>3.0</v>
      </c>
      <c r="AX12" s="120">
        <v>0.0</v>
      </c>
      <c r="AY12" s="120">
        <v>1.0</v>
      </c>
      <c r="AZ12" s="120">
        <v>2.0</v>
      </c>
      <c r="BA12" s="120">
        <v>1.0</v>
      </c>
      <c r="BB12" s="120">
        <v>2.0</v>
      </c>
      <c r="BC12" s="120">
        <v>1.0</v>
      </c>
      <c r="BD12" s="123"/>
    </row>
    <row r="13">
      <c r="A13" s="118">
        <v>3.0</v>
      </c>
      <c r="B13" s="119" t="s">
        <v>83</v>
      </c>
      <c r="C13" s="120">
        <v>31.0</v>
      </c>
      <c r="D13" s="120">
        <v>16.0</v>
      </c>
      <c r="E13" s="120">
        <v>8.0</v>
      </c>
      <c r="F13" s="120">
        <v>88.0</v>
      </c>
      <c r="G13" s="120">
        <v>20.0</v>
      </c>
      <c r="H13" s="120">
        <v>71.0</v>
      </c>
      <c r="I13" s="120">
        <v>54.0</v>
      </c>
      <c r="J13" s="120">
        <v>0.0</v>
      </c>
      <c r="K13" s="120">
        <v>9.0</v>
      </c>
      <c r="L13" s="120">
        <v>13.0</v>
      </c>
      <c r="M13" s="120">
        <v>150.0</v>
      </c>
      <c r="N13" s="120">
        <v>26.0</v>
      </c>
      <c r="O13" s="120">
        <v>192.0</v>
      </c>
      <c r="P13" s="120">
        <v>175.0</v>
      </c>
      <c r="Q13" s="121">
        <v>17.0</v>
      </c>
      <c r="R13" s="120">
        <v>186.0</v>
      </c>
      <c r="S13" s="120">
        <v>140.0</v>
      </c>
      <c r="T13" s="120">
        <v>120.0</v>
      </c>
      <c r="U13" s="120">
        <v>123.0</v>
      </c>
      <c r="V13" s="120">
        <v>117.0</v>
      </c>
      <c r="W13" s="120">
        <v>117.0</v>
      </c>
      <c r="X13" s="120">
        <v>106.0</v>
      </c>
      <c r="Y13" s="120">
        <v>191.0</v>
      </c>
      <c r="Z13" s="120">
        <v>122.0</v>
      </c>
      <c r="AA13" s="120">
        <v>7.0</v>
      </c>
      <c r="AB13" s="120">
        <v>0.0</v>
      </c>
      <c r="AC13" s="120">
        <v>5.0</v>
      </c>
      <c r="AD13" s="120">
        <v>3.0</v>
      </c>
      <c r="AE13" s="120">
        <v>3.0</v>
      </c>
      <c r="AF13" s="120">
        <v>3.0</v>
      </c>
      <c r="AG13" s="120">
        <v>3.0</v>
      </c>
      <c r="AH13" s="120">
        <v>4.0</v>
      </c>
      <c r="AI13" s="120">
        <v>1.0</v>
      </c>
      <c r="AJ13" s="120">
        <v>0.0</v>
      </c>
      <c r="AK13" s="120">
        <v>3.0</v>
      </c>
      <c r="AL13" s="120">
        <v>0.0</v>
      </c>
      <c r="AM13" s="120">
        <v>4.0</v>
      </c>
      <c r="AN13" s="120">
        <v>1.0</v>
      </c>
      <c r="AO13" s="120">
        <v>3.0</v>
      </c>
      <c r="AP13" s="120">
        <v>1.0</v>
      </c>
      <c r="AQ13" s="120">
        <v>1.0</v>
      </c>
      <c r="AR13" s="120">
        <v>1.0</v>
      </c>
      <c r="AS13" s="120">
        <v>0.0</v>
      </c>
      <c r="AT13" s="120">
        <v>0.0</v>
      </c>
      <c r="AU13" s="120">
        <v>1.0</v>
      </c>
      <c r="AV13" s="120">
        <v>0.0</v>
      </c>
      <c r="AW13" s="120">
        <v>3.0</v>
      </c>
      <c r="AX13" s="120">
        <v>0.0</v>
      </c>
      <c r="AY13" s="120">
        <v>1.0</v>
      </c>
      <c r="AZ13" s="120">
        <v>2.0</v>
      </c>
      <c r="BA13" s="120">
        <v>1.0</v>
      </c>
      <c r="BB13" s="120">
        <v>2.0</v>
      </c>
      <c r="BC13" s="120">
        <v>1.0</v>
      </c>
      <c r="BD13" s="123"/>
    </row>
    <row r="14">
      <c r="A14" s="118">
        <v>4.0</v>
      </c>
      <c r="B14" s="119" t="s">
        <v>84</v>
      </c>
      <c r="C14" s="120">
        <v>31.0</v>
      </c>
      <c r="D14" s="120">
        <v>16.0</v>
      </c>
      <c r="E14" s="120">
        <v>8.0</v>
      </c>
      <c r="F14" s="120">
        <v>88.0</v>
      </c>
      <c r="G14" s="120">
        <v>20.0</v>
      </c>
      <c r="H14" s="120">
        <v>71.0</v>
      </c>
      <c r="I14" s="120">
        <v>54.0</v>
      </c>
      <c r="J14" s="120">
        <v>0.0</v>
      </c>
      <c r="K14" s="120">
        <v>9.0</v>
      </c>
      <c r="L14" s="120">
        <v>13.0</v>
      </c>
      <c r="M14" s="120">
        <v>150.0</v>
      </c>
      <c r="N14" s="120">
        <v>26.0</v>
      </c>
      <c r="O14" s="120">
        <v>192.0</v>
      </c>
      <c r="P14" s="120">
        <v>175.0</v>
      </c>
      <c r="Q14" s="121">
        <v>17.0</v>
      </c>
      <c r="R14" s="120">
        <v>186.0</v>
      </c>
      <c r="S14" s="120">
        <v>140.0</v>
      </c>
      <c r="T14" s="120">
        <v>120.0</v>
      </c>
      <c r="U14" s="120">
        <v>123.0</v>
      </c>
      <c r="V14" s="120">
        <v>117.0</v>
      </c>
      <c r="W14" s="120">
        <v>117.0</v>
      </c>
      <c r="X14" s="120">
        <v>106.0</v>
      </c>
      <c r="Y14" s="120">
        <v>191.0</v>
      </c>
      <c r="Z14" s="120">
        <v>122.0</v>
      </c>
      <c r="AA14" s="120">
        <v>7.0</v>
      </c>
      <c r="AB14" s="120">
        <v>0.0</v>
      </c>
      <c r="AC14" s="120">
        <v>5.0</v>
      </c>
      <c r="AD14" s="120">
        <v>3.0</v>
      </c>
      <c r="AE14" s="120">
        <v>3.0</v>
      </c>
      <c r="AF14" s="120">
        <v>3.0</v>
      </c>
      <c r="AG14" s="120">
        <v>3.0</v>
      </c>
      <c r="AH14" s="120">
        <v>4.0</v>
      </c>
      <c r="AI14" s="120">
        <v>1.0</v>
      </c>
      <c r="AJ14" s="120">
        <v>0.0</v>
      </c>
      <c r="AK14" s="120">
        <v>3.0</v>
      </c>
      <c r="AL14" s="120">
        <v>0.0</v>
      </c>
      <c r="AM14" s="120">
        <v>4.0</v>
      </c>
      <c r="AN14" s="120">
        <v>1.0</v>
      </c>
      <c r="AO14" s="120">
        <v>3.0</v>
      </c>
      <c r="AP14" s="120">
        <v>1.0</v>
      </c>
      <c r="AQ14" s="120">
        <v>1.0</v>
      </c>
      <c r="AR14" s="120">
        <v>1.0</v>
      </c>
      <c r="AS14" s="120">
        <v>0.0</v>
      </c>
      <c r="AT14" s="120">
        <v>0.0</v>
      </c>
      <c r="AU14" s="120">
        <v>1.0</v>
      </c>
      <c r="AV14" s="120">
        <v>0.0</v>
      </c>
      <c r="AW14" s="120">
        <v>3.0</v>
      </c>
      <c r="AX14" s="120">
        <v>0.0</v>
      </c>
      <c r="AY14" s="120">
        <v>1.0</v>
      </c>
      <c r="AZ14" s="120">
        <v>2.0</v>
      </c>
      <c r="BA14" s="120">
        <v>1.0</v>
      </c>
      <c r="BB14" s="120">
        <v>2.0</v>
      </c>
      <c r="BC14" s="120">
        <v>1.0</v>
      </c>
      <c r="BD14" s="123"/>
    </row>
    <row r="15">
      <c r="A15" s="118">
        <v>5.0</v>
      </c>
      <c r="B15" s="119" t="s">
        <v>85</v>
      </c>
      <c r="C15" s="120">
        <v>31.0</v>
      </c>
      <c r="D15" s="120">
        <v>16.0</v>
      </c>
      <c r="E15" s="120">
        <v>8.0</v>
      </c>
      <c r="F15" s="120">
        <v>88.0</v>
      </c>
      <c r="G15" s="120">
        <v>20.0</v>
      </c>
      <c r="H15" s="120">
        <v>71.0</v>
      </c>
      <c r="I15" s="120">
        <v>54.0</v>
      </c>
      <c r="J15" s="120">
        <v>0.0</v>
      </c>
      <c r="K15" s="120">
        <v>9.0</v>
      </c>
      <c r="L15" s="120">
        <v>13.0</v>
      </c>
      <c r="M15" s="120">
        <v>150.0</v>
      </c>
      <c r="N15" s="120">
        <v>26.0</v>
      </c>
      <c r="O15" s="120">
        <v>192.0</v>
      </c>
      <c r="P15" s="120">
        <v>175.0</v>
      </c>
      <c r="Q15" s="121">
        <v>17.0</v>
      </c>
      <c r="R15" s="120">
        <v>186.0</v>
      </c>
      <c r="S15" s="120">
        <v>140.0</v>
      </c>
      <c r="T15" s="120">
        <v>120.0</v>
      </c>
      <c r="U15" s="120">
        <v>123.0</v>
      </c>
      <c r="V15" s="120">
        <v>117.0</v>
      </c>
      <c r="W15" s="120">
        <v>117.0</v>
      </c>
      <c r="X15" s="120">
        <v>106.0</v>
      </c>
      <c r="Y15" s="120">
        <v>191.0</v>
      </c>
      <c r="Z15" s="120">
        <v>122.0</v>
      </c>
      <c r="AA15" s="120">
        <v>7.0</v>
      </c>
      <c r="AB15" s="120">
        <v>0.0</v>
      </c>
      <c r="AC15" s="120">
        <v>5.0</v>
      </c>
      <c r="AD15" s="120">
        <v>3.0</v>
      </c>
      <c r="AE15" s="120">
        <v>3.0</v>
      </c>
      <c r="AF15" s="120">
        <v>3.0</v>
      </c>
      <c r="AG15" s="120">
        <v>3.0</v>
      </c>
      <c r="AH15" s="120">
        <v>4.0</v>
      </c>
      <c r="AI15" s="120">
        <v>1.0</v>
      </c>
      <c r="AJ15" s="120">
        <v>0.0</v>
      </c>
      <c r="AK15" s="120">
        <v>3.0</v>
      </c>
      <c r="AL15" s="120">
        <v>0.0</v>
      </c>
      <c r="AM15" s="120">
        <v>4.0</v>
      </c>
      <c r="AN15" s="120">
        <v>1.0</v>
      </c>
      <c r="AO15" s="120">
        <v>3.0</v>
      </c>
      <c r="AP15" s="120">
        <v>1.0</v>
      </c>
      <c r="AQ15" s="120">
        <v>1.0</v>
      </c>
      <c r="AR15" s="120">
        <v>1.0</v>
      </c>
      <c r="AS15" s="120">
        <v>0.0</v>
      </c>
      <c r="AT15" s="120">
        <v>0.0</v>
      </c>
      <c r="AU15" s="120">
        <v>1.0</v>
      </c>
      <c r="AV15" s="120">
        <v>0.0</v>
      </c>
      <c r="AW15" s="120">
        <v>3.0</v>
      </c>
      <c r="AX15" s="120">
        <v>0.0</v>
      </c>
      <c r="AY15" s="120">
        <v>1.0</v>
      </c>
      <c r="AZ15" s="120">
        <v>2.0</v>
      </c>
      <c r="BA15" s="120">
        <v>1.0</v>
      </c>
      <c r="BB15" s="120">
        <v>2.0</v>
      </c>
      <c r="BC15" s="120">
        <v>1.0</v>
      </c>
      <c r="BD15" s="123"/>
    </row>
    <row r="16">
      <c r="A16" s="118">
        <v>6.0</v>
      </c>
      <c r="B16" s="119" t="s">
        <v>86</v>
      </c>
      <c r="C16" s="120">
        <v>31.0</v>
      </c>
      <c r="D16" s="120">
        <v>16.0</v>
      </c>
      <c r="E16" s="120">
        <v>8.0</v>
      </c>
      <c r="F16" s="120">
        <v>88.0</v>
      </c>
      <c r="G16" s="120">
        <v>20.0</v>
      </c>
      <c r="H16" s="120">
        <v>71.0</v>
      </c>
      <c r="I16" s="120">
        <v>54.0</v>
      </c>
      <c r="J16" s="120">
        <v>0.0</v>
      </c>
      <c r="K16" s="120">
        <v>9.0</v>
      </c>
      <c r="L16" s="120">
        <v>13.0</v>
      </c>
      <c r="M16" s="120">
        <v>150.0</v>
      </c>
      <c r="N16" s="120">
        <v>26.0</v>
      </c>
      <c r="O16" s="120">
        <v>192.0</v>
      </c>
      <c r="P16" s="120">
        <v>175.0</v>
      </c>
      <c r="Q16" s="121">
        <v>17.0</v>
      </c>
      <c r="R16" s="120">
        <v>186.0</v>
      </c>
      <c r="S16" s="120">
        <v>140.0</v>
      </c>
      <c r="T16" s="120">
        <v>120.0</v>
      </c>
      <c r="U16" s="120">
        <v>123.0</v>
      </c>
      <c r="V16" s="120">
        <v>117.0</v>
      </c>
      <c r="W16" s="120">
        <v>117.0</v>
      </c>
      <c r="X16" s="120">
        <v>106.0</v>
      </c>
      <c r="Y16" s="120">
        <v>191.0</v>
      </c>
      <c r="Z16" s="120">
        <v>122.0</v>
      </c>
      <c r="AA16" s="120">
        <v>7.0</v>
      </c>
      <c r="AB16" s="120">
        <v>0.0</v>
      </c>
      <c r="AC16" s="120">
        <v>5.0</v>
      </c>
      <c r="AD16" s="120">
        <v>3.0</v>
      </c>
      <c r="AE16" s="120">
        <v>3.0</v>
      </c>
      <c r="AF16" s="120">
        <v>3.0</v>
      </c>
      <c r="AG16" s="120">
        <v>3.0</v>
      </c>
      <c r="AH16" s="120">
        <v>4.0</v>
      </c>
      <c r="AI16" s="120">
        <v>1.0</v>
      </c>
      <c r="AJ16" s="120">
        <v>0.0</v>
      </c>
      <c r="AK16" s="120">
        <v>3.0</v>
      </c>
      <c r="AL16" s="120">
        <v>0.0</v>
      </c>
      <c r="AM16" s="120">
        <v>4.0</v>
      </c>
      <c r="AN16" s="120">
        <v>1.0</v>
      </c>
      <c r="AO16" s="120">
        <v>3.0</v>
      </c>
      <c r="AP16" s="120">
        <v>1.0</v>
      </c>
      <c r="AQ16" s="120">
        <v>1.0</v>
      </c>
      <c r="AR16" s="120">
        <v>1.0</v>
      </c>
      <c r="AS16" s="120">
        <v>0.0</v>
      </c>
      <c r="AT16" s="120">
        <v>0.0</v>
      </c>
      <c r="AU16" s="120">
        <v>1.0</v>
      </c>
      <c r="AV16" s="120">
        <v>0.0</v>
      </c>
      <c r="AW16" s="120">
        <v>3.0</v>
      </c>
      <c r="AX16" s="120">
        <v>0.0</v>
      </c>
      <c r="AY16" s="120">
        <v>1.0</v>
      </c>
      <c r="AZ16" s="120">
        <v>2.0</v>
      </c>
      <c r="BA16" s="120">
        <v>1.0</v>
      </c>
      <c r="BB16" s="120">
        <v>2.0</v>
      </c>
      <c r="BC16" s="120">
        <v>1.0</v>
      </c>
      <c r="BD16" s="123"/>
    </row>
    <row r="17">
      <c r="A17" s="118">
        <v>7.0</v>
      </c>
      <c r="B17" s="119" t="s">
        <v>87</v>
      </c>
      <c r="C17" s="120">
        <v>31.0</v>
      </c>
      <c r="D17" s="120">
        <v>16.0</v>
      </c>
      <c r="E17" s="120">
        <v>8.0</v>
      </c>
      <c r="F17" s="120">
        <v>88.0</v>
      </c>
      <c r="G17" s="120">
        <v>20.0</v>
      </c>
      <c r="H17" s="120">
        <v>71.0</v>
      </c>
      <c r="I17" s="120">
        <v>54.0</v>
      </c>
      <c r="J17" s="120">
        <v>0.0</v>
      </c>
      <c r="K17" s="120">
        <v>9.0</v>
      </c>
      <c r="L17" s="120">
        <v>13.0</v>
      </c>
      <c r="M17" s="120">
        <v>150.0</v>
      </c>
      <c r="N17" s="120">
        <v>26.0</v>
      </c>
      <c r="O17" s="120">
        <v>192.0</v>
      </c>
      <c r="P17" s="120">
        <v>175.0</v>
      </c>
      <c r="Q17" s="121">
        <v>17.0</v>
      </c>
      <c r="R17" s="120">
        <v>186.0</v>
      </c>
      <c r="S17" s="120">
        <v>140.0</v>
      </c>
      <c r="T17" s="120">
        <v>120.0</v>
      </c>
      <c r="U17" s="120">
        <v>123.0</v>
      </c>
      <c r="V17" s="120">
        <v>117.0</v>
      </c>
      <c r="W17" s="120">
        <v>117.0</v>
      </c>
      <c r="X17" s="120">
        <v>106.0</v>
      </c>
      <c r="Y17" s="120">
        <v>191.0</v>
      </c>
      <c r="Z17" s="120">
        <v>122.0</v>
      </c>
      <c r="AA17" s="120">
        <v>7.0</v>
      </c>
      <c r="AB17" s="120">
        <v>0.0</v>
      </c>
      <c r="AC17" s="120">
        <v>5.0</v>
      </c>
      <c r="AD17" s="120">
        <v>3.0</v>
      </c>
      <c r="AE17" s="120">
        <v>3.0</v>
      </c>
      <c r="AF17" s="120">
        <v>3.0</v>
      </c>
      <c r="AG17" s="120">
        <v>3.0</v>
      </c>
      <c r="AH17" s="120">
        <v>4.0</v>
      </c>
      <c r="AI17" s="120">
        <v>1.0</v>
      </c>
      <c r="AJ17" s="120">
        <v>0.0</v>
      </c>
      <c r="AK17" s="120">
        <v>3.0</v>
      </c>
      <c r="AL17" s="120">
        <v>0.0</v>
      </c>
      <c r="AM17" s="120">
        <v>4.0</v>
      </c>
      <c r="AN17" s="120">
        <v>1.0</v>
      </c>
      <c r="AO17" s="120">
        <v>3.0</v>
      </c>
      <c r="AP17" s="120">
        <v>1.0</v>
      </c>
      <c r="AQ17" s="120">
        <v>1.0</v>
      </c>
      <c r="AR17" s="120">
        <v>1.0</v>
      </c>
      <c r="AS17" s="120">
        <v>0.0</v>
      </c>
      <c r="AT17" s="120">
        <v>0.0</v>
      </c>
      <c r="AU17" s="120">
        <v>1.0</v>
      </c>
      <c r="AV17" s="120">
        <v>0.0</v>
      </c>
      <c r="AW17" s="120">
        <v>3.0</v>
      </c>
      <c r="AX17" s="120">
        <v>0.0</v>
      </c>
      <c r="AY17" s="120">
        <v>1.0</v>
      </c>
      <c r="AZ17" s="120">
        <v>2.0</v>
      </c>
      <c r="BA17" s="120">
        <v>1.0</v>
      </c>
      <c r="BB17" s="120">
        <v>2.0</v>
      </c>
      <c r="BC17" s="120">
        <v>1.0</v>
      </c>
      <c r="BD17" s="123"/>
    </row>
    <row r="18">
      <c r="A18" s="118">
        <v>8.0</v>
      </c>
      <c r="B18" s="119" t="s">
        <v>88</v>
      </c>
      <c r="C18" s="120">
        <v>31.0</v>
      </c>
      <c r="D18" s="120">
        <v>16.0</v>
      </c>
      <c r="E18" s="120">
        <v>8.0</v>
      </c>
      <c r="F18" s="120">
        <v>88.0</v>
      </c>
      <c r="G18" s="120">
        <v>20.0</v>
      </c>
      <c r="H18" s="120">
        <v>71.0</v>
      </c>
      <c r="I18" s="120">
        <v>54.0</v>
      </c>
      <c r="J18" s="120">
        <v>0.0</v>
      </c>
      <c r="K18" s="120">
        <v>9.0</v>
      </c>
      <c r="L18" s="120">
        <v>13.0</v>
      </c>
      <c r="M18" s="120">
        <v>150.0</v>
      </c>
      <c r="N18" s="120">
        <v>26.0</v>
      </c>
      <c r="O18" s="120">
        <v>192.0</v>
      </c>
      <c r="P18" s="120">
        <v>175.0</v>
      </c>
      <c r="Q18" s="121">
        <v>17.0</v>
      </c>
      <c r="R18" s="120">
        <v>186.0</v>
      </c>
      <c r="S18" s="120">
        <v>140.0</v>
      </c>
      <c r="T18" s="120">
        <v>120.0</v>
      </c>
      <c r="U18" s="120">
        <v>123.0</v>
      </c>
      <c r="V18" s="120">
        <v>117.0</v>
      </c>
      <c r="W18" s="120">
        <v>117.0</v>
      </c>
      <c r="X18" s="120">
        <v>106.0</v>
      </c>
      <c r="Y18" s="120">
        <v>191.0</v>
      </c>
      <c r="Z18" s="120">
        <v>122.0</v>
      </c>
      <c r="AA18" s="120">
        <v>7.0</v>
      </c>
      <c r="AB18" s="120">
        <v>0.0</v>
      </c>
      <c r="AC18" s="120">
        <v>5.0</v>
      </c>
      <c r="AD18" s="120">
        <v>3.0</v>
      </c>
      <c r="AE18" s="120">
        <v>3.0</v>
      </c>
      <c r="AF18" s="120">
        <v>3.0</v>
      </c>
      <c r="AG18" s="120">
        <v>3.0</v>
      </c>
      <c r="AH18" s="120">
        <v>4.0</v>
      </c>
      <c r="AI18" s="120">
        <v>1.0</v>
      </c>
      <c r="AJ18" s="120">
        <v>0.0</v>
      </c>
      <c r="AK18" s="120">
        <v>3.0</v>
      </c>
      <c r="AL18" s="120">
        <v>0.0</v>
      </c>
      <c r="AM18" s="120">
        <v>4.0</v>
      </c>
      <c r="AN18" s="120">
        <v>1.0</v>
      </c>
      <c r="AO18" s="120">
        <v>3.0</v>
      </c>
      <c r="AP18" s="120">
        <v>1.0</v>
      </c>
      <c r="AQ18" s="120">
        <v>1.0</v>
      </c>
      <c r="AR18" s="120">
        <v>1.0</v>
      </c>
      <c r="AS18" s="120">
        <v>0.0</v>
      </c>
      <c r="AT18" s="120">
        <v>0.0</v>
      </c>
      <c r="AU18" s="120">
        <v>1.0</v>
      </c>
      <c r="AV18" s="120">
        <v>0.0</v>
      </c>
      <c r="AW18" s="120">
        <v>3.0</v>
      </c>
      <c r="AX18" s="120">
        <v>0.0</v>
      </c>
      <c r="AY18" s="120">
        <v>1.0</v>
      </c>
      <c r="AZ18" s="120">
        <v>2.0</v>
      </c>
      <c r="BA18" s="120">
        <v>1.0</v>
      </c>
      <c r="BB18" s="120">
        <v>2.0</v>
      </c>
      <c r="BC18" s="120">
        <v>1.0</v>
      </c>
      <c r="BD18" s="123"/>
    </row>
    <row r="19">
      <c r="A19" s="118">
        <v>9.0</v>
      </c>
      <c r="B19" s="119" t="s">
        <v>89</v>
      </c>
      <c r="C19" s="120">
        <v>31.0</v>
      </c>
      <c r="D19" s="120">
        <v>16.0</v>
      </c>
      <c r="E19" s="120">
        <v>8.0</v>
      </c>
      <c r="F19" s="120">
        <v>88.0</v>
      </c>
      <c r="G19" s="120">
        <v>20.0</v>
      </c>
      <c r="H19" s="120">
        <v>71.0</v>
      </c>
      <c r="I19" s="120">
        <v>54.0</v>
      </c>
      <c r="J19" s="120">
        <v>0.0</v>
      </c>
      <c r="K19" s="120">
        <v>9.0</v>
      </c>
      <c r="L19" s="120">
        <v>13.0</v>
      </c>
      <c r="M19" s="120">
        <v>150.0</v>
      </c>
      <c r="N19" s="120">
        <v>26.0</v>
      </c>
      <c r="O19" s="120">
        <v>192.0</v>
      </c>
      <c r="P19" s="120">
        <v>175.0</v>
      </c>
      <c r="Q19" s="121">
        <v>17.0</v>
      </c>
      <c r="R19" s="120">
        <v>186.0</v>
      </c>
      <c r="S19" s="120">
        <v>140.0</v>
      </c>
      <c r="T19" s="120">
        <v>120.0</v>
      </c>
      <c r="U19" s="120">
        <v>123.0</v>
      </c>
      <c r="V19" s="120">
        <v>117.0</v>
      </c>
      <c r="W19" s="120">
        <v>117.0</v>
      </c>
      <c r="X19" s="120">
        <v>106.0</v>
      </c>
      <c r="Y19" s="120">
        <v>191.0</v>
      </c>
      <c r="Z19" s="120">
        <v>122.0</v>
      </c>
      <c r="AA19" s="120">
        <v>7.0</v>
      </c>
      <c r="AB19" s="120">
        <v>0.0</v>
      </c>
      <c r="AC19" s="120">
        <v>5.0</v>
      </c>
      <c r="AD19" s="120">
        <v>3.0</v>
      </c>
      <c r="AE19" s="120">
        <v>3.0</v>
      </c>
      <c r="AF19" s="120">
        <v>3.0</v>
      </c>
      <c r="AG19" s="120">
        <v>3.0</v>
      </c>
      <c r="AH19" s="120">
        <v>4.0</v>
      </c>
      <c r="AI19" s="120">
        <v>1.0</v>
      </c>
      <c r="AJ19" s="120">
        <v>0.0</v>
      </c>
      <c r="AK19" s="120">
        <v>3.0</v>
      </c>
      <c r="AL19" s="120">
        <v>0.0</v>
      </c>
      <c r="AM19" s="120">
        <v>4.0</v>
      </c>
      <c r="AN19" s="120">
        <v>1.0</v>
      </c>
      <c r="AO19" s="120">
        <v>3.0</v>
      </c>
      <c r="AP19" s="120">
        <v>1.0</v>
      </c>
      <c r="AQ19" s="120">
        <v>1.0</v>
      </c>
      <c r="AR19" s="120">
        <v>1.0</v>
      </c>
      <c r="AS19" s="120">
        <v>0.0</v>
      </c>
      <c r="AT19" s="120">
        <v>0.0</v>
      </c>
      <c r="AU19" s="120">
        <v>1.0</v>
      </c>
      <c r="AV19" s="120">
        <v>0.0</v>
      </c>
      <c r="AW19" s="120">
        <v>3.0</v>
      </c>
      <c r="AX19" s="120">
        <v>0.0</v>
      </c>
      <c r="AY19" s="120">
        <v>1.0</v>
      </c>
      <c r="AZ19" s="120">
        <v>2.0</v>
      </c>
      <c r="BA19" s="120">
        <v>1.0</v>
      </c>
      <c r="BB19" s="120">
        <v>2.0</v>
      </c>
      <c r="BC19" s="120">
        <v>1.0</v>
      </c>
      <c r="BD19" s="123"/>
    </row>
    <row r="20">
      <c r="A20" s="118">
        <v>10.0</v>
      </c>
      <c r="B20" s="119" t="s">
        <v>90</v>
      </c>
      <c r="C20" s="120">
        <v>31.0</v>
      </c>
      <c r="D20" s="120">
        <v>16.0</v>
      </c>
      <c r="E20" s="120">
        <v>8.0</v>
      </c>
      <c r="F20" s="120">
        <v>88.0</v>
      </c>
      <c r="G20" s="120">
        <v>20.0</v>
      </c>
      <c r="H20" s="120">
        <v>71.0</v>
      </c>
      <c r="I20" s="120">
        <v>54.0</v>
      </c>
      <c r="J20" s="120">
        <v>0.0</v>
      </c>
      <c r="K20" s="120">
        <v>9.0</v>
      </c>
      <c r="L20" s="120">
        <v>13.0</v>
      </c>
      <c r="M20" s="120">
        <v>150.0</v>
      </c>
      <c r="N20" s="120">
        <v>26.0</v>
      </c>
      <c r="O20" s="120">
        <v>192.0</v>
      </c>
      <c r="P20" s="120">
        <v>175.0</v>
      </c>
      <c r="Q20" s="121">
        <v>17.0</v>
      </c>
      <c r="R20" s="120">
        <v>186.0</v>
      </c>
      <c r="S20" s="120">
        <v>140.0</v>
      </c>
      <c r="T20" s="120">
        <v>120.0</v>
      </c>
      <c r="U20" s="120">
        <v>123.0</v>
      </c>
      <c r="V20" s="120">
        <v>117.0</v>
      </c>
      <c r="W20" s="120">
        <v>117.0</v>
      </c>
      <c r="X20" s="120">
        <v>106.0</v>
      </c>
      <c r="Y20" s="120">
        <v>191.0</v>
      </c>
      <c r="Z20" s="120">
        <v>122.0</v>
      </c>
      <c r="AA20" s="120">
        <v>7.0</v>
      </c>
      <c r="AB20" s="120">
        <v>0.0</v>
      </c>
      <c r="AC20" s="120">
        <v>5.0</v>
      </c>
      <c r="AD20" s="120">
        <v>3.0</v>
      </c>
      <c r="AE20" s="120">
        <v>3.0</v>
      </c>
      <c r="AF20" s="120">
        <v>3.0</v>
      </c>
      <c r="AG20" s="120">
        <v>3.0</v>
      </c>
      <c r="AH20" s="120">
        <v>4.0</v>
      </c>
      <c r="AI20" s="120">
        <v>1.0</v>
      </c>
      <c r="AJ20" s="120">
        <v>0.0</v>
      </c>
      <c r="AK20" s="120">
        <v>3.0</v>
      </c>
      <c r="AL20" s="120">
        <v>0.0</v>
      </c>
      <c r="AM20" s="120">
        <v>4.0</v>
      </c>
      <c r="AN20" s="120">
        <v>1.0</v>
      </c>
      <c r="AO20" s="120">
        <v>3.0</v>
      </c>
      <c r="AP20" s="120">
        <v>1.0</v>
      </c>
      <c r="AQ20" s="120">
        <v>1.0</v>
      </c>
      <c r="AR20" s="120">
        <v>1.0</v>
      </c>
      <c r="AS20" s="120">
        <v>0.0</v>
      </c>
      <c r="AT20" s="120">
        <v>0.0</v>
      </c>
      <c r="AU20" s="120">
        <v>1.0</v>
      </c>
      <c r="AV20" s="120">
        <v>0.0</v>
      </c>
      <c r="AW20" s="120">
        <v>3.0</v>
      </c>
      <c r="AX20" s="120">
        <v>0.0</v>
      </c>
      <c r="AY20" s="120">
        <v>1.0</v>
      </c>
      <c r="AZ20" s="120">
        <v>2.0</v>
      </c>
      <c r="BA20" s="120">
        <v>1.0</v>
      </c>
      <c r="BB20" s="120">
        <v>2.0</v>
      </c>
      <c r="BC20" s="120">
        <v>1.0</v>
      </c>
      <c r="BD20" s="123"/>
    </row>
    <row r="21">
      <c r="A21" s="118">
        <v>11.0</v>
      </c>
      <c r="B21" s="119" t="s">
        <v>91</v>
      </c>
      <c r="C21" s="120">
        <v>31.0</v>
      </c>
      <c r="D21" s="120">
        <v>16.0</v>
      </c>
      <c r="E21" s="120">
        <v>8.0</v>
      </c>
      <c r="F21" s="120">
        <v>88.0</v>
      </c>
      <c r="G21" s="120">
        <v>20.0</v>
      </c>
      <c r="H21" s="120">
        <v>71.0</v>
      </c>
      <c r="I21" s="120">
        <v>54.0</v>
      </c>
      <c r="J21" s="120">
        <v>0.0</v>
      </c>
      <c r="K21" s="120">
        <v>9.0</v>
      </c>
      <c r="L21" s="120">
        <v>13.0</v>
      </c>
      <c r="M21" s="120">
        <v>150.0</v>
      </c>
      <c r="N21" s="120">
        <v>26.0</v>
      </c>
      <c r="O21" s="120">
        <v>192.0</v>
      </c>
      <c r="P21" s="120">
        <v>175.0</v>
      </c>
      <c r="Q21" s="121">
        <v>17.0</v>
      </c>
      <c r="R21" s="120">
        <v>186.0</v>
      </c>
      <c r="S21" s="120">
        <v>140.0</v>
      </c>
      <c r="T21" s="120">
        <v>120.0</v>
      </c>
      <c r="U21" s="120">
        <v>123.0</v>
      </c>
      <c r="V21" s="120">
        <v>117.0</v>
      </c>
      <c r="W21" s="120">
        <v>117.0</v>
      </c>
      <c r="X21" s="120">
        <v>106.0</v>
      </c>
      <c r="Y21" s="120">
        <v>191.0</v>
      </c>
      <c r="Z21" s="120">
        <v>122.0</v>
      </c>
      <c r="AA21" s="120">
        <v>7.0</v>
      </c>
      <c r="AB21" s="120">
        <v>0.0</v>
      </c>
      <c r="AC21" s="120">
        <v>5.0</v>
      </c>
      <c r="AD21" s="120">
        <v>3.0</v>
      </c>
      <c r="AE21" s="120">
        <v>3.0</v>
      </c>
      <c r="AF21" s="120">
        <v>3.0</v>
      </c>
      <c r="AG21" s="120">
        <v>3.0</v>
      </c>
      <c r="AH21" s="120">
        <v>4.0</v>
      </c>
      <c r="AI21" s="120">
        <v>1.0</v>
      </c>
      <c r="AJ21" s="120">
        <v>0.0</v>
      </c>
      <c r="AK21" s="120">
        <v>3.0</v>
      </c>
      <c r="AL21" s="120">
        <v>0.0</v>
      </c>
      <c r="AM21" s="120">
        <v>4.0</v>
      </c>
      <c r="AN21" s="120">
        <v>1.0</v>
      </c>
      <c r="AO21" s="120">
        <v>3.0</v>
      </c>
      <c r="AP21" s="120">
        <v>1.0</v>
      </c>
      <c r="AQ21" s="120">
        <v>1.0</v>
      </c>
      <c r="AR21" s="120">
        <v>1.0</v>
      </c>
      <c r="AS21" s="120">
        <v>0.0</v>
      </c>
      <c r="AT21" s="120">
        <v>0.0</v>
      </c>
      <c r="AU21" s="120">
        <v>1.0</v>
      </c>
      <c r="AV21" s="120">
        <v>0.0</v>
      </c>
      <c r="AW21" s="120">
        <v>3.0</v>
      </c>
      <c r="AX21" s="120">
        <v>0.0</v>
      </c>
      <c r="AY21" s="120">
        <v>1.0</v>
      </c>
      <c r="AZ21" s="120">
        <v>2.0</v>
      </c>
      <c r="BA21" s="120">
        <v>1.0</v>
      </c>
      <c r="BB21" s="120">
        <v>2.0</v>
      </c>
      <c r="BC21" s="120">
        <v>1.0</v>
      </c>
      <c r="BD21" s="123"/>
    </row>
    <row r="22">
      <c r="A22" s="118">
        <v>12.0</v>
      </c>
      <c r="B22" s="119" t="s">
        <v>92</v>
      </c>
      <c r="C22" s="120">
        <v>31.0</v>
      </c>
      <c r="D22" s="120">
        <v>16.0</v>
      </c>
      <c r="E22" s="120">
        <v>8.0</v>
      </c>
      <c r="F22" s="120">
        <v>88.0</v>
      </c>
      <c r="G22" s="120">
        <v>20.0</v>
      </c>
      <c r="H22" s="120">
        <v>71.0</v>
      </c>
      <c r="I22" s="120">
        <v>54.0</v>
      </c>
      <c r="J22" s="120">
        <v>0.0</v>
      </c>
      <c r="K22" s="120">
        <v>9.0</v>
      </c>
      <c r="L22" s="120">
        <v>13.0</v>
      </c>
      <c r="M22" s="120">
        <v>150.0</v>
      </c>
      <c r="N22" s="120">
        <v>26.0</v>
      </c>
      <c r="O22" s="120">
        <v>192.0</v>
      </c>
      <c r="P22" s="120">
        <v>175.0</v>
      </c>
      <c r="Q22" s="121">
        <v>17.0</v>
      </c>
      <c r="R22" s="120">
        <v>186.0</v>
      </c>
      <c r="S22" s="120">
        <v>140.0</v>
      </c>
      <c r="T22" s="120">
        <v>120.0</v>
      </c>
      <c r="U22" s="120">
        <v>123.0</v>
      </c>
      <c r="V22" s="120">
        <v>117.0</v>
      </c>
      <c r="W22" s="120">
        <v>117.0</v>
      </c>
      <c r="X22" s="120">
        <v>106.0</v>
      </c>
      <c r="Y22" s="120">
        <v>191.0</v>
      </c>
      <c r="Z22" s="120">
        <v>122.0</v>
      </c>
      <c r="AA22" s="120">
        <v>7.0</v>
      </c>
      <c r="AB22" s="120">
        <v>0.0</v>
      </c>
      <c r="AC22" s="120">
        <v>5.0</v>
      </c>
      <c r="AD22" s="120">
        <v>3.0</v>
      </c>
      <c r="AE22" s="120">
        <v>3.0</v>
      </c>
      <c r="AF22" s="120">
        <v>3.0</v>
      </c>
      <c r="AG22" s="120">
        <v>3.0</v>
      </c>
      <c r="AH22" s="120">
        <v>4.0</v>
      </c>
      <c r="AI22" s="120">
        <v>1.0</v>
      </c>
      <c r="AJ22" s="120">
        <v>0.0</v>
      </c>
      <c r="AK22" s="120">
        <v>3.0</v>
      </c>
      <c r="AL22" s="120">
        <v>0.0</v>
      </c>
      <c r="AM22" s="120">
        <v>4.0</v>
      </c>
      <c r="AN22" s="120">
        <v>1.0</v>
      </c>
      <c r="AO22" s="120">
        <v>3.0</v>
      </c>
      <c r="AP22" s="120">
        <v>1.0</v>
      </c>
      <c r="AQ22" s="120">
        <v>1.0</v>
      </c>
      <c r="AR22" s="120">
        <v>1.0</v>
      </c>
      <c r="AS22" s="120">
        <v>0.0</v>
      </c>
      <c r="AT22" s="120">
        <v>0.0</v>
      </c>
      <c r="AU22" s="120">
        <v>1.0</v>
      </c>
      <c r="AV22" s="120">
        <v>0.0</v>
      </c>
      <c r="AW22" s="120">
        <v>3.0</v>
      </c>
      <c r="AX22" s="120">
        <v>0.0</v>
      </c>
      <c r="AY22" s="120">
        <v>1.0</v>
      </c>
      <c r="AZ22" s="120">
        <v>2.0</v>
      </c>
      <c r="BA22" s="120">
        <v>1.0</v>
      </c>
      <c r="BB22" s="120">
        <v>2.0</v>
      </c>
      <c r="BC22" s="123"/>
      <c r="BD22" s="123"/>
    </row>
    <row r="23">
      <c r="A23" s="2"/>
      <c r="B23" s="2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</row>
    <row r="24">
      <c r="A24" s="2" t="s">
        <v>40</v>
      </c>
      <c r="C24" s="30">
        <f t="shared" ref="C24:BD24" si="1">SUM(C11:C22)</f>
        <v>372</v>
      </c>
      <c r="D24" s="30">
        <f t="shared" si="1"/>
        <v>192</v>
      </c>
      <c r="E24" s="30">
        <f t="shared" si="1"/>
        <v>96</v>
      </c>
      <c r="F24" s="30">
        <f t="shared" si="1"/>
        <v>1056</v>
      </c>
      <c r="G24" s="30">
        <f t="shared" si="1"/>
        <v>240</v>
      </c>
      <c r="H24" s="30">
        <f t="shared" si="1"/>
        <v>852</v>
      </c>
      <c r="I24" s="30">
        <f t="shared" si="1"/>
        <v>648</v>
      </c>
      <c r="J24" s="30">
        <f t="shared" si="1"/>
        <v>0</v>
      </c>
      <c r="K24" s="30">
        <f t="shared" si="1"/>
        <v>108</v>
      </c>
      <c r="L24" s="30">
        <f t="shared" si="1"/>
        <v>156</v>
      </c>
      <c r="M24" s="30">
        <f t="shared" si="1"/>
        <v>1800</v>
      </c>
      <c r="N24" s="30">
        <f t="shared" si="1"/>
        <v>312</v>
      </c>
      <c r="O24" s="30">
        <f t="shared" si="1"/>
        <v>2304</v>
      </c>
      <c r="P24" s="30">
        <f t="shared" si="1"/>
        <v>2100</v>
      </c>
      <c r="Q24" s="30">
        <f t="shared" si="1"/>
        <v>204</v>
      </c>
      <c r="R24" s="30">
        <f t="shared" si="1"/>
        <v>2232</v>
      </c>
      <c r="S24" s="30">
        <f t="shared" si="1"/>
        <v>1680</v>
      </c>
      <c r="T24" s="30">
        <f t="shared" si="1"/>
        <v>1440</v>
      </c>
      <c r="U24" s="30">
        <f t="shared" si="1"/>
        <v>1476</v>
      </c>
      <c r="V24" s="30">
        <f t="shared" si="1"/>
        <v>1404</v>
      </c>
      <c r="W24" s="30">
        <f t="shared" si="1"/>
        <v>1404</v>
      </c>
      <c r="X24" s="30">
        <f t="shared" si="1"/>
        <v>1272</v>
      </c>
      <c r="Y24" s="30">
        <f t="shared" si="1"/>
        <v>2292</v>
      </c>
      <c r="Z24" s="30">
        <f t="shared" si="1"/>
        <v>1464</v>
      </c>
      <c r="AA24" s="30">
        <f t="shared" si="1"/>
        <v>84</v>
      </c>
      <c r="AB24" s="30">
        <f t="shared" si="1"/>
        <v>0</v>
      </c>
      <c r="AC24" s="30">
        <f t="shared" si="1"/>
        <v>60</v>
      </c>
      <c r="AD24" s="30">
        <f t="shared" si="1"/>
        <v>36</v>
      </c>
      <c r="AE24" s="30">
        <f t="shared" si="1"/>
        <v>36</v>
      </c>
      <c r="AF24" s="30">
        <f t="shared" si="1"/>
        <v>36</v>
      </c>
      <c r="AG24" s="30">
        <f t="shared" si="1"/>
        <v>36</v>
      </c>
      <c r="AH24" s="30">
        <f t="shared" si="1"/>
        <v>48</v>
      </c>
      <c r="AI24" s="30">
        <f t="shared" si="1"/>
        <v>12</v>
      </c>
      <c r="AJ24" s="30">
        <f t="shared" si="1"/>
        <v>0</v>
      </c>
      <c r="AK24" s="30">
        <f t="shared" si="1"/>
        <v>36</v>
      </c>
      <c r="AL24" s="30">
        <f t="shared" si="1"/>
        <v>0</v>
      </c>
      <c r="AM24" s="30">
        <f t="shared" si="1"/>
        <v>48</v>
      </c>
      <c r="AN24" s="30">
        <f t="shared" si="1"/>
        <v>12</v>
      </c>
      <c r="AO24" s="30">
        <f t="shared" si="1"/>
        <v>36</v>
      </c>
      <c r="AP24" s="30">
        <f t="shared" si="1"/>
        <v>12</v>
      </c>
      <c r="AQ24" s="30">
        <f t="shared" si="1"/>
        <v>12</v>
      </c>
      <c r="AR24" s="30">
        <f t="shared" si="1"/>
        <v>12</v>
      </c>
      <c r="AS24" s="30">
        <f t="shared" si="1"/>
        <v>0</v>
      </c>
      <c r="AT24" s="30">
        <f t="shared" si="1"/>
        <v>0</v>
      </c>
      <c r="AU24" s="30">
        <f t="shared" si="1"/>
        <v>12</v>
      </c>
      <c r="AV24" s="30">
        <f t="shared" si="1"/>
        <v>0</v>
      </c>
      <c r="AW24" s="30">
        <f t="shared" si="1"/>
        <v>36</v>
      </c>
      <c r="AX24" s="30">
        <f t="shared" si="1"/>
        <v>0</v>
      </c>
      <c r="AY24" s="30">
        <f t="shared" si="1"/>
        <v>12</v>
      </c>
      <c r="AZ24" s="30">
        <f t="shared" si="1"/>
        <v>24</v>
      </c>
      <c r="BA24" s="30">
        <f t="shared" si="1"/>
        <v>12</v>
      </c>
      <c r="BB24" s="30">
        <f t="shared" si="1"/>
        <v>24</v>
      </c>
      <c r="BC24" s="30">
        <f t="shared" si="1"/>
        <v>11</v>
      </c>
      <c r="BD24" s="3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9" t="s">
        <v>152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77" t="s">
        <v>153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154</v>
      </c>
      <c r="B31" s="124" t="s">
        <v>155</v>
      </c>
      <c r="C31" s="124" t="s">
        <v>156</v>
      </c>
      <c r="D31" s="125" t="s">
        <v>157</v>
      </c>
      <c r="E31" s="23"/>
      <c r="F31" s="23"/>
      <c r="G31" s="8"/>
      <c r="H31" s="125" t="s">
        <v>158</v>
      </c>
      <c r="I31" s="23"/>
      <c r="J31" s="23"/>
      <c r="K31" s="23"/>
      <c r="L31" s="23"/>
      <c r="M31" s="23"/>
      <c r="N31" s="8"/>
      <c r="O31" s="125" t="s">
        <v>159</v>
      </c>
      <c r="P31" s="23"/>
      <c r="Q31" s="8"/>
      <c r="R31" s="125" t="s">
        <v>160</v>
      </c>
      <c r="S31" s="23"/>
      <c r="T31" s="8"/>
      <c r="U31" s="58" t="s">
        <v>161</v>
      </c>
      <c r="V31" s="43"/>
      <c r="W31" s="58" t="s">
        <v>162</v>
      </c>
      <c r="X31" s="43"/>
      <c r="Y31" s="126" t="s">
        <v>163</v>
      </c>
      <c r="Z31" s="43"/>
      <c r="AA31" s="127" t="s">
        <v>164</v>
      </c>
      <c r="AB31" s="128" t="s">
        <v>165</v>
      </c>
      <c r="AC31" s="43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125" t="s">
        <v>166</v>
      </c>
      <c r="E32" s="8"/>
      <c r="F32" s="125" t="s">
        <v>167</v>
      </c>
      <c r="G32" s="8"/>
      <c r="H32" s="125" t="s">
        <v>168</v>
      </c>
      <c r="I32" s="8"/>
      <c r="J32" s="125" t="s">
        <v>169</v>
      </c>
      <c r="K32" s="8"/>
      <c r="L32" s="125" t="s">
        <v>170</v>
      </c>
      <c r="M32" s="8"/>
      <c r="N32" s="83" t="s">
        <v>171</v>
      </c>
      <c r="O32" s="127" t="s">
        <v>172</v>
      </c>
      <c r="P32" s="125" t="s">
        <v>173</v>
      </c>
      <c r="Q32" s="8"/>
      <c r="R32" s="127" t="s">
        <v>172</v>
      </c>
      <c r="S32" s="125" t="s">
        <v>174</v>
      </c>
      <c r="T32" s="8"/>
      <c r="U32" s="46"/>
      <c r="V32" s="48"/>
      <c r="W32" s="46"/>
      <c r="X32" s="48"/>
      <c r="Y32" s="129" t="s">
        <v>175</v>
      </c>
      <c r="Z32" s="47"/>
      <c r="AA32" s="130" t="s">
        <v>176</v>
      </c>
      <c r="AB32" s="47"/>
      <c r="AC32" s="4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131" t="s">
        <v>155</v>
      </c>
      <c r="E33" s="131" t="s">
        <v>156</v>
      </c>
      <c r="F33" s="131" t="s">
        <v>155</v>
      </c>
      <c r="G33" s="131" t="s">
        <v>156</v>
      </c>
      <c r="H33" s="131" t="s">
        <v>177</v>
      </c>
      <c r="I33" s="131" t="s">
        <v>178</v>
      </c>
      <c r="J33" s="131" t="s">
        <v>177</v>
      </c>
      <c r="K33" s="131" t="s">
        <v>179</v>
      </c>
      <c r="L33" s="131" t="s">
        <v>177</v>
      </c>
      <c r="M33" s="131" t="s">
        <v>178</v>
      </c>
      <c r="N33" s="10"/>
      <c r="O33" s="132" t="s">
        <v>180</v>
      </c>
      <c r="P33" s="131" t="s">
        <v>181</v>
      </c>
      <c r="Q33" s="131" t="s">
        <v>182</v>
      </c>
      <c r="R33" s="132" t="s">
        <v>183</v>
      </c>
      <c r="S33" s="131" t="s">
        <v>181</v>
      </c>
      <c r="T33" s="131" t="s">
        <v>182</v>
      </c>
      <c r="U33" s="131" t="s">
        <v>184</v>
      </c>
      <c r="V33" s="131" t="s">
        <v>182</v>
      </c>
      <c r="W33" s="131" t="s">
        <v>184</v>
      </c>
      <c r="X33" s="131" t="s">
        <v>182</v>
      </c>
      <c r="Y33" s="131" t="s">
        <v>184</v>
      </c>
      <c r="Z33" s="125" t="s">
        <v>182</v>
      </c>
      <c r="AA33" s="132"/>
      <c r="AB33" s="133" t="s">
        <v>155</v>
      </c>
      <c r="AC33" s="131" t="s">
        <v>185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4">
        <v>1.0</v>
      </c>
      <c r="B34" s="134">
        <v>2.0</v>
      </c>
      <c r="C34" s="135">
        <v>3.0</v>
      </c>
      <c r="D34" s="134">
        <v>4.0</v>
      </c>
      <c r="E34" s="134">
        <v>5.0</v>
      </c>
      <c r="F34" s="134">
        <v>6.0</v>
      </c>
      <c r="G34" s="134">
        <v>7.0</v>
      </c>
      <c r="H34" s="134">
        <v>8.0</v>
      </c>
      <c r="I34" s="136">
        <v>9.0</v>
      </c>
      <c r="J34" s="136">
        <v>10.0</v>
      </c>
      <c r="K34" s="136">
        <v>11.0</v>
      </c>
      <c r="L34" s="136">
        <v>12.0</v>
      </c>
      <c r="M34" s="136">
        <v>13.0</v>
      </c>
      <c r="N34" s="136">
        <v>14.0</v>
      </c>
      <c r="O34" s="137">
        <v>15.0</v>
      </c>
      <c r="P34" s="136">
        <v>16.0</v>
      </c>
      <c r="Q34" s="136">
        <v>17.0</v>
      </c>
      <c r="R34" s="137">
        <v>18.0</v>
      </c>
      <c r="S34" s="136">
        <v>19.0</v>
      </c>
      <c r="T34" s="136">
        <v>20.0</v>
      </c>
      <c r="U34" s="134">
        <v>21.0</v>
      </c>
      <c r="V34" s="134">
        <v>22.0</v>
      </c>
      <c r="W34" s="134">
        <v>23.0</v>
      </c>
      <c r="X34" s="134">
        <v>24.0</v>
      </c>
      <c r="Y34" s="134">
        <v>25.0</v>
      </c>
      <c r="Z34" s="138">
        <v>26.0</v>
      </c>
      <c r="AA34" s="139">
        <v>27.0</v>
      </c>
      <c r="AB34" s="140">
        <v>28.0</v>
      </c>
      <c r="AC34" s="13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1">
        <v>45658.0</v>
      </c>
      <c r="B35" s="103">
        <v>28.0</v>
      </c>
      <c r="C35" s="103">
        <v>78.0</v>
      </c>
      <c r="D35" s="103">
        <v>14.0</v>
      </c>
      <c r="E35" s="103">
        <v>60.0</v>
      </c>
      <c r="F35" s="103">
        <v>17.0</v>
      </c>
      <c r="G35" s="103">
        <v>77.0</v>
      </c>
      <c r="H35" s="103">
        <v>74.0</v>
      </c>
      <c r="I35" s="103">
        <v>2.0</v>
      </c>
      <c r="J35" s="103">
        <v>75.0</v>
      </c>
      <c r="K35" s="103">
        <v>2.0</v>
      </c>
      <c r="L35" s="103">
        <v>76.0</v>
      </c>
      <c r="M35" s="103">
        <v>0.0</v>
      </c>
      <c r="N35" s="103">
        <v>0.0</v>
      </c>
      <c r="O35" s="103">
        <v>20.0</v>
      </c>
      <c r="P35" s="103">
        <v>16.0</v>
      </c>
      <c r="Q35" s="103">
        <v>0.0</v>
      </c>
      <c r="R35" s="103">
        <v>3.0</v>
      </c>
      <c r="S35" s="103">
        <v>2.0</v>
      </c>
      <c r="T35" s="103">
        <v>0.0</v>
      </c>
      <c r="U35" s="103">
        <v>7.0</v>
      </c>
      <c r="V35" s="103">
        <v>0.0</v>
      </c>
      <c r="W35" s="103">
        <v>2.0</v>
      </c>
      <c r="X35" s="103">
        <v>0.0</v>
      </c>
      <c r="Y35" s="103">
        <v>1.0</v>
      </c>
      <c r="Z35" s="103">
        <v>11.0</v>
      </c>
      <c r="AA35" s="103">
        <v>16.0</v>
      </c>
      <c r="AB35" s="103">
        <v>0.0</v>
      </c>
      <c r="AC35" s="103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1">
        <v>45689.0</v>
      </c>
      <c r="B36" s="103">
        <v>28.0</v>
      </c>
      <c r="C36" s="103">
        <v>78.0</v>
      </c>
      <c r="D36" s="103">
        <v>14.0</v>
      </c>
      <c r="E36" s="103">
        <v>60.0</v>
      </c>
      <c r="F36" s="103">
        <v>17.0</v>
      </c>
      <c r="G36" s="103">
        <v>77.0</v>
      </c>
      <c r="H36" s="103">
        <v>74.0</v>
      </c>
      <c r="I36" s="103">
        <v>2.0</v>
      </c>
      <c r="J36" s="103">
        <v>75.0</v>
      </c>
      <c r="K36" s="103">
        <v>2.0</v>
      </c>
      <c r="L36" s="103">
        <v>76.0</v>
      </c>
      <c r="M36" s="103">
        <v>0.0</v>
      </c>
      <c r="N36" s="103">
        <v>0.0</v>
      </c>
      <c r="O36" s="103">
        <v>20.0</v>
      </c>
      <c r="P36" s="103">
        <v>16.0</v>
      </c>
      <c r="Q36" s="103">
        <v>0.0</v>
      </c>
      <c r="R36" s="103">
        <v>3.0</v>
      </c>
      <c r="S36" s="103">
        <v>2.0</v>
      </c>
      <c r="T36" s="103">
        <v>0.0</v>
      </c>
      <c r="U36" s="103">
        <v>7.0</v>
      </c>
      <c r="V36" s="103">
        <v>0.0</v>
      </c>
      <c r="W36" s="103">
        <v>2.0</v>
      </c>
      <c r="X36" s="103">
        <v>0.0</v>
      </c>
      <c r="Y36" s="103">
        <v>1.0</v>
      </c>
      <c r="Z36" s="103">
        <v>11.0</v>
      </c>
      <c r="AA36" s="103">
        <v>16.0</v>
      </c>
      <c r="AB36" s="103">
        <v>0.0</v>
      </c>
      <c r="AC36" s="103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1">
        <v>45717.0</v>
      </c>
      <c r="B37" s="103">
        <v>28.0</v>
      </c>
      <c r="C37" s="103">
        <v>78.0</v>
      </c>
      <c r="D37" s="103">
        <v>14.0</v>
      </c>
      <c r="E37" s="103">
        <v>60.0</v>
      </c>
      <c r="F37" s="103">
        <v>17.0</v>
      </c>
      <c r="G37" s="103">
        <v>77.0</v>
      </c>
      <c r="H37" s="103">
        <v>74.0</v>
      </c>
      <c r="I37" s="103">
        <v>2.0</v>
      </c>
      <c r="J37" s="103">
        <v>75.0</v>
      </c>
      <c r="K37" s="103">
        <v>2.0</v>
      </c>
      <c r="L37" s="103">
        <v>76.0</v>
      </c>
      <c r="M37" s="103">
        <v>0.0</v>
      </c>
      <c r="N37" s="103">
        <v>0.0</v>
      </c>
      <c r="O37" s="103">
        <v>20.0</v>
      </c>
      <c r="P37" s="103">
        <v>16.0</v>
      </c>
      <c r="Q37" s="103">
        <v>0.0</v>
      </c>
      <c r="R37" s="103">
        <v>3.0</v>
      </c>
      <c r="S37" s="103">
        <v>2.0</v>
      </c>
      <c r="T37" s="103">
        <v>0.0</v>
      </c>
      <c r="U37" s="103">
        <v>7.0</v>
      </c>
      <c r="V37" s="103">
        <v>0.0</v>
      </c>
      <c r="W37" s="103">
        <v>2.0</v>
      </c>
      <c r="X37" s="103">
        <v>0.0</v>
      </c>
      <c r="Y37" s="103">
        <v>1.0</v>
      </c>
      <c r="Z37" s="103">
        <v>11.0</v>
      </c>
      <c r="AA37" s="103">
        <v>16.0</v>
      </c>
      <c r="AB37" s="103">
        <v>0.0</v>
      </c>
      <c r="AC37" s="103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1">
        <v>45748.0</v>
      </c>
      <c r="B38" s="103">
        <v>28.0</v>
      </c>
      <c r="C38" s="103">
        <v>78.0</v>
      </c>
      <c r="D38" s="103">
        <v>14.0</v>
      </c>
      <c r="E38" s="103">
        <v>60.0</v>
      </c>
      <c r="F38" s="103">
        <v>17.0</v>
      </c>
      <c r="G38" s="103">
        <v>77.0</v>
      </c>
      <c r="H38" s="103">
        <v>74.0</v>
      </c>
      <c r="I38" s="103">
        <v>2.0</v>
      </c>
      <c r="J38" s="103">
        <v>75.0</v>
      </c>
      <c r="K38" s="103">
        <v>2.0</v>
      </c>
      <c r="L38" s="103">
        <v>76.0</v>
      </c>
      <c r="M38" s="103">
        <v>0.0</v>
      </c>
      <c r="N38" s="103">
        <v>0.0</v>
      </c>
      <c r="O38" s="103">
        <v>20.0</v>
      </c>
      <c r="P38" s="103">
        <v>16.0</v>
      </c>
      <c r="Q38" s="103">
        <v>0.0</v>
      </c>
      <c r="R38" s="103">
        <v>3.0</v>
      </c>
      <c r="S38" s="103">
        <v>2.0</v>
      </c>
      <c r="T38" s="103">
        <v>0.0</v>
      </c>
      <c r="U38" s="103">
        <v>7.0</v>
      </c>
      <c r="V38" s="103">
        <v>0.0</v>
      </c>
      <c r="W38" s="103">
        <v>2.0</v>
      </c>
      <c r="X38" s="103">
        <v>0.0</v>
      </c>
      <c r="Y38" s="103">
        <v>1.0</v>
      </c>
      <c r="Z38" s="103">
        <v>11.0</v>
      </c>
      <c r="AA38" s="103">
        <v>16.0</v>
      </c>
      <c r="AB38" s="103">
        <v>0.0</v>
      </c>
      <c r="AC38" s="103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1">
        <v>45778.0</v>
      </c>
      <c r="B39" s="103">
        <v>28.0</v>
      </c>
      <c r="C39" s="103">
        <v>78.0</v>
      </c>
      <c r="D39" s="103">
        <v>14.0</v>
      </c>
      <c r="E39" s="103">
        <v>60.0</v>
      </c>
      <c r="F39" s="103">
        <v>17.0</v>
      </c>
      <c r="G39" s="103">
        <v>77.0</v>
      </c>
      <c r="H39" s="103">
        <v>74.0</v>
      </c>
      <c r="I39" s="103">
        <v>2.0</v>
      </c>
      <c r="J39" s="103">
        <v>75.0</v>
      </c>
      <c r="K39" s="103">
        <v>2.0</v>
      </c>
      <c r="L39" s="103">
        <v>76.0</v>
      </c>
      <c r="M39" s="103">
        <v>0.0</v>
      </c>
      <c r="N39" s="103">
        <v>0.0</v>
      </c>
      <c r="O39" s="103">
        <v>20.0</v>
      </c>
      <c r="P39" s="103">
        <v>16.0</v>
      </c>
      <c r="Q39" s="103">
        <v>0.0</v>
      </c>
      <c r="R39" s="103">
        <v>3.0</v>
      </c>
      <c r="S39" s="103">
        <v>2.0</v>
      </c>
      <c r="T39" s="103">
        <v>0.0</v>
      </c>
      <c r="U39" s="103">
        <v>7.0</v>
      </c>
      <c r="V39" s="103">
        <v>0.0</v>
      </c>
      <c r="W39" s="103">
        <v>2.0</v>
      </c>
      <c r="X39" s="103">
        <v>0.0</v>
      </c>
      <c r="Y39" s="103">
        <v>1.0</v>
      </c>
      <c r="Z39" s="103">
        <v>11.0</v>
      </c>
      <c r="AA39" s="103">
        <v>16.0</v>
      </c>
      <c r="AB39" s="103">
        <v>0.0</v>
      </c>
      <c r="AC39" s="103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1">
        <v>45809.0</v>
      </c>
      <c r="B40" s="103">
        <v>28.0</v>
      </c>
      <c r="C40" s="103">
        <v>78.0</v>
      </c>
      <c r="D40" s="103">
        <v>14.0</v>
      </c>
      <c r="E40" s="103">
        <v>60.0</v>
      </c>
      <c r="F40" s="103">
        <v>17.0</v>
      </c>
      <c r="G40" s="103">
        <v>77.0</v>
      </c>
      <c r="H40" s="103">
        <v>74.0</v>
      </c>
      <c r="I40" s="103">
        <v>2.0</v>
      </c>
      <c r="J40" s="103">
        <v>75.0</v>
      </c>
      <c r="K40" s="103">
        <v>2.0</v>
      </c>
      <c r="L40" s="103">
        <v>76.0</v>
      </c>
      <c r="M40" s="103">
        <v>0.0</v>
      </c>
      <c r="N40" s="103">
        <v>0.0</v>
      </c>
      <c r="O40" s="103">
        <v>20.0</v>
      </c>
      <c r="P40" s="103">
        <v>16.0</v>
      </c>
      <c r="Q40" s="103">
        <v>0.0</v>
      </c>
      <c r="R40" s="103">
        <v>3.0</v>
      </c>
      <c r="S40" s="103">
        <v>2.0</v>
      </c>
      <c r="T40" s="103">
        <v>0.0</v>
      </c>
      <c r="U40" s="103">
        <v>7.0</v>
      </c>
      <c r="V40" s="103">
        <v>0.0</v>
      </c>
      <c r="W40" s="103">
        <v>2.0</v>
      </c>
      <c r="X40" s="103">
        <v>0.0</v>
      </c>
      <c r="Y40" s="103">
        <v>1.0</v>
      </c>
      <c r="Z40" s="103">
        <v>11.0</v>
      </c>
      <c r="AA40" s="103">
        <v>16.0</v>
      </c>
      <c r="AB40" s="103">
        <v>0.0</v>
      </c>
      <c r="AC40" s="103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1">
        <v>45839.0</v>
      </c>
      <c r="B41" s="103">
        <v>28.0</v>
      </c>
      <c r="C41" s="103">
        <v>78.0</v>
      </c>
      <c r="D41" s="103">
        <v>14.0</v>
      </c>
      <c r="E41" s="103">
        <v>60.0</v>
      </c>
      <c r="F41" s="103">
        <v>17.0</v>
      </c>
      <c r="G41" s="103">
        <v>77.0</v>
      </c>
      <c r="H41" s="103">
        <v>74.0</v>
      </c>
      <c r="I41" s="103">
        <v>2.0</v>
      </c>
      <c r="J41" s="103">
        <v>75.0</v>
      </c>
      <c r="K41" s="103">
        <v>2.0</v>
      </c>
      <c r="L41" s="103">
        <v>76.0</v>
      </c>
      <c r="M41" s="103">
        <v>0.0</v>
      </c>
      <c r="N41" s="103">
        <v>0.0</v>
      </c>
      <c r="O41" s="103">
        <v>20.0</v>
      </c>
      <c r="P41" s="103">
        <v>16.0</v>
      </c>
      <c r="Q41" s="103">
        <v>0.0</v>
      </c>
      <c r="R41" s="103">
        <v>3.0</v>
      </c>
      <c r="S41" s="103">
        <v>2.0</v>
      </c>
      <c r="T41" s="103">
        <v>0.0</v>
      </c>
      <c r="U41" s="103">
        <v>7.0</v>
      </c>
      <c r="V41" s="103">
        <v>0.0</v>
      </c>
      <c r="W41" s="103">
        <v>2.0</v>
      </c>
      <c r="X41" s="103">
        <v>0.0</v>
      </c>
      <c r="Y41" s="103">
        <v>1.0</v>
      </c>
      <c r="Z41" s="103">
        <v>11.0</v>
      </c>
      <c r="AA41" s="103">
        <v>16.0</v>
      </c>
      <c r="AB41" s="103">
        <v>0.0</v>
      </c>
      <c r="AC41" s="103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1">
        <v>45870.0</v>
      </c>
      <c r="B42" s="103">
        <v>28.0</v>
      </c>
      <c r="C42" s="103">
        <v>78.0</v>
      </c>
      <c r="D42" s="103">
        <v>14.0</v>
      </c>
      <c r="E42" s="103">
        <v>60.0</v>
      </c>
      <c r="F42" s="103">
        <v>17.0</v>
      </c>
      <c r="G42" s="103">
        <v>77.0</v>
      </c>
      <c r="H42" s="103">
        <v>74.0</v>
      </c>
      <c r="I42" s="103">
        <v>2.0</v>
      </c>
      <c r="J42" s="103">
        <v>75.0</v>
      </c>
      <c r="K42" s="103">
        <v>2.0</v>
      </c>
      <c r="L42" s="103">
        <v>76.0</v>
      </c>
      <c r="M42" s="103">
        <v>0.0</v>
      </c>
      <c r="N42" s="103">
        <v>0.0</v>
      </c>
      <c r="O42" s="103">
        <v>20.0</v>
      </c>
      <c r="P42" s="103">
        <v>16.0</v>
      </c>
      <c r="Q42" s="103">
        <v>0.0</v>
      </c>
      <c r="R42" s="103">
        <v>3.0</v>
      </c>
      <c r="S42" s="103">
        <v>2.0</v>
      </c>
      <c r="T42" s="103">
        <v>0.0</v>
      </c>
      <c r="U42" s="103">
        <v>7.0</v>
      </c>
      <c r="V42" s="103">
        <v>0.0</v>
      </c>
      <c r="W42" s="103">
        <v>2.0</v>
      </c>
      <c r="X42" s="103">
        <v>0.0</v>
      </c>
      <c r="Y42" s="103">
        <v>1.0</v>
      </c>
      <c r="Z42" s="103">
        <v>11.0</v>
      </c>
      <c r="AA42" s="103">
        <v>16.0</v>
      </c>
      <c r="AB42" s="103">
        <v>0.0</v>
      </c>
      <c r="AC42" s="103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1">
        <v>45901.0</v>
      </c>
      <c r="B43" s="103">
        <v>28.0</v>
      </c>
      <c r="C43" s="103">
        <v>78.0</v>
      </c>
      <c r="D43" s="103">
        <v>14.0</v>
      </c>
      <c r="E43" s="103">
        <v>60.0</v>
      </c>
      <c r="F43" s="103">
        <v>17.0</v>
      </c>
      <c r="G43" s="103">
        <v>77.0</v>
      </c>
      <c r="H43" s="103">
        <v>74.0</v>
      </c>
      <c r="I43" s="103">
        <v>2.0</v>
      </c>
      <c r="J43" s="103">
        <v>75.0</v>
      </c>
      <c r="K43" s="103">
        <v>2.0</v>
      </c>
      <c r="L43" s="103">
        <v>76.0</v>
      </c>
      <c r="M43" s="103">
        <v>0.0</v>
      </c>
      <c r="N43" s="103">
        <v>0.0</v>
      </c>
      <c r="O43" s="103">
        <v>20.0</v>
      </c>
      <c r="P43" s="103">
        <v>16.0</v>
      </c>
      <c r="Q43" s="103">
        <v>0.0</v>
      </c>
      <c r="R43" s="103">
        <v>3.0</v>
      </c>
      <c r="S43" s="103">
        <v>2.0</v>
      </c>
      <c r="T43" s="103">
        <v>0.0</v>
      </c>
      <c r="U43" s="103">
        <v>7.0</v>
      </c>
      <c r="V43" s="103">
        <v>0.0</v>
      </c>
      <c r="W43" s="103">
        <v>2.0</v>
      </c>
      <c r="X43" s="103">
        <v>0.0</v>
      </c>
      <c r="Y43" s="103">
        <v>1.0</v>
      </c>
      <c r="Z43" s="103">
        <v>11.0</v>
      </c>
      <c r="AA43" s="103">
        <v>16.0</v>
      </c>
      <c r="AB43" s="103">
        <v>0.0</v>
      </c>
      <c r="AC43" s="103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1">
        <v>45931.0</v>
      </c>
      <c r="B44" s="103">
        <v>28.0</v>
      </c>
      <c r="C44" s="103">
        <v>78.0</v>
      </c>
      <c r="D44" s="103">
        <v>14.0</v>
      </c>
      <c r="E44" s="103">
        <v>60.0</v>
      </c>
      <c r="F44" s="103">
        <v>17.0</v>
      </c>
      <c r="G44" s="103">
        <v>77.0</v>
      </c>
      <c r="H44" s="103">
        <v>74.0</v>
      </c>
      <c r="I44" s="103">
        <v>2.0</v>
      </c>
      <c r="J44" s="103">
        <v>75.0</v>
      </c>
      <c r="K44" s="103">
        <v>2.0</v>
      </c>
      <c r="L44" s="103">
        <v>76.0</v>
      </c>
      <c r="M44" s="103">
        <v>0.0</v>
      </c>
      <c r="N44" s="103">
        <v>0.0</v>
      </c>
      <c r="O44" s="103">
        <v>20.0</v>
      </c>
      <c r="P44" s="103">
        <v>16.0</v>
      </c>
      <c r="Q44" s="103">
        <v>0.0</v>
      </c>
      <c r="R44" s="103">
        <v>3.0</v>
      </c>
      <c r="S44" s="103">
        <v>2.0</v>
      </c>
      <c r="T44" s="103">
        <v>0.0</v>
      </c>
      <c r="U44" s="103">
        <v>7.0</v>
      </c>
      <c r="V44" s="103">
        <v>0.0</v>
      </c>
      <c r="W44" s="103">
        <v>2.0</v>
      </c>
      <c r="X44" s="103">
        <v>0.0</v>
      </c>
      <c r="Y44" s="103">
        <v>1.0</v>
      </c>
      <c r="Z44" s="103">
        <v>11.0</v>
      </c>
      <c r="AA44" s="103">
        <v>16.0</v>
      </c>
      <c r="AB44" s="103">
        <v>0.0</v>
      </c>
      <c r="AC44" s="103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1">
        <v>45962.0</v>
      </c>
      <c r="B45" s="103">
        <v>28.0</v>
      </c>
      <c r="C45" s="103">
        <v>78.0</v>
      </c>
      <c r="D45" s="103">
        <v>14.0</v>
      </c>
      <c r="E45" s="103">
        <v>60.0</v>
      </c>
      <c r="F45" s="103">
        <v>17.0</v>
      </c>
      <c r="G45" s="103">
        <v>77.0</v>
      </c>
      <c r="H45" s="103">
        <v>74.0</v>
      </c>
      <c r="I45" s="103">
        <v>2.0</v>
      </c>
      <c r="J45" s="103">
        <v>75.0</v>
      </c>
      <c r="K45" s="103">
        <v>2.0</v>
      </c>
      <c r="L45" s="103">
        <v>76.0</v>
      </c>
      <c r="M45" s="103">
        <v>0.0</v>
      </c>
      <c r="N45" s="103">
        <v>0.0</v>
      </c>
      <c r="O45" s="103">
        <v>20.0</v>
      </c>
      <c r="P45" s="103">
        <v>16.0</v>
      </c>
      <c r="Q45" s="103">
        <v>0.0</v>
      </c>
      <c r="R45" s="103">
        <v>3.0</v>
      </c>
      <c r="S45" s="103">
        <v>2.0</v>
      </c>
      <c r="T45" s="103">
        <v>0.0</v>
      </c>
      <c r="U45" s="103">
        <v>7.0</v>
      </c>
      <c r="V45" s="103">
        <v>0.0</v>
      </c>
      <c r="W45" s="103">
        <v>2.0</v>
      </c>
      <c r="X45" s="103">
        <v>0.0</v>
      </c>
      <c r="Y45" s="103">
        <v>1.0</v>
      </c>
      <c r="Z45" s="103">
        <v>11.0</v>
      </c>
      <c r="AA45" s="103">
        <v>16.0</v>
      </c>
      <c r="AB45" s="103">
        <v>0.0</v>
      </c>
      <c r="AC45" s="103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1">
        <v>45992.0</v>
      </c>
      <c r="B46" s="103">
        <v>28.0</v>
      </c>
      <c r="C46" s="103">
        <v>78.0</v>
      </c>
      <c r="D46" s="103">
        <v>14.0</v>
      </c>
      <c r="E46" s="103">
        <v>60.0</v>
      </c>
      <c r="F46" s="103">
        <v>17.0</v>
      </c>
      <c r="G46" s="103">
        <v>77.0</v>
      </c>
      <c r="H46" s="103">
        <v>74.0</v>
      </c>
      <c r="I46" s="103">
        <v>2.0</v>
      </c>
      <c r="J46" s="103">
        <v>75.0</v>
      </c>
      <c r="K46" s="103">
        <v>2.0</v>
      </c>
      <c r="L46" s="103">
        <v>76.0</v>
      </c>
      <c r="M46" s="103">
        <v>0.0</v>
      </c>
      <c r="N46" s="103">
        <v>0.0</v>
      </c>
      <c r="O46" s="103">
        <v>20.0</v>
      </c>
      <c r="P46" s="103">
        <v>16.0</v>
      </c>
      <c r="Q46" s="103">
        <v>0.0</v>
      </c>
      <c r="R46" s="103">
        <v>3.0</v>
      </c>
      <c r="S46" s="103">
        <v>2.0</v>
      </c>
      <c r="T46" s="103">
        <v>0.0</v>
      </c>
      <c r="U46" s="103">
        <v>7.0</v>
      </c>
      <c r="V46" s="103">
        <v>0.0</v>
      </c>
      <c r="W46" s="103">
        <v>2.0</v>
      </c>
      <c r="X46" s="103">
        <v>0.0</v>
      </c>
      <c r="Y46" s="103">
        <v>1.0</v>
      </c>
      <c r="Z46" s="103">
        <v>11.0</v>
      </c>
      <c r="AA46" s="103">
        <v>16.0</v>
      </c>
      <c r="AB46" s="103">
        <v>0.0</v>
      </c>
      <c r="AC46" s="103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42" t="s">
        <v>40</v>
      </c>
      <c r="B47" s="143">
        <f t="shared" ref="B47:AC47" si="2">SUM(B35:B46)</f>
        <v>336</v>
      </c>
      <c r="C47" s="143">
        <f t="shared" si="2"/>
        <v>936</v>
      </c>
      <c r="D47" s="143">
        <f t="shared" si="2"/>
        <v>168</v>
      </c>
      <c r="E47" s="143">
        <f t="shared" si="2"/>
        <v>720</v>
      </c>
      <c r="F47" s="143">
        <f t="shared" si="2"/>
        <v>204</v>
      </c>
      <c r="G47" s="143">
        <f t="shared" si="2"/>
        <v>924</v>
      </c>
      <c r="H47" s="143">
        <f t="shared" si="2"/>
        <v>888</v>
      </c>
      <c r="I47" s="143">
        <f t="shared" si="2"/>
        <v>24</v>
      </c>
      <c r="J47" s="143">
        <f t="shared" si="2"/>
        <v>900</v>
      </c>
      <c r="K47" s="143">
        <f t="shared" si="2"/>
        <v>24</v>
      </c>
      <c r="L47" s="143">
        <f t="shared" si="2"/>
        <v>912</v>
      </c>
      <c r="M47" s="143">
        <f t="shared" si="2"/>
        <v>0</v>
      </c>
      <c r="N47" s="143">
        <f t="shared" si="2"/>
        <v>0</v>
      </c>
      <c r="O47" s="143">
        <f t="shared" si="2"/>
        <v>240</v>
      </c>
      <c r="P47" s="143">
        <f t="shared" si="2"/>
        <v>192</v>
      </c>
      <c r="Q47" s="143">
        <f t="shared" si="2"/>
        <v>0</v>
      </c>
      <c r="R47" s="143">
        <f t="shared" si="2"/>
        <v>36</v>
      </c>
      <c r="S47" s="143">
        <f t="shared" si="2"/>
        <v>24</v>
      </c>
      <c r="T47" s="143">
        <f t="shared" si="2"/>
        <v>0</v>
      </c>
      <c r="U47" s="143">
        <f t="shared" si="2"/>
        <v>84</v>
      </c>
      <c r="V47" s="143">
        <f t="shared" si="2"/>
        <v>0</v>
      </c>
      <c r="W47" s="143">
        <f t="shared" si="2"/>
        <v>24</v>
      </c>
      <c r="X47" s="143">
        <f t="shared" si="2"/>
        <v>0</v>
      </c>
      <c r="Y47" s="143">
        <f t="shared" si="2"/>
        <v>12</v>
      </c>
      <c r="Z47" s="143">
        <f t="shared" si="2"/>
        <v>132</v>
      </c>
      <c r="AA47" s="143">
        <f t="shared" si="2"/>
        <v>192</v>
      </c>
      <c r="AB47" s="143">
        <f t="shared" si="2"/>
        <v>0</v>
      </c>
      <c r="AC47" s="143">
        <f t="shared" si="2"/>
        <v>0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77" t="s">
        <v>186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154</v>
      </c>
      <c r="B51" s="83" t="s">
        <v>187</v>
      </c>
      <c r="C51" s="83" t="s">
        <v>188</v>
      </c>
      <c r="D51" s="54" t="s">
        <v>157</v>
      </c>
      <c r="E51" s="23"/>
      <c r="F51" s="23"/>
      <c r="G51" s="8"/>
      <c r="H51" s="54" t="s">
        <v>189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8"/>
      <c r="W51" s="58" t="s">
        <v>190</v>
      </c>
      <c r="X51" s="42"/>
      <c r="Y51" s="42"/>
      <c r="Z51" s="42"/>
      <c r="AA51" s="42"/>
      <c r="AB51" s="42"/>
      <c r="AC51" s="43"/>
      <c r="AD51" s="83" t="s">
        <v>191</v>
      </c>
      <c r="AE51" s="54" t="s">
        <v>192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44" t="s">
        <v>193</v>
      </c>
      <c r="C52" s="144" t="s">
        <v>194</v>
      </c>
      <c r="D52" s="54" t="s">
        <v>166</v>
      </c>
      <c r="E52" s="8"/>
      <c r="F52" s="54" t="s">
        <v>167</v>
      </c>
      <c r="G52" s="8"/>
      <c r="H52" s="54" t="s">
        <v>195</v>
      </c>
      <c r="I52" s="8"/>
      <c r="J52" s="54" t="s">
        <v>196</v>
      </c>
      <c r="K52" s="23"/>
      <c r="L52" s="23"/>
      <c r="M52" s="8"/>
      <c r="N52" s="54" t="s">
        <v>197</v>
      </c>
      <c r="O52" s="8"/>
      <c r="P52" s="54" t="s">
        <v>198</v>
      </c>
      <c r="Q52" s="8"/>
      <c r="R52" s="54" t="s">
        <v>199</v>
      </c>
      <c r="S52" s="8"/>
      <c r="T52" s="112" t="s">
        <v>169</v>
      </c>
      <c r="U52" s="8"/>
      <c r="V52" s="65" t="s">
        <v>171</v>
      </c>
      <c r="W52" s="46"/>
      <c r="X52" s="47"/>
      <c r="Y52" s="47"/>
      <c r="Z52" s="47"/>
      <c r="AA52" s="47"/>
      <c r="AB52" s="47"/>
      <c r="AC52" s="48"/>
      <c r="AD52" s="61"/>
      <c r="AE52" s="86" t="s">
        <v>187</v>
      </c>
      <c r="AF52" s="86" t="s">
        <v>200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5"/>
      <c r="C53" s="146" t="s">
        <v>201</v>
      </c>
      <c r="D53" s="86" t="s">
        <v>187</v>
      </c>
      <c r="E53" s="86" t="s">
        <v>202</v>
      </c>
      <c r="F53" s="86" t="s">
        <v>187</v>
      </c>
      <c r="G53" s="86" t="s">
        <v>202</v>
      </c>
      <c r="H53" s="86" t="s">
        <v>203</v>
      </c>
      <c r="I53" s="86" t="s">
        <v>204</v>
      </c>
      <c r="J53" s="86" t="s">
        <v>205</v>
      </c>
      <c r="K53" s="86" t="s">
        <v>206</v>
      </c>
      <c r="L53" s="86" t="s">
        <v>207</v>
      </c>
      <c r="M53" s="86" t="s">
        <v>208</v>
      </c>
      <c r="N53" s="86" t="s">
        <v>209</v>
      </c>
      <c r="O53" s="86" t="s">
        <v>210</v>
      </c>
      <c r="P53" s="86" t="s">
        <v>207</v>
      </c>
      <c r="Q53" s="86" t="s">
        <v>208</v>
      </c>
      <c r="R53" s="146" t="s">
        <v>209</v>
      </c>
      <c r="S53" s="86" t="s">
        <v>210</v>
      </c>
      <c r="T53" s="86" t="s">
        <v>209</v>
      </c>
      <c r="U53" s="86" t="s">
        <v>210</v>
      </c>
      <c r="V53" s="86" t="s">
        <v>211</v>
      </c>
      <c r="W53" s="86" t="s">
        <v>212</v>
      </c>
      <c r="X53" s="86" t="s">
        <v>213</v>
      </c>
      <c r="Y53" s="86" t="s">
        <v>214</v>
      </c>
      <c r="Z53" s="54" t="s">
        <v>215</v>
      </c>
      <c r="AA53" s="146" t="s">
        <v>216</v>
      </c>
      <c r="AB53" s="147" t="s">
        <v>217</v>
      </c>
      <c r="AC53" s="86" t="s">
        <v>218</v>
      </c>
      <c r="AD53" s="10"/>
      <c r="AE53" s="86" t="s">
        <v>219</v>
      </c>
      <c r="AF53" s="86" t="s">
        <v>220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5">
        <v>1.0</v>
      </c>
      <c r="B54" s="135">
        <v>2.0</v>
      </c>
      <c r="C54" s="135">
        <v>3.0</v>
      </c>
      <c r="D54" s="135">
        <v>4.0</v>
      </c>
      <c r="E54" s="135">
        <v>5.0</v>
      </c>
      <c r="F54" s="135">
        <v>6.0</v>
      </c>
      <c r="G54" s="135">
        <v>7.0</v>
      </c>
      <c r="H54" s="135">
        <v>8.0</v>
      </c>
      <c r="I54" s="148">
        <v>9.0</v>
      </c>
      <c r="J54" s="148">
        <v>10.0</v>
      </c>
      <c r="K54" s="148">
        <v>11.0</v>
      </c>
      <c r="L54" s="148">
        <v>12.0</v>
      </c>
      <c r="M54" s="148">
        <v>13.0</v>
      </c>
      <c r="N54" s="148">
        <v>14.0</v>
      </c>
      <c r="O54" s="149">
        <v>15.0</v>
      </c>
      <c r="P54" s="148">
        <v>16.0</v>
      </c>
      <c r="Q54" s="148">
        <v>17.0</v>
      </c>
      <c r="R54" s="149">
        <v>18.0</v>
      </c>
      <c r="S54" s="148">
        <v>19.0</v>
      </c>
      <c r="T54" s="148">
        <v>20.0</v>
      </c>
      <c r="U54" s="135">
        <v>21.0</v>
      </c>
      <c r="V54" s="135">
        <v>22.0</v>
      </c>
      <c r="W54" s="135">
        <v>23.0</v>
      </c>
      <c r="X54" s="135">
        <v>24.0</v>
      </c>
      <c r="Y54" s="135">
        <v>25.0</v>
      </c>
      <c r="Z54" s="150">
        <v>26.0</v>
      </c>
      <c r="AA54" s="151">
        <v>27.0</v>
      </c>
      <c r="AB54" s="152">
        <v>28.0</v>
      </c>
      <c r="AC54" s="135">
        <v>29.0</v>
      </c>
      <c r="AD54" s="135">
        <v>30.0</v>
      </c>
      <c r="AE54" s="135">
        <v>31.0</v>
      </c>
      <c r="AF54" s="13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1">
        <v>45658.0</v>
      </c>
      <c r="B55" s="103">
        <v>31.0</v>
      </c>
      <c r="C55" s="103">
        <v>230.0</v>
      </c>
      <c r="D55" s="103">
        <v>50.0</v>
      </c>
      <c r="E55" s="103">
        <v>231.0</v>
      </c>
      <c r="F55" s="103">
        <v>5.0</v>
      </c>
      <c r="G55" s="103">
        <v>117.0</v>
      </c>
      <c r="H55" s="103">
        <v>178.0</v>
      </c>
      <c r="I55" s="103">
        <v>36.0</v>
      </c>
      <c r="J55" s="103">
        <v>165.0</v>
      </c>
      <c r="K55" s="103">
        <v>56.0</v>
      </c>
      <c r="L55" s="103">
        <v>201.0</v>
      </c>
      <c r="M55" s="103">
        <v>13.0</v>
      </c>
      <c r="N55" s="103">
        <v>223.0</v>
      </c>
      <c r="O55" s="103">
        <v>5.0</v>
      </c>
      <c r="P55" s="103">
        <v>196.0</v>
      </c>
      <c r="Q55" s="103">
        <v>13.0</v>
      </c>
      <c r="R55" s="103">
        <v>196.0</v>
      </c>
      <c r="S55" s="103">
        <v>13.0</v>
      </c>
      <c r="T55" s="103">
        <v>0.0</v>
      </c>
      <c r="U55" s="103">
        <v>11.0</v>
      </c>
      <c r="V55" s="103">
        <v>43.0</v>
      </c>
      <c r="W55" s="103">
        <v>11.0</v>
      </c>
      <c r="X55" s="103">
        <v>43.0</v>
      </c>
      <c r="Y55" s="103">
        <v>36.0</v>
      </c>
      <c r="Z55" s="103">
        <v>97.0</v>
      </c>
      <c r="AA55" s="103">
        <v>97.0</v>
      </c>
      <c r="AB55" s="103">
        <v>102.0</v>
      </c>
      <c r="AC55" s="103">
        <v>60.0</v>
      </c>
      <c r="AD55" s="103">
        <v>1.0</v>
      </c>
      <c r="AE55" s="103">
        <v>0.0</v>
      </c>
      <c r="AF55" s="103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3" t="s">
        <v>221</v>
      </c>
      <c r="B56" s="103">
        <v>31.0</v>
      </c>
      <c r="C56" s="103">
        <v>230.0</v>
      </c>
      <c r="D56" s="103">
        <v>50.0</v>
      </c>
      <c r="E56" s="103">
        <v>231.0</v>
      </c>
      <c r="F56" s="103">
        <v>5.0</v>
      </c>
      <c r="G56" s="103">
        <v>117.0</v>
      </c>
      <c r="H56" s="103">
        <v>178.0</v>
      </c>
      <c r="I56" s="103">
        <v>36.0</v>
      </c>
      <c r="J56" s="103">
        <v>165.0</v>
      </c>
      <c r="K56" s="103">
        <v>56.0</v>
      </c>
      <c r="L56" s="103">
        <v>201.0</v>
      </c>
      <c r="M56" s="103">
        <v>13.0</v>
      </c>
      <c r="N56" s="103">
        <v>223.0</v>
      </c>
      <c r="O56" s="103">
        <v>5.0</v>
      </c>
      <c r="P56" s="103">
        <v>196.0</v>
      </c>
      <c r="Q56" s="103">
        <v>13.0</v>
      </c>
      <c r="R56" s="103">
        <v>196.0</v>
      </c>
      <c r="S56" s="103">
        <v>13.0</v>
      </c>
      <c r="T56" s="103">
        <v>0.0</v>
      </c>
      <c r="U56" s="103">
        <v>11.0</v>
      </c>
      <c r="V56" s="103">
        <v>43.0</v>
      </c>
      <c r="W56" s="103">
        <v>11.0</v>
      </c>
      <c r="X56" s="103">
        <v>43.0</v>
      </c>
      <c r="Y56" s="103">
        <v>36.0</v>
      </c>
      <c r="Z56" s="103">
        <v>97.0</v>
      </c>
      <c r="AA56" s="103">
        <v>97.0</v>
      </c>
      <c r="AB56" s="103">
        <v>102.0</v>
      </c>
      <c r="AC56" s="103">
        <v>60.0</v>
      </c>
      <c r="AD56" s="103">
        <v>1.0</v>
      </c>
      <c r="AE56" s="103">
        <v>0.0</v>
      </c>
      <c r="AF56" s="103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1">
        <v>45717.0</v>
      </c>
      <c r="B57" s="103">
        <v>31.0</v>
      </c>
      <c r="C57" s="103">
        <v>230.0</v>
      </c>
      <c r="D57" s="103">
        <v>50.0</v>
      </c>
      <c r="E57" s="103">
        <v>231.0</v>
      </c>
      <c r="F57" s="103">
        <v>5.0</v>
      </c>
      <c r="G57" s="103">
        <v>117.0</v>
      </c>
      <c r="H57" s="103">
        <v>178.0</v>
      </c>
      <c r="I57" s="103">
        <v>36.0</v>
      </c>
      <c r="J57" s="103">
        <v>165.0</v>
      </c>
      <c r="K57" s="103">
        <v>56.0</v>
      </c>
      <c r="L57" s="103">
        <v>201.0</v>
      </c>
      <c r="M57" s="103">
        <v>13.0</v>
      </c>
      <c r="N57" s="103">
        <v>223.0</v>
      </c>
      <c r="O57" s="103">
        <v>5.0</v>
      </c>
      <c r="P57" s="103">
        <v>196.0</v>
      </c>
      <c r="Q57" s="103">
        <v>13.0</v>
      </c>
      <c r="R57" s="103">
        <v>196.0</v>
      </c>
      <c r="S57" s="103">
        <v>13.0</v>
      </c>
      <c r="T57" s="103">
        <v>0.0</v>
      </c>
      <c r="U57" s="103">
        <v>11.0</v>
      </c>
      <c r="V57" s="103">
        <v>43.0</v>
      </c>
      <c r="W57" s="103">
        <v>11.0</v>
      </c>
      <c r="X57" s="103">
        <v>43.0</v>
      </c>
      <c r="Y57" s="103">
        <v>36.0</v>
      </c>
      <c r="Z57" s="103">
        <v>97.0</v>
      </c>
      <c r="AA57" s="103">
        <v>97.0</v>
      </c>
      <c r="AB57" s="103">
        <v>102.0</v>
      </c>
      <c r="AC57" s="103">
        <v>60.0</v>
      </c>
      <c r="AD57" s="103">
        <v>1.0</v>
      </c>
      <c r="AE57" s="103">
        <v>0.0</v>
      </c>
      <c r="AF57" s="103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1">
        <v>45748.0</v>
      </c>
      <c r="B58" s="103">
        <v>31.0</v>
      </c>
      <c r="C58" s="103">
        <v>230.0</v>
      </c>
      <c r="D58" s="103">
        <v>50.0</v>
      </c>
      <c r="E58" s="103">
        <v>231.0</v>
      </c>
      <c r="F58" s="103">
        <v>5.0</v>
      </c>
      <c r="G58" s="103">
        <v>117.0</v>
      </c>
      <c r="H58" s="103">
        <v>178.0</v>
      </c>
      <c r="I58" s="103">
        <v>36.0</v>
      </c>
      <c r="J58" s="103">
        <v>165.0</v>
      </c>
      <c r="K58" s="103">
        <v>56.0</v>
      </c>
      <c r="L58" s="103">
        <v>201.0</v>
      </c>
      <c r="M58" s="103">
        <v>13.0</v>
      </c>
      <c r="N58" s="103">
        <v>223.0</v>
      </c>
      <c r="O58" s="103">
        <v>5.0</v>
      </c>
      <c r="P58" s="103">
        <v>196.0</v>
      </c>
      <c r="Q58" s="103">
        <v>13.0</v>
      </c>
      <c r="R58" s="103">
        <v>196.0</v>
      </c>
      <c r="S58" s="103">
        <v>13.0</v>
      </c>
      <c r="T58" s="103">
        <v>0.0</v>
      </c>
      <c r="U58" s="103">
        <v>11.0</v>
      </c>
      <c r="V58" s="103">
        <v>43.0</v>
      </c>
      <c r="W58" s="103">
        <v>11.0</v>
      </c>
      <c r="X58" s="103">
        <v>43.0</v>
      </c>
      <c r="Y58" s="103">
        <v>36.0</v>
      </c>
      <c r="Z58" s="103">
        <v>97.0</v>
      </c>
      <c r="AA58" s="103">
        <v>97.0</v>
      </c>
      <c r="AB58" s="103">
        <v>102.0</v>
      </c>
      <c r="AC58" s="103">
        <v>60.0</v>
      </c>
      <c r="AD58" s="103">
        <v>1.0</v>
      </c>
      <c r="AE58" s="103">
        <v>0.0</v>
      </c>
      <c r="AF58" s="103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1">
        <v>45778.0</v>
      </c>
      <c r="B59" s="103">
        <v>31.0</v>
      </c>
      <c r="C59" s="103">
        <v>230.0</v>
      </c>
      <c r="D59" s="103">
        <v>50.0</v>
      </c>
      <c r="E59" s="103">
        <v>231.0</v>
      </c>
      <c r="F59" s="103">
        <v>5.0</v>
      </c>
      <c r="G59" s="103">
        <v>117.0</v>
      </c>
      <c r="H59" s="103">
        <v>178.0</v>
      </c>
      <c r="I59" s="103">
        <v>36.0</v>
      </c>
      <c r="J59" s="103">
        <v>165.0</v>
      </c>
      <c r="K59" s="103">
        <v>56.0</v>
      </c>
      <c r="L59" s="103">
        <v>201.0</v>
      </c>
      <c r="M59" s="103">
        <v>13.0</v>
      </c>
      <c r="N59" s="103">
        <v>223.0</v>
      </c>
      <c r="O59" s="103">
        <v>5.0</v>
      </c>
      <c r="P59" s="103">
        <v>196.0</v>
      </c>
      <c r="Q59" s="103">
        <v>13.0</v>
      </c>
      <c r="R59" s="103">
        <v>196.0</v>
      </c>
      <c r="S59" s="103">
        <v>13.0</v>
      </c>
      <c r="T59" s="103">
        <v>0.0</v>
      </c>
      <c r="U59" s="103">
        <v>11.0</v>
      </c>
      <c r="V59" s="103">
        <v>43.0</v>
      </c>
      <c r="W59" s="103">
        <v>11.0</v>
      </c>
      <c r="X59" s="103">
        <v>43.0</v>
      </c>
      <c r="Y59" s="103">
        <v>36.0</v>
      </c>
      <c r="Z59" s="103">
        <v>97.0</v>
      </c>
      <c r="AA59" s="103">
        <v>97.0</v>
      </c>
      <c r="AB59" s="103">
        <v>102.0</v>
      </c>
      <c r="AC59" s="103">
        <v>60.0</v>
      </c>
      <c r="AD59" s="103">
        <v>1.0</v>
      </c>
      <c r="AE59" s="103">
        <v>0.0</v>
      </c>
      <c r="AF59" s="103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1">
        <v>45809.0</v>
      </c>
      <c r="B60" s="103">
        <v>31.0</v>
      </c>
      <c r="C60" s="103">
        <v>230.0</v>
      </c>
      <c r="D60" s="103">
        <v>50.0</v>
      </c>
      <c r="E60" s="103">
        <v>231.0</v>
      </c>
      <c r="F60" s="103">
        <v>5.0</v>
      </c>
      <c r="G60" s="103">
        <v>117.0</v>
      </c>
      <c r="H60" s="103">
        <v>178.0</v>
      </c>
      <c r="I60" s="103">
        <v>36.0</v>
      </c>
      <c r="J60" s="103">
        <v>165.0</v>
      </c>
      <c r="K60" s="103">
        <v>56.0</v>
      </c>
      <c r="L60" s="103">
        <v>201.0</v>
      </c>
      <c r="M60" s="103">
        <v>13.0</v>
      </c>
      <c r="N60" s="103">
        <v>223.0</v>
      </c>
      <c r="O60" s="103">
        <v>5.0</v>
      </c>
      <c r="P60" s="103">
        <v>196.0</v>
      </c>
      <c r="Q60" s="103">
        <v>13.0</v>
      </c>
      <c r="R60" s="103">
        <v>196.0</v>
      </c>
      <c r="S60" s="103">
        <v>13.0</v>
      </c>
      <c r="T60" s="103">
        <v>0.0</v>
      </c>
      <c r="U60" s="103">
        <v>11.0</v>
      </c>
      <c r="V60" s="103">
        <v>43.0</v>
      </c>
      <c r="W60" s="103">
        <v>11.0</v>
      </c>
      <c r="X60" s="103">
        <v>43.0</v>
      </c>
      <c r="Y60" s="103">
        <v>36.0</v>
      </c>
      <c r="Z60" s="103">
        <v>97.0</v>
      </c>
      <c r="AA60" s="103">
        <v>97.0</v>
      </c>
      <c r="AB60" s="103">
        <v>102.0</v>
      </c>
      <c r="AC60" s="103">
        <v>60.0</v>
      </c>
      <c r="AD60" s="103">
        <v>1.0</v>
      </c>
      <c r="AE60" s="103">
        <v>0.0</v>
      </c>
      <c r="AF60" s="103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1">
        <v>45839.0</v>
      </c>
      <c r="B61" s="103">
        <v>31.0</v>
      </c>
      <c r="C61" s="103">
        <v>230.0</v>
      </c>
      <c r="D61" s="103">
        <v>50.0</v>
      </c>
      <c r="E61" s="103">
        <v>231.0</v>
      </c>
      <c r="F61" s="103">
        <v>5.0</v>
      </c>
      <c r="G61" s="103">
        <v>117.0</v>
      </c>
      <c r="H61" s="103">
        <v>178.0</v>
      </c>
      <c r="I61" s="103">
        <v>36.0</v>
      </c>
      <c r="J61" s="103">
        <v>165.0</v>
      </c>
      <c r="K61" s="103">
        <v>56.0</v>
      </c>
      <c r="L61" s="103">
        <v>201.0</v>
      </c>
      <c r="M61" s="103">
        <v>13.0</v>
      </c>
      <c r="N61" s="103">
        <v>223.0</v>
      </c>
      <c r="O61" s="103">
        <v>5.0</v>
      </c>
      <c r="P61" s="103">
        <v>196.0</v>
      </c>
      <c r="Q61" s="103">
        <v>13.0</v>
      </c>
      <c r="R61" s="103">
        <v>196.0</v>
      </c>
      <c r="S61" s="103">
        <v>13.0</v>
      </c>
      <c r="T61" s="103">
        <v>0.0</v>
      </c>
      <c r="U61" s="103">
        <v>11.0</v>
      </c>
      <c r="V61" s="103">
        <v>43.0</v>
      </c>
      <c r="W61" s="103">
        <v>11.0</v>
      </c>
      <c r="X61" s="103">
        <v>43.0</v>
      </c>
      <c r="Y61" s="103">
        <v>36.0</v>
      </c>
      <c r="Z61" s="103">
        <v>97.0</v>
      </c>
      <c r="AA61" s="103">
        <v>97.0</v>
      </c>
      <c r="AB61" s="103">
        <v>102.0</v>
      </c>
      <c r="AC61" s="103">
        <v>60.0</v>
      </c>
      <c r="AD61" s="103">
        <v>1.0</v>
      </c>
      <c r="AE61" s="103">
        <v>0.0</v>
      </c>
      <c r="AF61" s="103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1">
        <v>45870.0</v>
      </c>
      <c r="B62" s="103">
        <v>31.0</v>
      </c>
      <c r="C62" s="103">
        <v>230.0</v>
      </c>
      <c r="D62" s="103">
        <v>50.0</v>
      </c>
      <c r="E62" s="103">
        <v>231.0</v>
      </c>
      <c r="F62" s="103">
        <v>5.0</v>
      </c>
      <c r="G62" s="103">
        <v>117.0</v>
      </c>
      <c r="H62" s="103">
        <v>178.0</v>
      </c>
      <c r="I62" s="103">
        <v>36.0</v>
      </c>
      <c r="J62" s="103">
        <v>165.0</v>
      </c>
      <c r="K62" s="103">
        <v>56.0</v>
      </c>
      <c r="L62" s="103">
        <v>201.0</v>
      </c>
      <c r="M62" s="103">
        <v>13.0</v>
      </c>
      <c r="N62" s="103">
        <v>223.0</v>
      </c>
      <c r="O62" s="103">
        <v>5.0</v>
      </c>
      <c r="P62" s="103">
        <v>196.0</v>
      </c>
      <c r="Q62" s="103">
        <v>13.0</v>
      </c>
      <c r="R62" s="103">
        <v>196.0</v>
      </c>
      <c r="S62" s="103">
        <v>13.0</v>
      </c>
      <c r="T62" s="103">
        <v>0.0</v>
      </c>
      <c r="U62" s="103">
        <v>11.0</v>
      </c>
      <c r="V62" s="103">
        <v>43.0</v>
      </c>
      <c r="W62" s="103">
        <v>11.0</v>
      </c>
      <c r="X62" s="103">
        <v>43.0</v>
      </c>
      <c r="Y62" s="103">
        <v>36.0</v>
      </c>
      <c r="Z62" s="103">
        <v>97.0</v>
      </c>
      <c r="AA62" s="103">
        <v>97.0</v>
      </c>
      <c r="AB62" s="103">
        <v>102.0</v>
      </c>
      <c r="AC62" s="103">
        <v>60.0</v>
      </c>
      <c r="AD62" s="103">
        <v>1.0</v>
      </c>
      <c r="AE62" s="103">
        <v>0.0</v>
      </c>
      <c r="AF62" s="103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1">
        <v>45901.0</v>
      </c>
      <c r="B63" s="103">
        <v>31.0</v>
      </c>
      <c r="C63" s="103">
        <v>230.0</v>
      </c>
      <c r="D63" s="103">
        <v>50.0</v>
      </c>
      <c r="E63" s="103">
        <v>231.0</v>
      </c>
      <c r="F63" s="103">
        <v>5.0</v>
      </c>
      <c r="G63" s="103">
        <v>117.0</v>
      </c>
      <c r="H63" s="103">
        <v>178.0</v>
      </c>
      <c r="I63" s="103">
        <v>36.0</v>
      </c>
      <c r="J63" s="103">
        <v>165.0</v>
      </c>
      <c r="K63" s="103">
        <v>56.0</v>
      </c>
      <c r="L63" s="103">
        <v>201.0</v>
      </c>
      <c r="M63" s="103">
        <v>13.0</v>
      </c>
      <c r="N63" s="103">
        <v>223.0</v>
      </c>
      <c r="O63" s="103">
        <v>5.0</v>
      </c>
      <c r="P63" s="103">
        <v>196.0</v>
      </c>
      <c r="Q63" s="103">
        <v>13.0</v>
      </c>
      <c r="R63" s="103">
        <v>196.0</v>
      </c>
      <c r="S63" s="103">
        <v>13.0</v>
      </c>
      <c r="T63" s="103">
        <v>0.0</v>
      </c>
      <c r="U63" s="103">
        <v>11.0</v>
      </c>
      <c r="V63" s="103">
        <v>43.0</v>
      </c>
      <c r="W63" s="103">
        <v>11.0</v>
      </c>
      <c r="X63" s="103">
        <v>43.0</v>
      </c>
      <c r="Y63" s="103">
        <v>36.0</v>
      </c>
      <c r="Z63" s="103">
        <v>97.0</v>
      </c>
      <c r="AA63" s="103">
        <v>97.0</v>
      </c>
      <c r="AB63" s="103">
        <v>102.0</v>
      </c>
      <c r="AC63" s="103">
        <v>60.0</v>
      </c>
      <c r="AD63" s="103">
        <v>1.0</v>
      </c>
      <c r="AE63" s="103">
        <v>0.0</v>
      </c>
      <c r="AF63" s="103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1">
        <v>45931.0</v>
      </c>
      <c r="B64" s="103">
        <v>31.0</v>
      </c>
      <c r="C64" s="103">
        <v>230.0</v>
      </c>
      <c r="D64" s="103">
        <v>50.0</v>
      </c>
      <c r="E64" s="103">
        <v>231.0</v>
      </c>
      <c r="F64" s="103">
        <v>5.0</v>
      </c>
      <c r="G64" s="103">
        <v>117.0</v>
      </c>
      <c r="H64" s="103">
        <v>178.0</v>
      </c>
      <c r="I64" s="103">
        <v>36.0</v>
      </c>
      <c r="J64" s="103">
        <v>165.0</v>
      </c>
      <c r="K64" s="103">
        <v>56.0</v>
      </c>
      <c r="L64" s="103">
        <v>201.0</v>
      </c>
      <c r="M64" s="103">
        <v>13.0</v>
      </c>
      <c r="N64" s="103">
        <v>223.0</v>
      </c>
      <c r="O64" s="103">
        <v>5.0</v>
      </c>
      <c r="P64" s="103">
        <v>196.0</v>
      </c>
      <c r="Q64" s="103">
        <v>13.0</v>
      </c>
      <c r="R64" s="103">
        <v>196.0</v>
      </c>
      <c r="S64" s="103">
        <v>13.0</v>
      </c>
      <c r="T64" s="103">
        <v>0.0</v>
      </c>
      <c r="U64" s="103">
        <v>11.0</v>
      </c>
      <c r="V64" s="103">
        <v>43.0</v>
      </c>
      <c r="W64" s="103">
        <v>11.0</v>
      </c>
      <c r="X64" s="103">
        <v>43.0</v>
      </c>
      <c r="Y64" s="103">
        <v>36.0</v>
      </c>
      <c r="Z64" s="103">
        <v>97.0</v>
      </c>
      <c r="AA64" s="103">
        <v>97.0</v>
      </c>
      <c r="AB64" s="103">
        <v>102.0</v>
      </c>
      <c r="AC64" s="103">
        <v>60.0</v>
      </c>
      <c r="AD64" s="103">
        <v>1.0</v>
      </c>
      <c r="AE64" s="103">
        <v>0.0</v>
      </c>
      <c r="AF64" s="103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1">
        <v>45962.0</v>
      </c>
      <c r="B65" s="103">
        <v>31.0</v>
      </c>
      <c r="C65" s="103">
        <v>230.0</v>
      </c>
      <c r="D65" s="103">
        <v>50.0</v>
      </c>
      <c r="E65" s="103">
        <v>231.0</v>
      </c>
      <c r="F65" s="103">
        <v>5.0</v>
      </c>
      <c r="G65" s="103">
        <v>117.0</v>
      </c>
      <c r="H65" s="103">
        <v>178.0</v>
      </c>
      <c r="I65" s="103">
        <v>36.0</v>
      </c>
      <c r="J65" s="103">
        <v>165.0</v>
      </c>
      <c r="K65" s="103">
        <v>56.0</v>
      </c>
      <c r="L65" s="103">
        <v>201.0</v>
      </c>
      <c r="M65" s="103">
        <v>13.0</v>
      </c>
      <c r="N65" s="103">
        <v>223.0</v>
      </c>
      <c r="O65" s="103">
        <v>5.0</v>
      </c>
      <c r="P65" s="103">
        <v>196.0</v>
      </c>
      <c r="Q65" s="103">
        <v>13.0</v>
      </c>
      <c r="R65" s="103">
        <v>196.0</v>
      </c>
      <c r="S65" s="103">
        <v>13.0</v>
      </c>
      <c r="T65" s="103">
        <v>0.0</v>
      </c>
      <c r="U65" s="103">
        <v>11.0</v>
      </c>
      <c r="V65" s="103">
        <v>43.0</v>
      </c>
      <c r="W65" s="103">
        <v>11.0</v>
      </c>
      <c r="X65" s="103">
        <v>43.0</v>
      </c>
      <c r="Y65" s="103">
        <v>36.0</v>
      </c>
      <c r="Z65" s="103">
        <v>97.0</v>
      </c>
      <c r="AA65" s="103">
        <v>97.0</v>
      </c>
      <c r="AB65" s="103">
        <v>102.0</v>
      </c>
      <c r="AC65" s="103">
        <v>60.0</v>
      </c>
      <c r="AD65" s="103">
        <v>1.0</v>
      </c>
      <c r="AE65" s="103">
        <v>0.0</v>
      </c>
      <c r="AF65" s="103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4">
        <v>45992.0</v>
      </c>
      <c r="B66" s="103">
        <v>31.0</v>
      </c>
      <c r="C66" s="103">
        <v>230.0</v>
      </c>
      <c r="D66" s="103">
        <v>50.0</v>
      </c>
      <c r="E66" s="103">
        <v>231.0</v>
      </c>
      <c r="F66" s="103">
        <v>5.0</v>
      </c>
      <c r="G66" s="103">
        <v>117.0</v>
      </c>
      <c r="H66" s="103">
        <v>178.0</v>
      </c>
      <c r="I66" s="103">
        <v>36.0</v>
      </c>
      <c r="J66" s="103">
        <v>165.0</v>
      </c>
      <c r="K66" s="103">
        <v>56.0</v>
      </c>
      <c r="L66" s="103">
        <v>201.0</v>
      </c>
      <c r="M66" s="103">
        <v>13.0</v>
      </c>
      <c r="N66" s="103">
        <v>223.0</v>
      </c>
      <c r="O66" s="103">
        <v>5.0</v>
      </c>
      <c r="P66" s="103">
        <v>196.0</v>
      </c>
      <c r="Q66" s="103">
        <v>13.0</v>
      </c>
      <c r="R66" s="103">
        <v>196.0</v>
      </c>
      <c r="S66" s="103">
        <v>13.0</v>
      </c>
      <c r="T66" s="103">
        <v>0.0</v>
      </c>
      <c r="U66" s="103">
        <v>11.0</v>
      </c>
      <c r="V66" s="103">
        <v>43.0</v>
      </c>
      <c r="W66" s="103">
        <v>11.0</v>
      </c>
      <c r="X66" s="103">
        <v>43.0</v>
      </c>
      <c r="Y66" s="103">
        <v>36.0</v>
      </c>
      <c r="Z66" s="103">
        <v>97.0</v>
      </c>
      <c r="AA66" s="103">
        <v>97.0</v>
      </c>
      <c r="AB66" s="103">
        <v>102.0</v>
      </c>
      <c r="AC66" s="103">
        <v>60.0</v>
      </c>
      <c r="AD66" s="103">
        <v>1.0</v>
      </c>
      <c r="AE66" s="103">
        <v>0.0</v>
      </c>
      <c r="AF66" s="103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42" t="s">
        <v>40</v>
      </c>
      <c r="B67" s="143">
        <f t="shared" ref="B67:AF67" si="3">SUM(B55:B66)</f>
        <v>372</v>
      </c>
      <c r="C67" s="143">
        <f t="shared" si="3"/>
        <v>2760</v>
      </c>
      <c r="D67" s="143">
        <f t="shared" si="3"/>
        <v>600</v>
      </c>
      <c r="E67" s="143">
        <f t="shared" si="3"/>
        <v>2772</v>
      </c>
      <c r="F67" s="143">
        <f t="shared" si="3"/>
        <v>60</v>
      </c>
      <c r="G67" s="143">
        <f t="shared" si="3"/>
        <v>1404</v>
      </c>
      <c r="H67" s="143">
        <f t="shared" si="3"/>
        <v>2136</v>
      </c>
      <c r="I67" s="143">
        <f t="shared" si="3"/>
        <v>432</v>
      </c>
      <c r="J67" s="143">
        <f t="shared" si="3"/>
        <v>1980</v>
      </c>
      <c r="K67" s="143">
        <f t="shared" si="3"/>
        <v>672</v>
      </c>
      <c r="L67" s="143">
        <f t="shared" si="3"/>
        <v>2412</v>
      </c>
      <c r="M67" s="143">
        <f t="shared" si="3"/>
        <v>156</v>
      </c>
      <c r="N67" s="143">
        <f t="shared" si="3"/>
        <v>2676</v>
      </c>
      <c r="O67" s="143">
        <f t="shared" si="3"/>
        <v>60</v>
      </c>
      <c r="P67" s="143">
        <f t="shared" si="3"/>
        <v>2352</v>
      </c>
      <c r="Q67" s="143">
        <f t="shared" si="3"/>
        <v>156</v>
      </c>
      <c r="R67" s="143">
        <f t="shared" si="3"/>
        <v>2352</v>
      </c>
      <c r="S67" s="143">
        <f t="shared" si="3"/>
        <v>156</v>
      </c>
      <c r="T67" s="143">
        <f t="shared" si="3"/>
        <v>0</v>
      </c>
      <c r="U67" s="143">
        <f t="shared" si="3"/>
        <v>132</v>
      </c>
      <c r="V67" s="143">
        <f t="shared" si="3"/>
        <v>516</v>
      </c>
      <c r="W67" s="143">
        <f t="shared" si="3"/>
        <v>132</v>
      </c>
      <c r="X67" s="143">
        <f t="shared" si="3"/>
        <v>516</v>
      </c>
      <c r="Y67" s="143">
        <f t="shared" si="3"/>
        <v>432</v>
      </c>
      <c r="Z67" s="143">
        <f t="shared" si="3"/>
        <v>1164</v>
      </c>
      <c r="AA67" s="143">
        <f t="shared" si="3"/>
        <v>1164</v>
      </c>
      <c r="AB67" s="143">
        <f t="shared" si="3"/>
        <v>1224</v>
      </c>
      <c r="AC67" s="143">
        <f t="shared" si="3"/>
        <v>720</v>
      </c>
      <c r="AD67" s="143">
        <f t="shared" si="3"/>
        <v>12</v>
      </c>
      <c r="AE67" s="143">
        <f t="shared" si="3"/>
        <v>0</v>
      </c>
      <c r="AF67" s="143">
        <f t="shared" si="3"/>
        <v>0</v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77" t="s">
        <v>222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154</v>
      </c>
      <c r="B71" s="126" t="s">
        <v>157</v>
      </c>
      <c r="C71" s="42"/>
      <c r="D71" s="42"/>
      <c r="E71" s="42"/>
      <c r="F71" s="42"/>
      <c r="G71" s="43"/>
      <c r="H71" s="125" t="s">
        <v>223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8"/>
      <c r="X71" s="83" t="s">
        <v>224</v>
      </c>
      <c r="Y71" s="83" t="s">
        <v>224</v>
      </c>
      <c r="Z71" s="155"/>
      <c r="AA71" s="155"/>
      <c r="AB71" s="155"/>
      <c r="AC71" s="155"/>
      <c r="AD71" s="155"/>
      <c r="AE71" s="15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58" t="s">
        <v>225</v>
      </c>
      <c r="C72" s="83" t="s">
        <v>226</v>
      </c>
      <c r="D72" s="157" t="s">
        <v>166</v>
      </c>
      <c r="E72" s="8"/>
      <c r="F72" s="125" t="s">
        <v>167</v>
      </c>
      <c r="G72" s="8"/>
      <c r="H72" s="125" t="s">
        <v>227</v>
      </c>
      <c r="I72" s="23"/>
      <c r="J72" s="23"/>
      <c r="K72" s="23"/>
      <c r="L72" s="8"/>
      <c r="M72" s="125" t="s">
        <v>228</v>
      </c>
      <c r="N72" s="23"/>
      <c r="O72" s="23"/>
      <c r="P72" s="23"/>
      <c r="Q72" s="23"/>
      <c r="R72" s="23"/>
      <c r="S72" s="23"/>
      <c r="T72" s="23"/>
      <c r="U72" s="8"/>
      <c r="V72" s="58" t="s">
        <v>171</v>
      </c>
      <c r="W72" s="144" t="s">
        <v>229</v>
      </c>
      <c r="X72" s="144" t="s">
        <v>230</v>
      </c>
      <c r="Y72" s="144" t="s">
        <v>231</v>
      </c>
      <c r="Z72" s="155"/>
      <c r="AA72" s="155"/>
      <c r="AB72" s="155"/>
      <c r="AC72" s="155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58" t="s">
        <v>232</v>
      </c>
      <c r="C73" s="144" t="s">
        <v>232</v>
      </c>
      <c r="D73" s="159" t="s">
        <v>233</v>
      </c>
      <c r="E73" s="83" t="s">
        <v>234</v>
      </c>
      <c r="F73" s="83" t="s">
        <v>233</v>
      </c>
      <c r="G73" s="83" t="s">
        <v>234</v>
      </c>
      <c r="H73" s="83" t="s">
        <v>235</v>
      </c>
      <c r="I73" s="83" t="s">
        <v>236</v>
      </c>
      <c r="J73" s="83" t="s">
        <v>209</v>
      </c>
      <c r="K73" s="83" t="s">
        <v>237</v>
      </c>
      <c r="L73" s="83" t="s">
        <v>238</v>
      </c>
      <c r="M73" s="83" t="s">
        <v>239</v>
      </c>
      <c r="N73" s="125" t="s">
        <v>170</v>
      </c>
      <c r="O73" s="23"/>
      <c r="P73" s="8"/>
      <c r="Q73" s="125" t="s">
        <v>240</v>
      </c>
      <c r="R73" s="23"/>
      <c r="S73" s="8"/>
      <c r="T73" s="160" t="s">
        <v>241</v>
      </c>
      <c r="U73" s="8"/>
      <c r="V73" s="161" t="s">
        <v>242</v>
      </c>
      <c r="W73" s="130" t="s">
        <v>243</v>
      </c>
      <c r="X73" s="130" t="s">
        <v>244</v>
      </c>
      <c r="Y73" s="130" t="s">
        <v>245</v>
      </c>
      <c r="Z73" s="156"/>
      <c r="AA73" s="162"/>
      <c r="AB73" s="156"/>
      <c r="AC73" s="156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3"/>
      <c r="C74" s="151"/>
      <c r="D74" s="48"/>
      <c r="E74" s="10"/>
      <c r="F74" s="10"/>
      <c r="G74" s="10"/>
      <c r="H74" s="10"/>
      <c r="I74" s="10"/>
      <c r="J74" s="10"/>
      <c r="K74" s="10"/>
      <c r="L74" s="10"/>
      <c r="M74" s="10"/>
      <c r="N74" s="131" t="s">
        <v>246</v>
      </c>
      <c r="O74" s="132" t="s">
        <v>209</v>
      </c>
      <c r="P74" s="131" t="s">
        <v>247</v>
      </c>
      <c r="Q74" s="131" t="s">
        <v>246</v>
      </c>
      <c r="R74" s="131" t="s">
        <v>209</v>
      </c>
      <c r="S74" s="131" t="s">
        <v>247</v>
      </c>
      <c r="T74" s="164" t="s">
        <v>248</v>
      </c>
      <c r="U74" s="165" t="s">
        <v>249</v>
      </c>
      <c r="V74" s="166" t="s">
        <v>171</v>
      </c>
      <c r="W74" s="132" t="s">
        <v>250</v>
      </c>
      <c r="X74" s="132" t="s">
        <v>218</v>
      </c>
      <c r="Y74" s="132" t="s">
        <v>251</v>
      </c>
      <c r="Z74" s="167"/>
      <c r="AA74" s="167"/>
      <c r="AB74" s="167"/>
      <c r="AC74" s="167"/>
      <c r="AD74" s="167"/>
      <c r="AE74" s="167"/>
      <c r="AF74" s="16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4">
        <v>1.0</v>
      </c>
      <c r="B75" s="139">
        <v>2.0</v>
      </c>
      <c r="C75" s="151">
        <v>3.0</v>
      </c>
      <c r="D75" s="134"/>
      <c r="E75" s="134">
        <v>5.0</v>
      </c>
      <c r="F75" s="134">
        <v>6.0</v>
      </c>
      <c r="G75" s="134">
        <v>7.0</v>
      </c>
      <c r="H75" s="134">
        <v>8.0</v>
      </c>
      <c r="I75" s="136">
        <v>9.0</v>
      </c>
      <c r="J75" s="136">
        <v>10.0</v>
      </c>
      <c r="K75" s="136">
        <v>11.0</v>
      </c>
      <c r="L75" s="136">
        <v>12.0</v>
      </c>
      <c r="M75" s="136">
        <v>13.0</v>
      </c>
      <c r="N75" s="136">
        <v>14.0</v>
      </c>
      <c r="O75" s="137">
        <v>15.0</v>
      </c>
      <c r="P75" s="136">
        <v>16.0</v>
      </c>
      <c r="Q75" s="136">
        <v>17.0</v>
      </c>
      <c r="R75" s="137">
        <v>18.0</v>
      </c>
      <c r="S75" s="136">
        <v>19.0</v>
      </c>
      <c r="T75" s="136">
        <v>20.0</v>
      </c>
      <c r="U75" s="134">
        <v>21.0</v>
      </c>
      <c r="V75" s="139">
        <v>22.0</v>
      </c>
      <c r="W75" s="139">
        <v>23.0</v>
      </c>
      <c r="X75" s="139">
        <v>24.0</v>
      </c>
      <c r="Y75" s="139">
        <v>25.0</v>
      </c>
      <c r="Z75" s="167"/>
      <c r="AA75" s="167"/>
      <c r="AB75" s="167"/>
      <c r="AC75" s="167"/>
      <c r="AD75" s="167"/>
      <c r="AE75" s="167"/>
      <c r="AF75" s="16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1">
        <v>45658.0</v>
      </c>
      <c r="B76" s="103">
        <v>615.0</v>
      </c>
      <c r="C76" s="103">
        <v>455.0</v>
      </c>
      <c r="D76" s="103">
        <v>54.0</v>
      </c>
      <c r="E76" s="103">
        <v>27.0</v>
      </c>
      <c r="F76" s="103">
        <v>291.0</v>
      </c>
      <c r="G76" s="103">
        <v>291.0</v>
      </c>
      <c r="H76" s="103">
        <v>1.0</v>
      </c>
      <c r="I76" s="103">
        <v>19.0</v>
      </c>
      <c r="J76" s="103">
        <v>990.0</v>
      </c>
      <c r="K76" s="103">
        <v>19.0</v>
      </c>
      <c r="L76" s="103">
        <v>3.0</v>
      </c>
      <c r="M76" s="103">
        <v>70.0</v>
      </c>
      <c r="N76" s="103">
        <v>0.0</v>
      </c>
      <c r="O76" s="103">
        <v>89.0</v>
      </c>
      <c r="P76" s="103">
        <v>0.0</v>
      </c>
      <c r="Q76" s="103">
        <v>0.0</v>
      </c>
      <c r="R76" s="103">
        <v>177.0</v>
      </c>
      <c r="S76" s="103">
        <v>0.0</v>
      </c>
      <c r="T76" s="103">
        <v>0.0</v>
      </c>
      <c r="U76" s="103">
        <v>25.0</v>
      </c>
      <c r="V76" s="103">
        <v>20.0</v>
      </c>
      <c r="W76" s="103">
        <v>84.0</v>
      </c>
      <c r="X76" s="103">
        <v>84.0</v>
      </c>
      <c r="Y76" s="103">
        <v>0.0</v>
      </c>
      <c r="Z76" s="81"/>
      <c r="AA76" s="168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3" t="s">
        <v>221</v>
      </c>
      <c r="B77" s="103">
        <v>615.0</v>
      </c>
      <c r="C77" s="103">
        <v>455.0</v>
      </c>
      <c r="D77" s="103">
        <v>54.0</v>
      </c>
      <c r="E77" s="103">
        <v>27.0</v>
      </c>
      <c r="F77" s="103">
        <v>291.0</v>
      </c>
      <c r="G77" s="103">
        <v>291.0</v>
      </c>
      <c r="H77" s="103">
        <v>1.0</v>
      </c>
      <c r="I77" s="103">
        <v>19.0</v>
      </c>
      <c r="J77" s="103">
        <v>990.0</v>
      </c>
      <c r="K77" s="103">
        <v>19.0</v>
      </c>
      <c r="L77" s="103">
        <v>3.0</v>
      </c>
      <c r="M77" s="103">
        <v>70.0</v>
      </c>
      <c r="N77" s="103">
        <v>0.0</v>
      </c>
      <c r="O77" s="103">
        <v>89.0</v>
      </c>
      <c r="P77" s="103">
        <v>0.0</v>
      </c>
      <c r="Q77" s="103">
        <v>0.0</v>
      </c>
      <c r="R77" s="103">
        <v>177.0</v>
      </c>
      <c r="S77" s="103">
        <v>0.0</v>
      </c>
      <c r="T77" s="103">
        <v>0.0</v>
      </c>
      <c r="U77" s="103">
        <v>25.0</v>
      </c>
      <c r="V77" s="103">
        <v>20.0</v>
      </c>
      <c r="W77" s="103">
        <v>84.0</v>
      </c>
      <c r="X77" s="103">
        <v>84.0</v>
      </c>
      <c r="Y77" s="103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1">
        <v>45717.0</v>
      </c>
      <c r="B78" s="103">
        <v>615.0</v>
      </c>
      <c r="C78" s="103">
        <v>455.0</v>
      </c>
      <c r="D78" s="103">
        <v>54.0</v>
      </c>
      <c r="E78" s="103">
        <v>27.0</v>
      </c>
      <c r="F78" s="103">
        <v>291.0</v>
      </c>
      <c r="G78" s="103">
        <v>291.0</v>
      </c>
      <c r="H78" s="103">
        <v>1.0</v>
      </c>
      <c r="I78" s="103">
        <v>19.0</v>
      </c>
      <c r="J78" s="103">
        <v>990.0</v>
      </c>
      <c r="K78" s="103">
        <v>19.0</v>
      </c>
      <c r="L78" s="103">
        <v>3.0</v>
      </c>
      <c r="M78" s="103">
        <v>70.0</v>
      </c>
      <c r="N78" s="103">
        <v>0.0</v>
      </c>
      <c r="O78" s="103">
        <v>89.0</v>
      </c>
      <c r="P78" s="103">
        <v>0.0</v>
      </c>
      <c r="Q78" s="103">
        <v>0.0</v>
      </c>
      <c r="R78" s="103">
        <v>177.0</v>
      </c>
      <c r="S78" s="103">
        <v>0.0</v>
      </c>
      <c r="T78" s="103">
        <v>0.0</v>
      </c>
      <c r="U78" s="103">
        <v>25.0</v>
      </c>
      <c r="V78" s="103">
        <v>20.0</v>
      </c>
      <c r="W78" s="103">
        <v>84.0</v>
      </c>
      <c r="X78" s="103">
        <v>84.0</v>
      </c>
      <c r="Y78" s="103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1">
        <v>45748.0</v>
      </c>
      <c r="B79" s="103">
        <v>615.0</v>
      </c>
      <c r="C79" s="103">
        <v>455.0</v>
      </c>
      <c r="D79" s="103">
        <v>54.0</v>
      </c>
      <c r="E79" s="103">
        <v>27.0</v>
      </c>
      <c r="F79" s="103">
        <v>291.0</v>
      </c>
      <c r="G79" s="103">
        <v>291.0</v>
      </c>
      <c r="H79" s="103">
        <v>1.0</v>
      </c>
      <c r="I79" s="103">
        <v>19.0</v>
      </c>
      <c r="J79" s="103">
        <v>990.0</v>
      </c>
      <c r="K79" s="103">
        <v>19.0</v>
      </c>
      <c r="L79" s="103">
        <v>3.0</v>
      </c>
      <c r="M79" s="103">
        <v>70.0</v>
      </c>
      <c r="N79" s="103">
        <v>0.0</v>
      </c>
      <c r="O79" s="103">
        <v>89.0</v>
      </c>
      <c r="P79" s="103">
        <v>0.0</v>
      </c>
      <c r="Q79" s="103">
        <v>0.0</v>
      </c>
      <c r="R79" s="103">
        <v>177.0</v>
      </c>
      <c r="S79" s="103">
        <v>0.0</v>
      </c>
      <c r="T79" s="103">
        <v>0.0</v>
      </c>
      <c r="U79" s="103">
        <v>25.0</v>
      </c>
      <c r="V79" s="103">
        <v>20.0</v>
      </c>
      <c r="W79" s="103">
        <v>84.0</v>
      </c>
      <c r="X79" s="103">
        <v>84.0</v>
      </c>
      <c r="Y79" s="103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1">
        <v>45778.0</v>
      </c>
      <c r="B80" s="103">
        <v>615.0</v>
      </c>
      <c r="C80" s="103">
        <v>455.0</v>
      </c>
      <c r="D80" s="103">
        <v>54.0</v>
      </c>
      <c r="E80" s="103">
        <v>27.0</v>
      </c>
      <c r="F80" s="103">
        <v>291.0</v>
      </c>
      <c r="G80" s="103">
        <v>291.0</v>
      </c>
      <c r="H80" s="103">
        <v>1.0</v>
      </c>
      <c r="I80" s="103">
        <v>19.0</v>
      </c>
      <c r="J80" s="103">
        <v>990.0</v>
      </c>
      <c r="K80" s="103">
        <v>19.0</v>
      </c>
      <c r="L80" s="103">
        <v>3.0</v>
      </c>
      <c r="M80" s="103">
        <v>70.0</v>
      </c>
      <c r="N80" s="103">
        <v>0.0</v>
      </c>
      <c r="O80" s="103">
        <v>89.0</v>
      </c>
      <c r="P80" s="103">
        <v>0.0</v>
      </c>
      <c r="Q80" s="103">
        <v>0.0</v>
      </c>
      <c r="R80" s="103">
        <v>177.0</v>
      </c>
      <c r="S80" s="103">
        <v>0.0</v>
      </c>
      <c r="T80" s="103">
        <v>0.0</v>
      </c>
      <c r="U80" s="103">
        <v>25.0</v>
      </c>
      <c r="V80" s="103">
        <v>20.0</v>
      </c>
      <c r="W80" s="103">
        <v>84.0</v>
      </c>
      <c r="X80" s="103">
        <v>84.0</v>
      </c>
      <c r="Y80" s="103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1">
        <v>45809.0</v>
      </c>
      <c r="B81" s="103">
        <v>615.0</v>
      </c>
      <c r="C81" s="103">
        <v>455.0</v>
      </c>
      <c r="D81" s="103">
        <v>54.0</v>
      </c>
      <c r="E81" s="103">
        <v>27.0</v>
      </c>
      <c r="F81" s="103">
        <v>291.0</v>
      </c>
      <c r="G81" s="103">
        <v>291.0</v>
      </c>
      <c r="H81" s="103">
        <v>1.0</v>
      </c>
      <c r="I81" s="103">
        <v>19.0</v>
      </c>
      <c r="J81" s="103">
        <v>990.0</v>
      </c>
      <c r="K81" s="103">
        <v>19.0</v>
      </c>
      <c r="L81" s="103">
        <v>3.0</v>
      </c>
      <c r="M81" s="103">
        <v>70.0</v>
      </c>
      <c r="N81" s="103">
        <v>0.0</v>
      </c>
      <c r="O81" s="103">
        <v>89.0</v>
      </c>
      <c r="P81" s="103">
        <v>0.0</v>
      </c>
      <c r="Q81" s="103">
        <v>0.0</v>
      </c>
      <c r="R81" s="103">
        <v>177.0</v>
      </c>
      <c r="S81" s="103">
        <v>0.0</v>
      </c>
      <c r="T81" s="103">
        <v>0.0</v>
      </c>
      <c r="U81" s="103">
        <v>25.0</v>
      </c>
      <c r="V81" s="103">
        <v>20.0</v>
      </c>
      <c r="W81" s="103">
        <v>84.0</v>
      </c>
      <c r="X81" s="103">
        <v>84.0</v>
      </c>
      <c r="Y81" s="103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1">
        <v>45839.0</v>
      </c>
      <c r="B82" s="103">
        <v>615.0</v>
      </c>
      <c r="C82" s="103">
        <v>455.0</v>
      </c>
      <c r="D82" s="103">
        <v>54.0</v>
      </c>
      <c r="E82" s="103">
        <v>27.0</v>
      </c>
      <c r="F82" s="103">
        <v>291.0</v>
      </c>
      <c r="G82" s="103">
        <v>291.0</v>
      </c>
      <c r="H82" s="103">
        <v>1.0</v>
      </c>
      <c r="I82" s="103">
        <v>19.0</v>
      </c>
      <c r="J82" s="103">
        <v>990.0</v>
      </c>
      <c r="K82" s="103">
        <v>19.0</v>
      </c>
      <c r="L82" s="103">
        <v>3.0</v>
      </c>
      <c r="M82" s="103">
        <v>70.0</v>
      </c>
      <c r="N82" s="103">
        <v>0.0</v>
      </c>
      <c r="O82" s="103">
        <v>89.0</v>
      </c>
      <c r="P82" s="103">
        <v>0.0</v>
      </c>
      <c r="Q82" s="103">
        <v>0.0</v>
      </c>
      <c r="R82" s="103">
        <v>177.0</v>
      </c>
      <c r="S82" s="103">
        <v>0.0</v>
      </c>
      <c r="T82" s="103">
        <v>0.0</v>
      </c>
      <c r="U82" s="103">
        <v>25.0</v>
      </c>
      <c r="V82" s="103">
        <v>20.0</v>
      </c>
      <c r="W82" s="103">
        <v>84.0</v>
      </c>
      <c r="X82" s="103">
        <v>84.0</v>
      </c>
      <c r="Y82" s="103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1">
        <v>45870.0</v>
      </c>
      <c r="B83" s="103">
        <v>615.0</v>
      </c>
      <c r="C83" s="103">
        <v>455.0</v>
      </c>
      <c r="D83" s="103">
        <v>54.0</v>
      </c>
      <c r="E83" s="103">
        <v>27.0</v>
      </c>
      <c r="F83" s="103">
        <v>291.0</v>
      </c>
      <c r="G83" s="103">
        <v>291.0</v>
      </c>
      <c r="H83" s="103">
        <v>1.0</v>
      </c>
      <c r="I83" s="103">
        <v>19.0</v>
      </c>
      <c r="J83" s="103">
        <v>990.0</v>
      </c>
      <c r="K83" s="103">
        <v>19.0</v>
      </c>
      <c r="L83" s="103">
        <v>3.0</v>
      </c>
      <c r="M83" s="103">
        <v>70.0</v>
      </c>
      <c r="N83" s="103">
        <v>0.0</v>
      </c>
      <c r="O83" s="103">
        <v>89.0</v>
      </c>
      <c r="P83" s="103">
        <v>0.0</v>
      </c>
      <c r="Q83" s="103">
        <v>0.0</v>
      </c>
      <c r="R83" s="103">
        <v>177.0</v>
      </c>
      <c r="S83" s="103">
        <v>0.0</v>
      </c>
      <c r="T83" s="103">
        <v>0.0</v>
      </c>
      <c r="U83" s="103">
        <v>25.0</v>
      </c>
      <c r="V83" s="103">
        <v>20.0</v>
      </c>
      <c r="W83" s="103">
        <v>84.0</v>
      </c>
      <c r="X83" s="103">
        <v>84.0</v>
      </c>
      <c r="Y83" s="103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1">
        <v>45901.0</v>
      </c>
      <c r="B84" s="103">
        <v>615.0</v>
      </c>
      <c r="C84" s="103">
        <v>455.0</v>
      </c>
      <c r="D84" s="103">
        <v>54.0</v>
      </c>
      <c r="E84" s="103">
        <v>27.0</v>
      </c>
      <c r="F84" s="103">
        <v>291.0</v>
      </c>
      <c r="G84" s="103">
        <v>291.0</v>
      </c>
      <c r="H84" s="103">
        <v>1.0</v>
      </c>
      <c r="I84" s="103">
        <v>19.0</v>
      </c>
      <c r="J84" s="103">
        <v>990.0</v>
      </c>
      <c r="K84" s="103">
        <v>19.0</v>
      </c>
      <c r="L84" s="103">
        <v>3.0</v>
      </c>
      <c r="M84" s="103">
        <v>70.0</v>
      </c>
      <c r="N84" s="103">
        <v>0.0</v>
      </c>
      <c r="O84" s="103">
        <v>89.0</v>
      </c>
      <c r="P84" s="103">
        <v>0.0</v>
      </c>
      <c r="Q84" s="103">
        <v>0.0</v>
      </c>
      <c r="R84" s="103">
        <v>177.0</v>
      </c>
      <c r="S84" s="103">
        <v>0.0</v>
      </c>
      <c r="T84" s="103">
        <v>0.0</v>
      </c>
      <c r="U84" s="103">
        <v>25.0</v>
      </c>
      <c r="V84" s="103">
        <v>20.0</v>
      </c>
      <c r="W84" s="103">
        <v>84.0</v>
      </c>
      <c r="X84" s="103">
        <v>84.0</v>
      </c>
      <c r="Y84" s="103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1">
        <v>45931.0</v>
      </c>
      <c r="B85" s="103">
        <v>615.0</v>
      </c>
      <c r="C85" s="103">
        <v>455.0</v>
      </c>
      <c r="D85" s="103">
        <v>54.0</v>
      </c>
      <c r="E85" s="103">
        <v>27.0</v>
      </c>
      <c r="F85" s="103">
        <v>291.0</v>
      </c>
      <c r="G85" s="103">
        <v>291.0</v>
      </c>
      <c r="H85" s="103">
        <v>1.0</v>
      </c>
      <c r="I85" s="103">
        <v>19.0</v>
      </c>
      <c r="J85" s="103">
        <v>990.0</v>
      </c>
      <c r="K85" s="103">
        <v>19.0</v>
      </c>
      <c r="L85" s="103">
        <v>3.0</v>
      </c>
      <c r="M85" s="103">
        <v>70.0</v>
      </c>
      <c r="N85" s="103">
        <v>0.0</v>
      </c>
      <c r="O85" s="103">
        <v>89.0</v>
      </c>
      <c r="P85" s="103">
        <v>0.0</v>
      </c>
      <c r="Q85" s="103">
        <v>0.0</v>
      </c>
      <c r="R85" s="103">
        <v>177.0</v>
      </c>
      <c r="S85" s="103">
        <v>0.0</v>
      </c>
      <c r="T85" s="103">
        <v>0.0</v>
      </c>
      <c r="U85" s="103">
        <v>25.0</v>
      </c>
      <c r="V85" s="103">
        <v>20.0</v>
      </c>
      <c r="W85" s="103">
        <v>84.0</v>
      </c>
      <c r="X85" s="103">
        <v>84.0</v>
      </c>
      <c r="Y85" s="103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1">
        <v>45962.0</v>
      </c>
      <c r="B86" s="103">
        <v>615.0</v>
      </c>
      <c r="C86" s="103">
        <v>455.0</v>
      </c>
      <c r="D86" s="103">
        <v>54.0</v>
      </c>
      <c r="E86" s="103">
        <v>27.0</v>
      </c>
      <c r="F86" s="103">
        <v>291.0</v>
      </c>
      <c r="G86" s="103">
        <v>291.0</v>
      </c>
      <c r="H86" s="103">
        <v>1.0</v>
      </c>
      <c r="I86" s="103">
        <v>19.0</v>
      </c>
      <c r="J86" s="103">
        <v>990.0</v>
      </c>
      <c r="K86" s="103">
        <v>19.0</v>
      </c>
      <c r="L86" s="103">
        <v>3.0</v>
      </c>
      <c r="M86" s="103">
        <v>70.0</v>
      </c>
      <c r="N86" s="103">
        <v>0.0</v>
      </c>
      <c r="O86" s="103">
        <v>89.0</v>
      </c>
      <c r="P86" s="103">
        <v>0.0</v>
      </c>
      <c r="Q86" s="103">
        <v>0.0</v>
      </c>
      <c r="R86" s="103">
        <v>177.0</v>
      </c>
      <c r="S86" s="103">
        <v>0.0</v>
      </c>
      <c r="T86" s="103">
        <v>0.0</v>
      </c>
      <c r="U86" s="103">
        <v>25.0</v>
      </c>
      <c r="V86" s="103">
        <v>20.0</v>
      </c>
      <c r="W86" s="103">
        <v>84.0</v>
      </c>
      <c r="X86" s="103">
        <v>84.0</v>
      </c>
      <c r="Y86" s="103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1">
        <v>45992.0</v>
      </c>
      <c r="B87" s="103">
        <v>615.0</v>
      </c>
      <c r="C87" s="103">
        <v>455.0</v>
      </c>
      <c r="D87" s="103">
        <v>54.0</v>
      </c>
      <c r="E87" s="103">
        <v>27.0</v>
      </c>
      <c r="F87" s="103">
        <v>291.0</v>
      </c>
      <c r="G87" s="103">
        <v>291.0</v>
      </c>
      <c r="H87" s="103">
        <v>1.0</v>
      </c>
      <c r="I87" s="103">
        <v>19.0</v>
      </c>
      <c r="J87" s="103">
        <v>990.0</v>
      </c>
      <c r="K87" s="103">
        <v>19.0</v>
      </c>
      <c r="L87" s="103">
        <v>3.0</v>
      </c>
      <c r="M87" s="103">
        <v>70.0</v>
      </c>
      <c r="N87" s="103">
        <v>0.0</v>
      </c>
      <c r="O87" s="103">
        <v>89.0</v>
      </c>
      <c r="P87" s="103">
        <v>0.0</v>
      </c>
      <c r="Q87" s="103">
        <v>0.0</v>
      </c>
      <c r="R87" s="103">
        <v>177.0</v>
      </c>
      <c r="S87" s="103">
        <v>0.0</v>
      </c>
      <c r="T87" s="103">
        <v>0.0</v>
      </c>
      <c r="U87" s="103">
        <v>25.0</v>
      </c>
      <c r="V87" s="103">
        <v>20.0</v>
      </c>
      <c r="W87" s="103">
        <v>84.0</v>
      </c>
      <c r="X87" s="103">
        <v>84.0</v>
      </c>
      <c r="Y87" s="103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42" t="s">
        <v>40</v>
      </c>
      <c r="B88" s="143">
        <f t="shared" ref="B88:Y88" si="4">SUM(B76:B87)</f>
        <v>7380</v>
      </c>
      <c r="C88" s="143">
        <f t="shared" si="4"/>
        <v>5460</v>
      </c>
      <c r="D88" s="143">
        <f t="shared" si="4"/>
        <v>648</v>
      </c>
      <c r="E88" s="143">
        <f t="shared" si="4"/>
        <v>324</v>
      </c>
      <c r="F88" s="143">
        <f t="shared" si="4"/>
        <v>3492</v>
      </c>
      <c r="G88" s="143">
        <f t="shared" si="4"/>
        <v>3492</v>
      </c>
      <c r="H88" s="143">
        <f t="shared" si="4"/>
        <v>12</v>
      </c>
      <c r="I88" s="143">
        <f t="shared" si="4"/>
        <v>228</v>
      </c>
      <c r="J88" s="143">
        <f t="shared" si="4"/>
        <v>11880</v>
      </c>
      <c r="K88" s="143">
        <f t="shared" si="4"/>
        <v>228</v>
      </c>
      <c r="L88" s="143">
        <f t="shared" si="4"/>
        <v>36</v>
      </c>
      <c r="M88" s="143">
        <f t="shared" si="4"/>
        <v>840</v>
      </c>
      <c r="N88" s="143">
        <f t="shared" si="4"/>
        <v>0</v>
      </c>
      <c r="O88" s="143">
        <f t="shared" si="4"/>
        <v>1068</v>
      </c>
      <c r="P88" s="143">
        <f t="shared" si="4"/>
        <v>0</v>
      </c>
      <c r="Q88" s="143">
        <f t="shared" si="4"/>
        <v>0</v>
      </c>
      <c r="R88" s="143">
        <f t="shared" si="4"/>
        <v>2124</v>
      </c>
      <c r="S88" s="143">
        <f t="shared" si="4"/>
        <v>0</v>
      </c>
      <c r="T88" s="143">
        <f t="shared" si="4"/>
        <v>0</v>
      </c>
      <c r="U88" s="143">
        <f t="shared" si="4"/>
        <v>300</v>
      </c>
      <c r="V88" s="143">
        <f t="shared" si="4"/>
        <v>240</v>
      </c>
      <c r="W88" s="143">
        <f t="shared" si="4"/>
        <v>1008</v>
      </c>
      <c r="X88" s="143">
        <f t="shared" si="4"/>
        <v>1008</v>
      </c>
      <c r="Y88" s="143">
        <f t="shared" si="4"/>
        <v>0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77" t="s">
        <v>252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56" t="s">
        <v>154</v>
      </c>
      <c r="B91" s="112" t="s">
        <v>253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8"/>
      <c r="AK91" s="169" t="s">
        <v>254</v>
      </c>
      <c r="AL91" s="170" t="s">
        <v>224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1"/>
      <c r="B92" s="54" t="s">
        <v>227</v>
      </c>
      <c r="C92" s="23"/>
      <c r="D92" s="23"/>
      <c r="E92" s="23"/>
      <c r="F92" s="8"/>
      <c r="G92" s="54" t="s">
        <v>255</v>
      </c>
      <c r="H92" s="23"/>
      <c r="I92" s="23"/>
      <c r="J92" s="23"/>
      <c r="K92" s="23"/>
      <c r="L92" s="23"/>
      <c r="M92" s="23"/>
      <c r="N92" s="23"/>
      <c r="O92" s="23"/>
      <c r="P92" s="23"/>
      <c r="Q92" s="8"/>
      <c r="R92" s="58" t="s">
        <v>256</v>
      </c>
      <c r="S92" s="43"/>
      <c r="T92" s="112" t="s">
        <v>257</v>
      </c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8"/>
      <c r="AK92" s="171" t="s">
        <v>258</v>
      </c>
      <c r="AL92" s="172" t="s">
        <v>258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83" t="s">
        <v>235</v>
      </c>
      <c r="C93" s="83" t="s">
        <v>236</v>
      </c>
      <c r="D93" s="83" t="s">
        <v>209</v>
      </c>
      <c r="E93" s="83" t="s">
        <v>237</v>
      </c>
      <c r="F93" s="83" t="s">
        <v>238</v>
      </c>
      <c r="G93" s="54" t="s">
        <v>239</v>
      </c>
      <c r="H93" s="8"/>
      <c r="I93" s="54" t="s">
        <v>170</v>
      </c>
      <c r="J93" s="23"/>
      <c r="K93" s="23"/>
      <c r="L93" s="173" t="s">
        <v>240</v>
      </c>
      <c r="M93" s="23"/>
      <c r="N93" s="8"/>
      <c r="O93" s="174" t="s">
        <v>259</v>
      </c>
      <c r="P93" s="23"/>
      <c r="Q93" s="8"/>
      <c r="R93" s="83" t="s">
        <v>247</v>
      </c>
      <c r="S93" s="83" t="s">
        <v>209</v>
      </c>
      <c r="T93" s="112" t="s">
        <v>260</v>
      </c>
      <c r="U93" s="23"/>
      <c r="V93" s="23"/>
      <c r="W93" s="23"/>
      <c r="X93" s="8"/>
      <c r="Y93" s="54" t="s">
        <v>261</v>
      </c>
      <c r="Z93" s="23"/>
      <c r="AA93" s="23"/>
      <c r="AB93" s="8"/>
      <c r="AC93" s="54" t="s">
        <v>261</v>
      </c>
      <c r="AD93" s="23"/>
      <c r="AE93" s="23"/>
      <c r="AF93" s="8"/>
      <c r="AG93" s="54" t="s">
        <v>261</v>
      </c>
      <c r="AH93" s="23"/>
      <c r="AI93" s="23"/>
      <c r="AJ93" s="8"/>
      <c r="AK93" s="171" t="s">
        <v>257</v>
      </c>
      <c r="AL93" s="172" t="s">
        <v>257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61"/>
      <c r="C94" s="61"/>
      <c r="D94" s="61"/>
      <c r="E94" s="61"/>
      <c r="F94" s="61"/>
      <c r="G94" s="175" t="s">
        <v>262</v>
      </c>
      <c r="H94" s="176" t="s">
        <v>263</v>
      </c>
      <c r="I94" s="144" t="s">
        <v>246</v>
      </c>
      <c r="J94" s="83" t="s">
        <v>209</v>
      </c>
      <c r="K94" s="83" t="s">
        <v>247</v>
      </c>
      <c r="L94" s="83" t="s">
        <v>246</v>
      </c>
      <c r="M94" s="83" t="s">
        <v>209</v>
      </c>
      <c r="N94" s="83" t="s">
        <v>247</v>
      </c>
      <c r="O94" s="112" t="s">
        <v>264</v>
      </c>
      <c r="P94" s="23"/>
      <c r="Q94" s="8"/>
      <c r="R94" s="10"/>
      <c r="S94" s="10"/>
      <c r="T94" s="86" t="s">
        <v>265</v>
      </c>
      <c r="U94" s="54" t="s">
        <v>266</v>
      </c>
      <c r="V94" s="8"/>
      <c r="W94" s="54" t="s">
        <v>267</v>
      </c>
      <c r="X94" s="8"/>
      <c r="Y94" s="54" t="s">
        <v>268</v>
      </c>
      <c r="Z94" s="8"/>
      <c r="AA94" s="62" t="s">
        <v>269</v>
      </c>
      <c r="AB94" s="48"/>
      <c r="AC94" s="54" t="s">
        <v>270</v>
      </c>
      <c r="AD94" s="8"/>
      <c r="AE94" s="62" t="s">
        <v>271</v>
      </c>
      <c r="AF94" s="48"/>
      <c r="AG94" s="54" t="s">
        <v>272</v>
      </c>
      <c r="AH94" s="8"/>
      <c r="AI94" s="62" t="s">
        <v>273</v>
      </c>
      <c r="AJ94" s="48"/>
      <c r="AK94" s="171" t="s">
        <v>274</v>
      </c>
      <c r="AL94" s="172" t="s">
        <v>251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54" t="s">
        <v>275</v>
      </c>
      <c r="P95" s="86" t="s">
        <v>276</v>
      </c>
      <c r="Q95" s="86" t="s">
        <v>277</v>
      </c>
      <c r="R95" s="146" t="s">
        <v>275</v>
      </c>
      <c r="S95" s="86" t="s">
        <v>278</v>
      </c>
      <c r="T95" s="177" t="s">
        <v>279</v>
      </c>
      <c r="U95" s="177" t="s">
        <v>280</v>
      </c>
      <c r="V95" s="177" t="s">
        <v>281</v>
      </c>
      <c r="W95" s="86" t="s">
        <v>282</v>
      </c>
      <c r="X95" s="86" t="s">
        <v>283</v>
      </c>
      <c r="Y95" s="86" t="s">
        <v>184</v>
      </c>
      <c r="Z95" s="54" t="s">
        <v>182</v>
      </c>
      <c r="AA95" s="146" t="s">
        <v>184</v>
      </c>
      <c r="AB95" s="147" t="s">
        <v>182</v>
      </c>
      <c r="AC95" s="86" t="s">
        <v>184</v>
      </c>
      <c r="AD95" s="54" t="s">
        <v>182</v>
      </c>
      <c r="AE95" s="146" t="s">
        <v>184</v>
      </c>
      <c r="AF95" s="147" t="s">
        <v>182</v>
      </c>
      <c r="AG95" s="86" t="s">
        <v>184</v>
      </c>
      <c r="AH95" s="54" t="s">
        <v>182</v>
      </c>
      <c r="AI95" s="146" t="s">
        <v>184</v>
      </c>
      <c r="AJ95" s="112" t="s">
        <v>182</v>
      </c>
      <c r="AK95" s="178" t="s">
        <v>218</v>
      </c>
      <c r="AL95" s="179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80">
        <v>1.0</v>
      </c>
      <c r="B96" s="181">
        <v>2.0</v>
      </c>
      <c r="C96" s="181">
        <v>3.0</v>
      </c>
      <c r="D96" s="181">
        <v>4.0</v>
      </c>
      <c r="E96" s="181">
        <v>5.0</v>
      </c>
      <c r="F96" s="181">
        <v>6.0</v>
      </c>
      <c r="G96" s="181">
        <v>7.0</v>
      </c>
      <c r="H96" s="181">
        <v>8.0</v>
      </c>
      <c r="I96" s="182">
        <v>9.0</v>
      </c>
      <c r="J96" s="181">
        <v>10.0</v>
      </c>
      <c r="K96" s="181">
        <v>11.0</v>
      </c>
      <c r="L96" s="182">
        <v>12.0</v>
      </c>
      <c r="M96" s="181">
        <v>13.0</v>
      </c>
      <c r="N96" s="181">
        <v>14.0</v>
      </c>
      <c r="O96" s="181">
        <v>15.0</v>
      </c>
      <c r="P96" s="180">
        <v>16.0</v>
      </c>
      <c r="Q96" s="180">
        <v>17.0</v>
      </c>
      <c r="R96" s="183">
        <v>18.0</v>
      </c>
      <c r="S96" s="180">
        <v>19.0</v>
      </c>
      <c r="T96" s="180">
        <v>20.0</v>
      </c>
      <c r="U96" s="180">
        <v>21.0</v>
      </c>
      <c r="V96" s="180">
        <v>22.0</v>
      </c>
      <c r="W96" s="180">
        <v>23.0</v>
      </c>
      <c r="X96" s="180">
        <v>24.0</v>
      </c>
      <c r="Y96" s="180">
        <v>25.0</v>
      </c>
      <c r="Z96" s="184">
        <v>26.0</v>
      </c>
      <c r="AA96" s="183">
        <v>27.0</v>
      </c>
      <c r="AB96" s="185">
        <v>28.0</v>
      </c>
      <c r="AC96" s="180">
        <v>29.0</v>
      </c>
      <c r="AD96" s="180">
        <v>30.0</v>
      </c>
      <c r="AE96" s="180">
        <v>31.0</v>
      </c>
      <c r="AF96" s="180">
        <v>32.0</v>
      </c>
      <c r="AG96" s="181">
        <v>33.0</v>
      </c>
      <c r="AH96" s="181">
        <v>34.0</v>
      </c>
      <c r="AI96" s="181">
        <v>35.0</v>
      </c>
      <c r="AJ96" s="181">
        <v>36.0</v>
      </c>
      <c r="AK96" s="149">
        <v>37.0</v>
      </c>
      <c r="AL96" s="149">
        <v>38.0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6">
        <v>45658.0</v>
      </c>
      <c r="B97" s="103">
        <v>8.0</v>
      </c>
      <c r="C97" s="103">
        <v>43.0</v>
      </c>
      <c r="D97" s="103">
        <v>564.0</v>
      </c>
      <c r="E97" s="103">
        <v>167.0</v>
      </c>
      <c r="F97" s="103">
        <v>11.0</v>
      </c>
      <c r="G97" s="103">
        <v>11.0</v>
      </c>
      <c r="H97" s="103">
        <v>97.0</v>
      </c>
      <c r="I97" s="103">
        <v>42.0</v>
      </c>
      <c r="J97" s="103">
        <v>371.0</v>
      </c>
      <c r="K97" s="103">
        <v>46.0</v>
      </c>
      <c r="L97" s="103">
        <v>0.0</v>
      </c>
      <c r="M97" s="103">
        <v>438.0</v>
      </c>
      <c r="N97" s="103">
        <v>14.0</v>
      </c>
      <c r="O97" s="103">
        <v>0.0</v>
      </c>
      <c r="P97" s="103">
        <v>0.0</v>
      </c>
      <c r="Q97" s="103">
        <v>0.0</v>
      </c>
      <c r="R97" s="103">
        <v>0.0</v>
      </c>
      <c r="S97" s="103">
        <v>7.0</v>
      </c>
      <c r="T97" s="103">
        <v>4.0</v>
      </c>
      <c r="U97" s="103">
        <v>0.0</v>
      </c>
      <c r="V97" s="103">
        <v>0.0</v>
      </c>
      <c r="W97" s="103">
        <v>1.0</v>
      </c>
      <c r="X97" s="103">
        <v>0.0</v>
      </c>
      <c r="Y97" s="103">
        <v>0.0</v>
      </c>
      <c r="Z97" s="103">
        <v>0.0</v>
      </c>
      <c r="AA97" s="103">
        <v>0.0</v>
      </c>
      <c r="AB97" s="103">
        <v>0.0</v>
      </c>
      <c r="AC97" s="103">
        <v>0.0</v>
      </c>
      <c r="AD97" s="103">
        <v>0.0</v>
      </c>
      <c r="AE97" s="103">
        <v>0.0</v>
      </c>
      <c r="AF97" s="103">
        <v>0.0</v>
      </c>
      <c r="AG97" s="103">
        <v>0.0</v>
      </c>
      <c r="AH97" s="103">
        <v>0.0</v>
      </c>
      <c r="AI97" s="103">
        <v>0.0</v>
      </c>
      <c r="AJ97" s="103">
        <v>0.0</v>
      </c>
      <c r="AK97" s="103">
        <v>36.0</v>
      </c>
      <c r="AL97" s="103">
        <v>0.0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7" t="s">
        <v>221</v>
      </c>
      <c r="B98" s="103">
        <v>8.0</v>
      </c>
      <c r="C98" s="103">
        <v>43.0</v>
      </c>
      <c r="D98" s="103">
        <v>564.0</v>
      </c>
      <c r="E98" s="103">
        <v>167.0</v>
      </c>
      <c r="F98" s="103">
        <v>11.0</v>
      </c>
      <c r="G98" s="103">
        <v>11.0</v>
      </c>
      <c r="H98" s="103">
        <v>97.0</v>
      </c>
      <c r="I98" s="103">
        <v>42.0</v>
      </c>
      <c r="J98" s="103">
        <v>371.0</v>
      </c>
      <c r="K98" s="103">
        <v>46.0</v>
      </c>
      <c r="L98" s="103">
        <v>0.0</v>
      </c>
      <c r="M98" s="103">
        <v>438.0</v>
      </c>
      <c r="N98" s="103">
        <v>14.0</v>
      </c>
      <c r="O98" s="103">
        <v>0.0</v>
      </c>
      <c r="P98" s="103">
        <v>0.0</v>
      </c>
      <c r="Q98" s="103">
        <v>0.0</v>
      </c>
      <c r="R98" s="103">
        <v>0.0</v>
      </c>
      <c r="S98" s="103">
        <v>7.0</v>
      </c>
      <c r="T98" s="103">
        <v>4.0</v>
      </c>
      <c r="U98" s="103">
        <v>0.0</v>
      </c>
      <c r="V98" s="103">
        <v>0.0</v>
      </c>
      <c r="W98" s="103">
        <v>1.0</v>
      </c>
      <c r="X98" s="103">
        <v>0.0</v>
      </c>
      <c r="Y98" s="103">
        <v>0.0</v>
      </c>
      <c r="Z98" s="103">
        <v>0.0</v>
      </c>
      <c r="AA98" s="103">
        <v>0.0</v>
      </c>
      <c r="AB98" s="103">
        <v>0.0</v>
      </c>
      <c r="AC98" s="103">
        <v>0.0</v>
      </c>
      <c r="AD98" s="103">
        <v>0.0</v>
      </c>
      <c r="AE98" s="103">
        <v>0.0</v>
      </c>
      <c r="AF98" s="103">
        <v>0.0</v>
      </c>
      <c r="AG98" s="103">
        <v>0.0</v>
      </c>
      <c r="AH98" s="103">
        <v>0.0</v>
      </c>
      <c r="AI98" s="103">
        <v>0.0</v>
      </c>
      <c r="AJ98" s="103">
        <v>0.0</v>
      </c>
      <c r="AK98" s="103">
        <v>36.0</v>
      </c>
      <c r="AL98" s="103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6">
        <v>45717.0</v>
      </c>
      <c r="B99" s="103">
        <v>8.0</v>
      </c>
      <c r="C99" s="103">
        <v>43.0</v>
      </c>
      <c r="D99" s="103">
        <v>564.0</v>
      </c>
      <c r="E99" s="103">
        <v>167.0</v>
      </c>
      <c r="F99" s="103">
        <v>11.0</v>
      </c>
      <c r="G99" s="103">
        <v>11.0</v>
      </c>
      <c r="H99" s="103">
        <v>97.0</v>
      </c>
      <c r="I99" s="103">
        <v>42.0</v>
      </c>
      <c r="J99" s="103">
        <v>371.0</v>
      </c>
      <c r="K99" s="103">
        <v>46.0</v>
      </c>
      <c r="L99" s="103">
        <v>0.0</v>
      </c>
      <c r="M99" s="103">
        <v>438.0</v>
      </c>
      <c r="N99" s="103">
        <v>14.0</v>
      </c>
      <c r="O99" s="103">
        <v>0.0</v>
      </c>
      <c r="P99" s="103">
        <v>0.0</v>
      </c>
      <c r="Q99" s="103">
        <v>0.0</v>
      </c>
      <c r="R99" s="103">
        <v>0.0</v>
      </c>
      <c r="S99" s="103">
        <v>7.0</v>
      </c>
      <c r="T99" s="103">
        <v>4.0</v>
      </c>
      <c r="U99" s="103">
        <v>0.0</v>
      </c>
      <c r="V99" s="103">
        <v>0.0</v>
      </c>
      <c r="W99" s="103">
        <v>1.0</v>
      </c>
      <c r="X99" s="103">
        <v>0.0</v>
      </c>
      <c r="Y99" s="103">
        <v>0.0</v>
      </c>
      <c r="Z99" s="103">
        <v>0.0</v>
      </c>
      <c r="AA99" s="103">
        <v>0.0</v>
      </c>
      <c r="AB99" s="103">
        <v>0.0</v>
      </c>
      <c r="AC99" s="103">
        <v>0.0</v>
      </c>
      <c r="AD99" s="103">
        <v>0.0</v>
      </c>
      <c r="AE99" s="103">
        <v>0.0</v>
      </c>
      <c r="AF99" s="103">
        <v>0.0</v>
      </c>
      <c r="AG99" s="103">
        <v>0.0</v>
      </c>
      <c r="AH99" s="103">
        <v>0.0</v>
      </c>
      <c r="AI99" s="103">
        <v>0.0</v>
      </c>
      <c r="AJ99" s="103">
        <v>0.0</v>
      </c>
      <c r="AK99" s="103">
        <v>36.0</v>
      </c>
      <c r="AL99" s="103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6">
        <v>45748.0</v>
      </c>
      <c r="B100" s="103">
        <v>8.0</v>
      </c>
      <c r="C100" s="103">
        <v>43.0</v>
      </c>
      <c r="D100" s="103">
        <v>564.0</v>
      </c>
      <c r="E100" s="103">
        <v>167.0</v>
      </c>
      <c r="F100" s="103">
        <v>11.0</v>
      </c>
      <c r="G100" s="103">
        <v>11.0</v>
      </c>
      <c r="H100" s="103">
        <v>97.0</v>
      </c>
      <c r="I100" s="103">
        <v>42.0</v>
      </c>
      <c r="J100" s="103">
        <v>371.0</v>
      </c>
      <c r="K100" s="103">
        <v>46.0</v>
      </c>
      <c r="L100" s="103">
        <v>0.0</v>
      </c>
      <c r="M100" s="103">
        <v>438.0</v>
      </c>
      <c r="N100" s="103">
        <v>14.0</v>
      </c>
      <c r="O100" s="103">
        <v>0.0</v>
      </c>
      <c r="P100" s="103">
        <v>0.0</v>
      </c>
      <c r="Q100" s="103">
        <v>0.0</v>
      </c>
      <c r="R100" s="103">
        <v>0.0</v>
      </c>
      <c r="S100" s="103">
        <v>7.0</v>
      </c>
      <c r="T100" s="103">
        <v>4.0</v>
      </c>
      <c r="U100" s="103">
        <v>0.0</v>
      </c>
      <c r="V100" s="103">
        <v>0.0</v>
      </c>
      <c r="W100" s="103">
        <v>1.0</v>
      </c>
      <c r="X100" s="103">
        <v>0.0</v>
      </c>
      <c r="Y100" s="103">
        <v>0.0</v>
      </c>
      <c r="Z100" s="103">
        <v>0.0</v>
      </c>
      <c r="AA100" s="103">
        <v>0.0</v>
      </c>
      <c r="AB100" s="103">
        <v>0.0</v>
      </c>
      <c r="AC100" s="103">
        <v>0.0</v>
      </c>
      <c r="AD100" s="103">
        <v>0.0</v>
      </c>
      <c r="AE100" s="103">
        <v>0.0</v>
      </c>
      <c r="AF100" s="103">
        <v>0.0</v>
      </c>
      <c r="AG100" s="103">
        <v>0.0</v>
      </c>
      <c r="AH100" s="103">
        <v>0.0</v>
      </c>
      <c r="AI100" s="103">
        <v>0.0</v>
      </c>
      <c r="AJ100" s="103">
        <v>0.0</v>
      </c>
      <c r="AK100" s="103">
        <v>36.0</v>
      </c>
      <c r="AL100" s="103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6">
        <v>45778.0</v>
      </c>
      <c r="B101" s="103">
        <v>8.0</v>
      </c>
      <c r="C101" s="103">
        <v>43.0</v>
      </c>
      <c r="D101" s="103">
        <v>564.0</v>
      </c>
      <c r="E101" s="103">
        <v>167.0</v>
      </c>
      <c r="F101" s="103">
        <v>11.0</v>
      </c>
      <c r="G101" s="103">
        <v>11.0</v>
      </c>
      <c r="H101" s="103">
        <v>97.0</v>
      </c>
      <c r="I101" s="103">
        <v>42.0</v>
      </c>
      <c r="J101" s="103">
        <v>371.0</v>
      </c>
      <c r="K101" s="103">
        <v>46.0</v>
      </c>
      <c r="L101" s="103">
        <v>0.0</v>
      </c>
      <c r="M101" s="103">
        <v>438.0</v>
      </c>
      <c r="N101" s="103">
        <v>14.0</v>
      </c>
      <c r="O101" s="103">
        <v>0.0</v>
      </c>
      <c r="P101" s="103">
        <v>0.0</v>
      </c>
      <c r="Q101" s="103">
        <v>0.0</v>
      </c>
      <c r="R101" s="103">
        <v>0.0</v>
      </c>
      <c r="S101" s="103">
        <v>7.0</v>
      </c>
      <c r="T101" s="103">
        <v>4.0</v>
      </c>
      <c r="U101" s="103">
        <v>0.0</v>
      </c>
      <c r="V101" s="103">
        <v>0.0</v>
      </c>
      <c r="W101" s="103">
        <v>1.0</v>
      </c>
      <c r="X101" s="103">
        <v>0.0</v>
      </c>
      <c r="Y101" s="103">
        <v>0.0</v>
      </c>
      <c r="Z101" s="103">
        <v>0.0</v>
      </c>
      <c r="AA101" s="103">
        <v>0.0</v>
      </c>
      <c r="AB101" s="103">
        <v>0.0</v>
      </c>
      <c r="AC101" s="103">
        <v>0.0</v>
      </c>
      <c r="AD101" s="103">
        <v>0.0</v>
      </c>
      <c r="AE101" s="103">
        <v>0.0</v>
      </c>
      <c r="AF101" s="103">
        <v>0.0</v>
      </c>
      <c r="AG101" s="103">
        <v>0.0</v>
      </c>
      <c r="AH101" s="103">
        <v>0.0</v>
      </c>
      <c r="AI101" s="103">
        <v>0.0</v>
      </c>
      <c r="AJ101" s="103">
        <v>0.0</v>
      </c>
      <c r="AK101" s="103">
        <v>36.0</v>
      </c>
      <c r="AL101" s="103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6">
        <v>45809.0</v>
      </c>
      <c r="B102" s="103">
        <v>8.0</v>
      </c>
      <c r="C102" s="103">
        <v>43.0</v>
      </c>
      <c r="D102" s="103">
        <v>564.0</v>
      </c>
      <c r="E102" s="103">
        <v>167.0</v>
      </c>
      <c r="F102" s="103">
        <v>11.0</v>
      </c>
      <c r="G102" s="103">
        <v>11.0</v>
      </c>
      <c r="H102" s="103">
        <v>97.0</v>
      </c>
      <c r="I102" s="103">
        <v>42.0</v>
      </c>
      <c r="J102" s="103">
        <v>371.0</v>
      </c>
      <c r="K102" s="103">
        <v>46.0</v>
      </c>
      <c r="L102" s="103">
        <v>0.0</v>
      </c>
      <c r="M102" s="103">
        <v>438.0</v>
      </c>
      <c r="N102" s="103">
        <v>14.0</v>
      </c>
      <c r="O102" s="103">
        <v>0.0</v>
      </c>
      <c r="P102" s="103">
        <v>0.0</v>
      </c>
      <c r="Q102" s="103">
        <v>0.0</v>
      </c>
      <c r="R102" s="103">
        <v>0.0</v>
      </c>
      <c r="S102" s="103">
        <v>7.0</v>
      </c>
      <c r="T102" s="103">
        <v>4.0</v>
      </c>
      <c r="U102" s="103">
        <v>0.0</v>
      </c>
      <c r="V102" s="103">
        <v>0.0</v>
      </c>
      <c r="W102" s="103">
        <v>1.0</v>
      </c>
      <c r="X102" s="103">
        <v>0.0</v>
      </c>
      <c r="Y102" s="103">
        <v>0.0</v>
      </c>
      <c r="Z102" s="103">
        <v>0.0</v>
      </c>
      <c r="AA102" s="103">
        <v>0.0</v>
      </c>
      <c r="AB102" s="103">
        <v>0.0</v>
      </c>
      <c r="AC102" s="103">
        <v>0.0</v>
      </c>
      <c r="AD102" s="103">
        <v>0.0</v>
      </c>
      <c r="AE102" s="103">
        <v>0.0</v>
      </c>
      <c r="AF102" s="103">
        <v>0.0</v>
      </c>
      <c r="AG102" s="103">
        <v>0.0</v>
      </c>
      <c r="AH102" s="103">
        <v>0.0</v>
      </c>
      <c r="AI102" s="103">
        <v>0.0</v>
      </c>
      <c r="AJ102" s="103">
        <v>0.0</v>
      </c>
      <c r="AK102" s="103">
        <v>36.0</v>
      </c>
      <c r="AL102" s="103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6">
        <v>45839.0</v>
      </c>
      <c r="B103" s="103">
        <v>8.0</v>
      </c>
      <c r="C103" s="103">
        <v>43.0</v>
      </c>
      <c r="D103" s="103">
        <v>564.0</v>
      </c>
      <c r="E103" s="103">
        <v>167.0</v>
      </c>
      <c r="F103" s="103">
        <v>11.0</v>
      </c>
      <c r="G103" s="103">
        <v>11.0</v>
      </c>
      <c r="H103" s="103">
        <v>97.0</v>
      </c>
      <c r="I103" s="103">
        <v>42.0</v>
      </c>
      <c r="J103" s="103">
        <v>371.0</v>
      </c>
      <c r="K103" s="103">
        <v>46.0</v>
      </c>
      <c r="L103" s="103">
        <v>0.0</v>
      </c>
      <c r="M103" s="103">
        <v>438.0</v>
      </c>
      <c r="N103" s="103">
        <v>14.0</v>
      </c>
      <c r="O103" s="103">
        <v>0.0</v>
      </c>
      <c r="P103" s="103">
        <v>0.0</v>
      </c>
      <c r="Q103" s="103">
        <v>0.0</v>
      </c>
      <c r="R103" s="103">
        <v>0.0</v>
      </c>
      <c r="S103" s="103">
        <v>7.0</v>
      </c>
      <c r="T103" s="103">
        <v>4.0</v>
      </c>
      <c r="U103" s="103">
        <v>0.0</v>
      </c>
      <c r="V103" s="103">
        <v>0.0</v>
      </c>
      <c r="W103" s="103">
        <v>1.0</v>
      </c>
      <c r="X103" s="103">
        <v>0.0</v>
      </c>
      <c r="Y103" s="103">
        <v>0.0</v>
      </c>
      <c r="Z103" s="103">
        <v>0.0</v>
      </c>
      <c r="AA103" s="103">
        <v>0.0</v>
      </c>
      <c r="AB103" s="103">
        <v>0.0</v>
      </c>
      <c r="AC103" s="103">
        <v>0.0</v>
      </c>
      <c r="AD103" s="103">
        <v>0.0</v>
      </c>
      <c r="AE103" s="103">
        <v>0.0</v>
      </c>
      <c r="AF103" s="103">
        <v>0.0</v>
      </c>
      <c r="AG103" s="103">
        <v>0.0</v>
      </c>
      <c r="AH103" s="103">
        <v>0.0</v>
      </c>
      <c r="AI103" s="103">
        <v>0.0</v>
      </c>
      <c r="AJ103" s="103">
        <v>0.0</v>
      </c>
      <c r="AK103" s="103">
        <v>36.0</v>
      </c>
      <c r="AL103" s="103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6">
        <v>45870.0</v>
      </c>
      <c r="B104" s="103">
        <v>8.0</v>
      </c>
      <c r="C104" s="103">
        <v>43.0</v>
      </c>
      <c r="D104" s="103">
        <v>564.0</v>
      </c>
      <c r="E104" s="103">
        <v>167.0</v>
      </c>
      <c r="F104" s="103">
        <v>11.0</v>
      </c>
      <c r="G104" s="103">
        <v>11.0</v>
      </c>
      <c r="H104" s="103">
        <v>97.0</v>
      </c>
      <c r="I104" s="103">
        <v>42.0</v>
      </c>
      <c r="J104" s="103">
        <v>371.0</v>
      </c>
      <c r="K104" s="103">
        <v>46.0</v>
      </c>
      <c r="L104" s="103">
        <v>0.0</v>
      </c>
      <c r="M104" s="103">
        <v>438.0</v>
      </c>
      <c r="N104" s="103">
        <v>14.0</v>
      </c>
      <c r="O104" s="103">
        <v>0.0</v>
      </c>
      <c r="P104" s="103">
        <v>0.0</v>
      </c>
      <c r="Q104" s="103">
        <v>0.0</v>
      </c>
      <c r="R104" s="103">
        <v>0.0</v>
      </c>
      <c r="S104" s="103">
        <v>7.0</v>
      </c>
      <c r="T104" s="103">
        <v>4.0</v>
      </c>
      <c r="U104" s="103">
        <v>0.0</v>
      </c>
      <c r="V104" s="103">
        <v>0.0</v>
      </c>
      <c r="W104" s="103">
        <v>1.0</v>
      </c>
      <c r="X104" s="103">
        <v>0.0</v>
      </c>
      <c r="Y104" s="103">
        <v>0.0</v>
      </c>
      <c r="Z104" s="103">
        <v>0.0</v>
      </c>
      <c r="AA104" s="103">
        <v>0.0</v>
      </c>
      <c r="AB104" s="103">
        <v>0.0</v>
      </c>
      <c r="AC104" s="103">
        <v>0.0</v>
      </c>
      <c r="AD104" s="103">
        <v>0.0</v>
      </c>
      <c r="AE104" s="103">
        <v>0.0</v>
      </c>
      <c r="AF104" s="103">
        <v>0.0</v>
      </c>
      <c r="AG104" s="103">
        <v>0.0</v>
      </c>
      <c r="AH104" s="103">
        <v>0.0</v>
      </c>
      <c r="AI104" s="103">
        <v>0.0</v>
      </c>
      <c r="AJ104" s="103">
        <v>0.0</v>
      </c>
      <c r="AK104" s="103">
        <v>36.0</v>
      </c>
      <c r="AL104" s="103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6">
        <v>45901.0</v>
      </c>
      <c r="B105" s="103">
        <v>8.0</v>
      </c>
      <c r="C105" s="103">
        <v>43.0</v>
      </c>
      <c r="D105" s="103">
        <v>564.0</v>
      </c>
      <c r="E105" s="103">
        <v>167.0</v>
      </c>
      <c r="F105" s="103">
        <v>11.0</v>
      </c>
      <c r="G105" s="103">
        <v>11.0</v>
      </c>
      <c r="H105" s="103">
        <v>97.0</v>
      </c>
      <c r="I105" s="103">
        <v>42.0</v>
      </c>
      <c r="J105" s="103">
        <v>371.0</v>
      </c>
      <c r="K105" s="103">
        <v>46.0</v>
      </c>
      <c r="L105" s="103">
        <v>0.0</v>
      </c>
      <c r="M105" s="103">
        <v>438.0</v>
      </c>
      <c r="N105" s="103">
        <v>14.0</v>
      </c>
      <c r="O105" s="103">
        <v>0.0</v>
      </c>
      <c r="P105" s="103">
        <v>0.0</v>
      </c>
      <c r="Q105" s="103">
        <v>0.0</v>
      </c>
      <c r="R105" s="103">
        <v>0.0</v>
      </c>
      <c r="S105" s="103">
        <v>7.0</v>
      </c>
      <c r="T105" s="103">
        <v>4.0</v>
      </c>
      <c r="U105" s="103">
        <v>0.0</v>
      </c>
      <c r="V105" s="103">
        <v>0.0</v>
      </c>
      <c r="W105" s="103">
        <v>1.0</v>
      </c>
      <c r="X105" s="103">
        <v>0.0</v>
      </c>
      <c r="Y105" s="103">
        <v>0.0</v>
      </c>
      <c r="Z105" s="103">
        <v>0.0</v>
      </c>
      <c r="AA105" s="103">
        <v>0.0</v>
      </c>
      <c r="AB105" s="103">
        <v>0.0</v>
      </c>
      <c r="AC105" s="103">
        <v>0.0</v>
      </c>
      <c r="AD105" s="103">
        <v>0.0</v>
      </c>
      <c r="AE105" s="103">
        <v>0.0</v>
      </c>
      <c r="AF105" s="103">
        <v>0.0</v>
      </c>
      <c r="AG105" s="103">
        <v>0.0</v>
      </c>
      <c r="AH105" s="103">
        <v>0.0</v>
      </c>
      <c r="AI105" s="103">
        <v>0.0</v>
      </c>
      <c r="AJ105" s="103">
        <v>0.0</v>
      </c>
      <c r="AK105" s="103">
        <v>36.0</v>
      </c>
      <c r="AL105" s="103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6">
        <v>45931.0</v>
      </c>
      <c r="B106" s="103">
        <v>8.0</v>
      </c>
      <c r="C106" s="103">
        <v>43.0</v>
      </c>
      <c r="D106" s="103">
        <v>564.0</v>
      </c>
      <c r="E106" s="103">
        <v>167.0</v>
      </c>
      <c r="F106" s="103">
        <v>11.0</v>
      </c>
      <c r="G106" s="103">
        <v>11.0</v>
      </c>
      <c r="H106" s="103">
        <v>97.0</v>
      </c>
      <c r="I106" s="103">
        <v>42.0</v>
      </c>
      <c r="J106" s="103">
        <v>371.0</v>
      </c>
      <c r="K106" s="103">
        <v>46.0</v>
      </c>
      <c r="L106" s="103">
        <v>0.0</v>
      </c>
      <c r="M106" s="103">
        <v>438.0</v>
      </c>
      <c r="N106" s="103">
        <v>14.0</v>
      </c>
      <c r="O106" s="103">
        <v>0.0</v>
      </c>
      <c r="P106" s="103">
        <v>0.0</v>
      </c>
      <c r="Q106" s="103">
        <v>0.0</v>
      </c>
      <c r="R106" s="103">
        <v>0.0</v>
      </c>
      <c r="S106" s="103">
        <v>7.0</v>
      </c>
      <c r="T106" s="103">
        <v>4.0</v>
      </c>
      <c r="U106" s="103">
        <v>0.0</v>
      </c>
      <c r="V106" s="103">
        <v>0.0</v>
      </c>
      <c r="W106" s="103">
        <v>1.0</v>
      </c>
      <c r="X106" s="103">
        <v>0.0</v>
      </c>
      <c r="Y106" s="103">
        <v>0.0</v>
      </c>
      <c r="Z106" s="103">
        <v>0.0</v>
      </c>
      <c r="AA106" s="103">
        <v>0.0</v>
      </c>
      <c r="AB106" s="103">
        <v>0.0</v>
      </c>
      <c r="AC106" s="103">
        <v>0.0</v>
      </c>
      <c r="AD106" s="103">
        <v>0.0</v>
      </c>
      <c r="AE106" s="103">
        <v>0.0</v>
      </c>
      <c r="AF106" s="103">
        <v>0.0</v>
      </c>
      <c r="AG106" s="103">
        <v>0.0</v>
      </c>
      <c r="AH106" s="103">
        <v>0.0</v>
      </c>
      <c r="AI106" s="103">
        <v>0.0</v>
      </c>
      <c r="AJ106" s="103">
        <v>0.0</v>
      </c>
      <c r="AK106" s="103">
        <v>36.0</v>
      </c>
      <c r="AL106" s="103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6">
        <v>45962.0</v>
      </c>
      <c r="B107" s="103">
        <v>8.0</v>
      </c>
      <c r="C107" s="103">
        <v>43.0</v>
      </c>
      <c r="D107" s="103">
        <v>564.0</v>
      </c>
      <c r="E107" s="103">
        <v>167.0</v>
      </c>
      <c r="F107" s="103">
        <v>11.0</v>
      </c>
      <c r="G107" s="103">
        <v>11.0</v>
      </c>
      <c r="H107" s="103">
        <v>97.0</v>
      </c>
      <c r="I107" s="103">
        <v>42.0</v>
      </c>
      <c r="J107" s="103">
        <v>371.0</v>
      </c>
      <c r="K107" s="103">
        <v>46.0</v>
      </c>
      <c r="L107" s="103">
        <v>0.0</v>
      </c>
      <c r="M107" s="103">
        <v>438.0</v>
      </c>
      <c r="N107" s="103">
        <v>14.0</v>
      </c>
      <c r="O107" s="103">
        <v>0.0</v>
      </c>
      <c r="P107" s="103">
        <v>0.0</v>
      </c>
      <c r="Q107" s="103">
        <v>0.0</v>
      </c>
      <c r="R107" s="103">
        <v>0.0</v>
      </c>
      <c r="S107" s="103">
        <v>7.0</v>
      </c>
      <c r="T107" s="103">
        <v>4.0</v>
      </c>
      <c r="U107" s="103">
        <v>0.0</v>
      </c>
      <c r="V107" s="103">
        <v>0.0</v>
      </c>
      <c r="W107" s="103">
        <v>1.0</v>
      </c>
      <c r="X107" s="103">
        <v>0.0</v>
      </c>
      <c r="Y107" s="103">
        <v>0.0</v>
      </c>
      <c r="Z107" s="103">
        <v>0.0</v>
      </c>
      <c r="AA107" s="103">
        <v>0.0</v>
      </c>
      <c r="AB107" s="103">
        <v>0.0</v>
      </c>
      <c r="AC107" s="103">
        <v>0.0</v>
      </c>
      <c r="AD107" s="103">
        <v>0.0</v>
      </c>
      <c r="AE107" s="103">
        <v>0.0</v>
      </c>
      <c r="AF107" s="103">
        <v>0.0</v>
      </c>
      <c r="AG107" s="103">
        <v>0.0</v>
      </c>
      <c r="AH107" s="103">
        <v>0.0</v>
      </c>
      <c r="AI107" s="103">
        <v>0.0</v>
      </c>
      <c r="AJ107" s="103">
        <v>0.0</v>
      </c>
      <c r="AK107" s="103">
        <v>36.0</v>
      </c>
      <c r="AL107" s="103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6">
        <v>45992.0</v>
      </c>
      <c r="B108" s="103">
        <v>8.0</v>
      </c>
      <c r="C108" s="103">
        <v>43.0</v>
      </c>
      <c r="D108" s="103">
        <v>564.0</v>
      </c>
      <c r="E108" s="103">
        <v>167.0</v>
      </c>
      <c r="F108" s="103">
        <v>11.0</v>
      </c>
      <c r="G108" s="103">
        <v>11.0</v>
      </c>
      <c r="H108" s="103">
        <v>97.0</v>
      </c>
      <c r="I108" s="103">
        <v>42.0</v>
      </c>
      <c r="J108" s="103">
        <v>371.0</v>
      </c>
      <c r="K108" s="103">
        <v>46.0</v>
      </c>
      <c r="L108" s="103">
        <v>0.0</v>
      </c>
      <c r="M108" s="103">
        <v>438.0</v>
      </c>
      <c r="N108" s="103">
        <v>14.0</v>
      </c>
      <c r="O108" s="103">
        <v>0.0</v>
      </c>
      <c r="P108" s="103">
        <v>0.0</v>
      </c>
      <c r="Q108" s="103">
        <v>0.0</v>
      </c>
      <c r="R108" s="103">
        <v>0.0</v>
      </c>
      <c r="S108" s="103">
        <v>7.0</v>
      </c>
      <c r="T108" s="103">
        <v>4.0</v>
      </c>
      <c r="U108" s="103">
        <v>0.0</v>
      </c>
      <c r="V108" s="103">
        <v>0.0</v>
      </c>
      <c r="W108" s="103">
        <v>1.0</v>
      </c>
      <c r="X108" s="103">
        <v>0.0</v>
      </c>
      <c r="Y108" s="103">
        <v>0.0</v>
      </c>
      <c r="Z108" s="103">
        <v>0.0</v>
      </c>
      <c r="AA108" s="103">
        <v>0.0</v>
      </c>
      <c r="AB108" s="103">
        <v>0.0</v>
      </c>
      <c r="AC108" s="103">
        <v>0.0</v>
      </c>
      <c r="AD108" s="103">
        <v>0.0</v>
      </c>
      <c r="AE108" s="103">
        <v>0.0</v>
      </c>
      <c r="AF108" s="103">
        <v>0.0</v>
      </c>
      <c r="AG108" s="103">
        <v>0.0</v>
      </c>
      <c r="AH108" s="103">
        <v>0.0</v>
      </c>
      <c r="AI108" s="103">
        <v>0.0</v>
      </c>
      <c r="AJ108" s="103">
        <v>0.0</v>
      </c>
      <c r="AK108" s="103">
        <v>36.0</v>
      </c>
      <c r="AL108" s="103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42" t="s">
        <v>40</v>
      </c>
      <c r="B109" s="143">
        <f t="shared" ref="B109:AL109" si="5">sum(B97:B108)</f>
        <v>96</v>
      </c>
      <c r="C109" s="143">
        <f t="shared" si="5"/>
        <v>516</v>
      </c>
      <c r="D109" s="143">
        <f t="shared" si="5"/>
        <v>6768</v>
      </c>
      <c r="E109" s="143">
        <f t="shared" si="5"/>
        <v>2004</v>
      </c>
      <c r="F109" s="143">
        <f t="shared" si="5"/>
        <v>132</v>
      </c>
      <c r="G109" s="143">
        <f t="shared" si="5"/>
        <v>132</v>
      </c>
      <c r="H109" s="143">
        <f t="shared" si="5"/>
        <v>1164</v>
      </c>
      <c r="I109" s="143">
        <f t="shared" si="5"/>
        <v>504</v>
      </c>
      <c r="J109" s="143">
        <f t="shared" si="5"/>
        <v>4452</v>
      </c>
      <c r="K109" s="143">
        <f t="shared" si="5"/>
        <v>552</v>
      </c>
      <c r="L109" s="143">
        <f t="shared" si="5"/>
        <v>0</v>
      </c>
      <c r="M109" s="143">
        <f t="shared" si="5"/>
        <v>5256</v>
      </c>
      <c r="N109" s="143">
        <f t="shared" si="5"/>
        <v>168</v>
      </c>
      <c r="O109" s="143">
        <f t="shared" si="5"/>
        <v>0</v>
      </c>
      <c r="P109" s="143">
        <f t="shared" si="5"/>
        <v>0</v>
      </c>
      <c r="Q109" s="143">
        <f t="shared" si="5"/>
        <v>0</v>
      </c>
      <c r="R109" s="143">
        <f t="shared" si="5"/>
        <v>0</v>
      </c>
      <c r="S109" s="143">
        <f t="shared" si="5"/>
        <v>84</v>
      </c>
      <c r="T109" s="143">
        <f t="shared" si="5"/>
        <v>48</v>
      </c>
      <c r="U109" s="143">
        <f t="shared" si="5"/>
        <v>0</v>
      </c>
      <c r="V109" s="143">
        <f t="shared" si="5"/>
        <v>0</v>
      </c>
      <c r="W109" s="143">
        <f t="shared" si="5"/>
        <v>12</v>
      </c>
      <c r="X109" s="143">
        <f t="shared" si="5"/>
        <v>0</v>
      </c>
      <c r="Y109" s="143">
        <f t="shared" si="5"/>
        <v>0</v>
      </c>
      <c r="Z109" s="143">
        <f t="shared" si="5"/>
        <v>0</v>
      </c>
      <c r="AA109" s="143">
        <f t="shared" si="5"/>
        <v>0</v>
      </c>
      <c r="AB109" s="143">
        <f t="shared" si="5"/>
        <v>0</v>
      </c>
      <c r="AC109" s="143">
        <f t="shared" si="5"/>
        <v>0</v>
      </c>
      <c r="AD109" s="143">
        <f t="shared" si="5"/>
        <v>0</v>
      </c>
      <c r="AE109" s="143">
        <f t="shared" si="5"/>
        <v>0</v>
      </c>
      <c r="AF109" s="143">
        <f t="shared" si="5"/>
        <v>0</v>
      </c>
      <c r="AG109" s="143">
        <f t="shared" si="5"/>
        <v>0</v>
      </c>
      <c r="AH109" s="143">
        <f t="shared" si="5"/>
        <v>0</v>
      </c>
      <c r="AI109" s="143">
        <f t="shared" si="5"/>
        <v>0</v>
      </c>
      <c r="AJ109" s="143">
        <f t="shared" si="5"/>
        <v>0</v>
      </c>
      <c r="AK109" s="143">
        <f t="shared" si="5"/>
        <v>432</v>
      </c>
      <c r="AL109" s="143">
        <f t="shared" si="5"/>
        <v>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31:G31"/>
    <mergeCell ref="D32:E32"/>
    <mergeCell ref="F32:G32"/>
    <mergeCell ref="A51:A53"/>
    <mergeCell ref="D51:G51"/>
    <mergeCell ref="D52:E52"/>
    <mergeCell ref="F52:G52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Y31:Z31"/>
    <mergeCell ref="Y32:Z32"/>
    <mergeCell ref="W51:AC52"/>
    <mergeCell ref="AD51:AD53"/>
    <mergeCell ref="AE51:AF51"/>
    <mergeCell ref="H31:N31"/>
    <mergeCell ref="O31:Q31"/>
    <mergeCell ref="U31:V32"/>
    <mergeCell ref="W31:X32"/>
    <mergeCell ref="AB31:AC32"/>
    <mergeCell ref="H32:I32"/>
    <mergeCell ref="S32:T32"/>
    <mergeCell ref="H72:L72"/>
    <mergeCell ref="M72:U72"/>
    <mergeCell ref="N73:P73"/>
    <mergeCell ref="Q73:S73"/>
    <mergeCell ref="B91:AJ91"/>
    <mergeCell ref="T92:AJ92"/>
    <mergeCell ref="T93:X93"/>
    <mergeCell ref="Y93:AB93"/>
    <mergeCell ref="AC93:AF93"/>
    <mergeCell ref="AG93:AJ93"/>
    <mergeCell ref="R52:S52"/>
    <mergeCell ref="T52:U52"/>
    <mergeCell ref="A71:A74"/>
    <mergeCell ref="B71:G71"/>
    <mergeCell ref="H71:W71"/>
    <mergeCell ref="AD71:AD73"/>
    <mergeCell ref="AE71:AF71"/>
    <mergeCell ref="T73:U73"/>
    <mergeCell ref="F93:F95"/>
    <mergeCell ref="G94:G95"/>
    <mergeCell ref="H94:H95"/>
    <mergeCell ref="I94:I95"/>
    <mergeCell ref="J94:J95"/>
    <mergeCell ref="K94:K95"/>
    <mergeCell ref="L94:L95"/>
    <mergeCell ref="M94:M95"/>
    <mergeCell ref="E93:E95"/>
    <mergeCell ref="G93:H93"/>
    <mergeCell ref="I93:K93"/>
    <mergeCell ref="L93:N93"/>
    <mergeCell ref="R93:R94"/>
    <mergeCell ref="S93:S94"/>
    <mergeCell ref="N94:N95"/>
    <mergeCell ref="AG94:AH94"/>
    <mergeCell ref="AI94:AJ94"/>
    <mergeCell ref="O93:Q93"/>
    <mergeCell ref="O94:Q94"/>
    <mergeCell ref="W94:X94"/>
    <mergeCell ref="Y94:Z94"/>
    <mergeCell ref="AA94:AB94"/>
    <mergeCell ref="AC94:AD94"/>
    <mergeCell ref="AE94:AF94"/>
    <mergeCell ref="N32:N33"/>
    <mergeCell ref="P32:Q32"/>
    <mergeCell ref="H51:V51"/>
    <mergeCell ref="H52:I52"/>
    <mergeCell ref="J52:M52"/>
    <mergeCell ref="N52:O52"/>
    <mergeCell ref="P52:Q52"/>
    <mergeCell ref="D72:E72"/>
    <mergeCell ref="F72:G72"/>
    <mergeCell ref="F73:F74"/>
    <mergeCell ref="G73:G74"/>
    <mergeCell ref="H73:H74"/>
    <mergeCell ref="I73:I74"/>
    <mergeCell ref="J73:J74"/>
    <mergeCell ref="K73:K74"/>
    <mergeCell ref="L73:L74"/>
    <mergeCell ref="M73:M74"/>
    <mergeCell ref="G92:Q92"/>
    <mergeCell ref="R92:S92"/>
    <mergeCell ref="U94:V94"/>
    <mergeCell ref="D73:D74"/>
    <mergeCell ref="E73:E74"/>
    <mergeCell ref="A91:A95"/>
    <mergeCell ref="B92:F92"/>
    <mergeCell ref="B93:B95"/>
    <mergeCell ref="C93:C95"/>
    <mergeCell ref="D93:D9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8.13"/>
    <col customWidth="1" min="4" max="4" width="20.0"/>
    <col customWidth="1" min="5" max="5" width="14.5"/>
    <col customWidth="1" min="6" max="6" width="18.0"/>
    <col customWidth="1" min="8" max="8" width="46.63"/>
    <col customWidth="1" min="9" max="9" width="29.63"/>
    <col customWidth="1" min="10" max="10" width="21.13"/>
  </cols>
  <sheetData>
    <row r="1">
      <c r="A1" s="26" t="s">
        <v>41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6" t="s">
        <v>284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8"/>
      <c r="B3" s="27" t="s">
        <v>1</v>
      </c>
      <c r="C3" s="29" t="s">
        <v>2</v>
      </c>
      <c r="D3" s="27"/>
      <c r="E3" s="27"/>
      <c r="F3" s="27"/>
      <c r="G3" s="27"/>
      <c r="H3" s="27"/>
      <c r="I3" s="27"/>
      <c r="J3" s="27"/>
      <c r="K3" s="2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8" t="s">
        <v>43</v>
      </c>
      <c r="B5" s="189" t="s">
        <v>44</v>
      </c>
      <c r="C5" s="188" t="s">
        <v>285</v>
      </c>
      <c r="D5" s="188" t="s">
        <v>286</v>
      </c>
      <c r="E5" s="188" t="s">
        <v>47</v>
      </c>
      <c r="F5" s="188" t="s">
        <v>46</v>
      </c>
      <c r="G5" s="188" t="s">
        <v>48</v>
      </c>
      <c r="H5" s="188" t="s">
        <v>287</v>
      </c>
      <c r="I5" s="188" t="s">
        <v>288</v>
      </c>
      <c r="J5" s="190" t="s">
        <v>289</v>
      </c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1" t="s">
        <v>51</v>
      </c>
      <c r="K6" s="191" t="s">
        <v>52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2">
        <v>1.0</v>
      </c>
      <c r="B7" s="192">
        <v>2.0</v>
      </c>
      <c r="C7" s="192">
        <v>3.0</v>
      </c>
      <c r="D7" s="192">
        <v>4.0</v>
      </c>
      <c r="E7" s="192">
        <v>5.0</v>
      </c>
      <c r="F7" s="192">
        <v>6.0</v>
      </c>
      <c r="G7" s="192">
        <v>7.0</v>
      </c>
      <c r="H7" s="192">
        <v>8.0</v>
      </c>
      <c r="I7" s="192">
        <v>9.0</v>
      </c>
      <c r="J7" s="192">
        <v>10.0</v>
      </c>
      <c r="K7" s="19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93">
        <v>1.0</v>
      </c>
      <c r="B8" s="194">
        <v>45813.0</v>
      </c>
      <c r="C8" s="195" t="s">
        <v>28</v>
      </c>
      <c r="D8" s="196"/>
      <c r="E8" s="195" t="s">
        <v>290</v>
      </c>
      <c r="F8" s="197" t="s">
        <v>291</v>
      </c>
      <c r="G8" s="195" t="s">
        <v>292</v>
      </c>
      <c r="H8" s="198" t="s">
        <v>293</v>
      </c>
      <c r="I8" s="198" t="s">
        <v>294</v>
      </c>
      <c r="J8" s="195" t="s">
        <v>295</v>
      </c>
      <c r="K8" s="71" t="s">
        <v>25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93">
        <v>2.0</v>
      </c>
      <c r="B9" s="199">
        <v>45950.0</v>
      </c>
      <c r="C9" s="195" t="s">
        <v>296</v>
      </c>
      <c r="D9" s="200"/>
      <c r="E9" s="195" t="s">
        <v>297</v>
      </c>
      <c r="F9" s="195" t="s">
        <v>298</v>
      </c>
      <c r="G9" s="195" t="s">
        <v>299</v>
      </c>
      <c r="H9" s="198" t="s">
        <v>293</v>
      </c>
      <c r="I9" s="198" t="s">
        <v>294</v>
      </c>
      <c r="J9" s="201" t="s">
        <v>295</v>
      </c>
      <c r="K9" s="71" t="s">
        <v>25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/>
      <c r="B10" s="40"/>
      <c r="C10" s="40"/>
      <c r="D10" s="40"/>
      <c r="E10" s="40"/>
      <c r="F10" s="40"/>
      <c r="G10" s="40"/>
      <c r="H10" s="40"/>
      <c r="I10" s="40"/>
      <c r="J10" s="50"/>
      <c r="K10" s="20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/>
      <c r="B11" s="40"/>
      <c r="C11" s="40"/>
      <c r="D11" s="40"/>
      <c r="E11" s="40"/>
      <c r="F11" s="40"/>
      <c r="G11" s="40"/>
      <c r="H11" s="40"/>
      <c r="I11" s="40"/>
      <c r="J11" s="50"/>
      <c r="K11" s="20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3.88"/>
    <col customWidth="1" min="11" max="11" width="20.0"/>
  </cols>
  <sheetData>
    <row r="1">
      <c r="A1" s="26" t="s">
        <v>41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6" t="s">
        <v>300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0"/>
      <c r="B3" s="27" t="s">
        <v>1</v>
      </c>
      <c r="C3" s="29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1" t="s">
        <v>43</v>
      </c>
      <c r="B4" s="32" t="s">
        <v>44</v>
      </c>
      <c r="C4" s="31" t="s">
        <v>45</v>
      </c>
      <c r="D4" s="31" t="s">
        <v>47</v>
      </c>
      <c r="E4" s="31" t="s">
        <v>46</v>
      </c>
      <c r="F4" s="31" t="s">
        <v>48</v>
      </c>
      <c r="G4" s="203" t="s">
        <v>301</v>
      </c>
      <c r="H4" s="42"/>
      <c r="I4" s="42"/>
      <c r="J4" s="42"/>
      <c r="K4" s="43"/>
      <c r="L4" s="33" t="s">
        <v>289</v>
      </c>
      <c r="M4" s="2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204" t="s">
        <v>302</v>
      </c>
      <c r="H5" s="204" t="s">
        <v>303</v>
      </c>
      <c r="I5" s="204" t="s">
        <v>304</v>
      </c>
      <c r="J5" s="204" t="s">
        <v>305</v>
      </c>
      <c r="K5" s="204" t="s">
        <v>306</v>
      </c>
      <c r="L5" s="34" t="s">
        <v>51</v>
      </c>
      <c r="M5" s="205" t="s">
        <v>52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06">
        <v>1.0</v>
      </c>
      <c r="B6" s="36">
        <v>2.0</v>
      </c>
      <c r="C6" s="36">
        <v>3.0</v>
      </c>
      <c r="D6" s="206">
        <v>4.0</v>
      </c>
      <c r="E6" s="36">
        <v>5.0</v>
      </c>
      <c r="F6" s="36">
        <v>6.0</v>
      </c>
      <c r="G6" s="206">
        <v>7.0</v>
      </c>
      <c r="H6" s="36">
        <v>8.0</v>
      </c>
      <c r="I6" s="36">
        <v>9.0</v>
      </c>
      <c r="J6" s="206">
        <v>10.0</v>
      </c>
      <c r="K6" s="36">
        <v>11.0</v>
      </c>
      <c r="L6" s="36">
        <v>12.0</v>
      </c>
      <c r="M6" s="206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/>
      <c r="B7" s="207"/>
      <c r="C7" s="38"/>
      <c r="D7" s="40"/>
      <c r="E7" s="40"/>
      <c r="F7" s="40"/>
      <c r="G7" s="50"/>
      <c r="H7" s="50"/>
      <c r="I7" s="50"/>
      <c r="J7" s="50"/>
      <c r="K7" s="40"/>
      <c r="L7" s="50"/>
      <c r="M7" s="20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/>
      <c r="B8" s="207"/>
      <c r="C8" s="38"/>
      <c r="D8" s="40"/>
      <c r="E8" s="40"/>
      <c r="F8" s="40"/>
      <c r="G8" s="50"/>
      <c r="H8" s="50"/>
      <c r="I8" s="50"/>
      <c r="J8" s="50"/>
      <c r="K8" s="40"/>
      <c r="L8" s="50"/>
      <c r="M8" s="20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209" t="s">
        <v>53</v>
      </c>
      <c r="L9" s="45"/>
      <c r="M9" s="2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1"/>
      <c r="L10" s="45"/>
      <c r="M10" s="20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1"/>
      <c r="L11" s="45"/>
      <c r="M11" s="20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1"/>
      <c r="L12" s="45"/>
      <c r="M12" s="20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1"/>
      <c r="L13" s="45"/>
      <c r="M13" s="20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1"/>
      <c r="L14" s="45"/>
      <c r="M14" s="20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1"/>
      <c r="L15" s="45"/>
      <c r="M15" s="20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1"/>
      <c r="L16" s="45"/>
      <c r="M16" s="20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1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8"/>
      <c r="M17" s="20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1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20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</sheetData>
  <mergeCells count="11">
    <mergeCell ref="F4:F5"/>
    <mergeCell ref="G4:K4"/>
    <mergeCell ref="B9:L17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7" max="7" width="25.25"/>
  </cols>
  <sheetData>
    <row r="1">
      <c r="A1" s="26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6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7" t="s">
        <v>1</v>
      </c>
      <c r="C3" s="29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1" t="s">
        <v>43</v>
      </c>
      <c r="B4" s="32" t="s">
        <v>44</v>
      </c>
      <c r="C4" s="31" t="s">
        <v>45</v>
      </c>
      <c r="D4" s="31" t="s">
        <v>46</v>
      </c>
      <c r="E4" s="31" t="s">
        <v>47</v>
      </c>
      <c r="F4" s="31" t="s">
        <v>48</v>
      </c>
      <c r="G4" s="188" t="s">
        <v>49</v>
      </c>
      <c r="H4" s="33" t="s">
        <v>50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4" t="s">
        <v>51</v>
      </c>
      <c r="I5" s="34" t="s">
        <v>52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5">
        <v>1.0</v>
      </c>
      <c r="B6" s="36">
        <v>2.0</v>
      </c>
      <c r="C6" s="212"/>
      <c r="D6" s="36">
        <v>3.0</v>
      </c>
      <c r="E6" s="36">
        <v>4.0</v>
      </c>
      <c r="F6" s="36">
        <v>5.0</v>
      </c>
      <c r="G6" s="36">
        <v>6.0</v>
      </c>
      <c r="H6" s="36">
        <v>7.0</v>
      </c>
      <c r="I6" s="36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6">
        <v>1.0</v>
      </c>
      <c r="B7" s="213">
        <v>45884.0</v>
      </c>
      <c r="C7" s="16" t="s">
        <v>25</v>
      </c>
      <c r="D7" s="16" t="s">
        <v>25</v>
      </c>
      <c r="E7" s="214" t="s">
        <v>308</v>
      </c>
      <c r="F7" s="214" t="s">
        <v>309</v>
      </c>
      <c r="G7" s="214" t="s">
        <v>310</v>
      </c>
      <c r="H7" s="214" t="s">
        <v>311</v>
      </c>
      <c r="I7" s="21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6">
        <v>2.0</v>
      </c>
      <c r="B8" s="216">
        <v>45981.0</v>
      </c>
      <c r="C8" s="16" t="s">
        <v>25</v>
      </c>
      <c r="D8" s="16" t="s">
        <v>25</v>
      </c>
      <c r="E8" s="214" t="s">
        <v>312</v>
      </c>
      <c r="F8" s="214" t="s">
        <v>313</v>
      </c>
      <c r="G8" s="214" t="s">
        <v>310</v>
      </c>
      <c r="H8" s="214" t="s">
        <v>311</v>
      </c>
      <c r="I8" s="21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7"/>
      <c r="B9" s="218"/>
      <c r="C9" s="218"/>
      <c r="D9" s="218"/>
      <c r="E9" s="218"/>
      <c r="F9" s="218"/>
      <c r="G9" s="218"/>
      <c r="H9" s="218"/>
      <c r="I9" s="20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7"/>
      <c r="B10" s="218"/>
      <c r="C10" s="218"/>
      <c r="D10" s="217"/>
      <c r="E10" s="218"/>
      <c r="F10" s="218"/>
      <c r="G10" s="218"/>
      <c r="H10" s="218"/>
      <c r="I10" s="20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7.63"/>
    <col customWidth="1" min="4" max="4" width="20.38"/>
    <col customWidth="1" min="5" max="5" width="20.88"/>
    <col customWidth="1" min="6" max="6" width="22.75"/>
    <col customWidth="1" min="7" max="7" width="17.5"/>
  </cols>
  <sheetData>
    <row r="1">
      <c r="A1" s="26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6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</v>
      </c>
      <c r="B3" s="78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1" t="s">
        <v>43</v>
      </c>
      <c r="B5" s="32" t="s">
        <v>44</v>
      </c>
      <c r="C5" s="31" t="s">
        <v>45</v>
      </c>
      <c r="D5" s="31" t="s">
        <v>46</v>
      </c>
      <c r="E5" s="31" t="s">
        <v>47</v>
      </c>
      <c r="F5" s="31" t="s">
        <v>48</v>
      </c>
      <c r="G5" s="188" t="s">
        <v>49</v>
      </c>
      <c r="H5" s="33" t="s">
        <v>50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4" t="s">
        <v>51</v>
      </c>
      <c r="I6" s="34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5">
        <v>1.0</v>
      </c>
      <c r="B7" s="36">
        <v>2.0</v>
      </c>
      <c r="C7" s="219"/>
      <c r="D7" s="36">
        <v>3.0</v>
      </c>
      <c r="E7" s="36">
        <v>4.0</v>
      </c>
      <c r="F7" s="36">
        <v>5.0</v>
      </c>
      <c r="G7" s="36">
        <v>6.0</v>
      </c>
      <c r="H7" s="36">
        <v>7.0</v>
      </c>
      <c r="I7" s="36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0">
        <v>1.0</v>
      </c>
      <c r="B8" s="221">
        <v>45674.0</v>
      </c>
      <c r="C8" s="222" t="s">
        <v>315</v>
      </c>
      <c r="D8" s="223" t="s">
        <v>316</v>
      </c>
      <c r="E8" s="224" t="s">
        <v>317</v>
      </c>
      <c r="F8" s="225" t="s">
        <v>318</v>
      </c>
      <c r="G8" s="222" t="s">
        <v>319</v>
      </c>
      <c r="H8" s="14" t="s">
        <v>25</v>
      </c>
      <c r="I8" s="14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0">
        <v>2.0</v>
      </c>
      <c r="B9" s="221">
        <v>45675.0</v>
      </c>
      <c r="C9" s="222" t="s">
        <v>315</v>
      </c>
      <c r="D9" s="223" t="s">
        <v>320</v>
      </c>
      <c r="E9" s="224" t="s">
        <v>321</v>
      </c>
      <c r="F9" s="225" t="s">
        <v>318</v>
      </c>
      <c r="G9" s="222" t="s">
        <v>319</v>
      </c>
      <c r="H9" s="14" t="s">
        <v>25</v>
      </c>
      <c r="I9" s="14" t="s">
        <v>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0">
        <v>3.0</v>
      </c>
      <c r="B10" s="221">
        <v>45676.0</v>
      </c>
      <c r="C10" s="222" t="s">
        <v>315</v>
      </c>
      <c r="D10" s="226" t="s">
        <v>322</v>
      </c>
      <c r="E10" s="227" t="s">
        <v>323</v>
      </c>
      <c r="F10" s="225" t="s">
        <v>318</v>
      </c>
      <c r="G10" s="222" t="s">
        <v>319</v>
      </c>
      <c r="H10" s="14" t="s">
        <v>25</v>
      </c>
      <c r="I10" s="14" t="s"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0">
        <v>4.0</v>
      </c>
      <c r="B11" s="228">
        <v>45693.0</v>
      </c>
      <c r="C11" s="229" t="s">
        <v>324</v>
      </c>
      <c r="D11" s="230" t="s">
        <v>325</v>
      </c>
      <c r="E11" s="224" t="s">
        <v>326</v>
      </c>
      <c r="F11" s="225" t="s">
        <v>327</v>
      </c>
      <c r="G11" s="222" t="s">
        <v>319</v>
      </c>
      <c r="H11" s="14" t="s">
        <v>25</v>
      </c>
      <c r="I11" s="14" t="s">
        <v>25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0">
        <v>5.0</v>
      </c>
      <c r="B12" s="231">
        <v>45698.0</v>
      </c>
      <c r="C12" s="222" t="s">
        <v>324</v>
      </c>
      <c r="D12" s="223" t="s">
        <v>328</v>
      </c>
      <c r="E12" s="224" t="s">
        <v>329</v>
      </c>
      <c r="F12" s="225" t="s">
        <v>327</v>
      </c>
      <c r="G12" s="222" t="s">
        <v>319</v>
      </c>
      <c r="H12" s="14" t="s">
        <v>25</v>
      </c>
      <c r="I12" s="14" t="s">
        <v>25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0">
        <v>6.0</v>
      </c>
      <c r="B13" s="228">
        <v>45713.0</v>
      </c>
      <c r="C13" s="222" t="s">
        <v>324</v>
      </c>
      <c r="D13" s="223" t="s">
        <v>330</v>
      </c>
      <c r="E13" s="224" t="s">
        <v>331</v>
      </c>
      <c r="F13" s="225" t="s">
        <v>327</v>
      </c>
      <c r="G13" s="222" t="s">
        <v>319</v>
      </c>
      <c r="H13" s="14" t="s">
        <v>25</v>
      </c>
      <c r="I13" s="14" t="s">
        <v>25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0">
        <v>8.0</v>
      </c>
      <c r="B14" s="232">
        <v>45714.0</v>
      </c>
      <c r="C14" s="229" t="s">
        <v>332</v>
      </c>
      <c r="D14" s="223" t="s">
        <v>333</v>
      </c>
      <c r="E14" s="227" t="s">
        <v>334</v>
      </c>
      <c r="F14" s="225" t="s">
        <v>335</v>
      </c>
      <c r="G14" s="222" t="s">
        <v>319</v>
      </c>
      <c r="H14" s="14" t="s">
        <v>25</v>
      </c>
      <c r="I14" s="14" t="s">
        <v>25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0">
        <v>9.0</v>
      </c>
      <c r="B15" s="232">
        <v>45715.0</v>
      </c>
      <c r="C15" s="229" t="s">
        <v>332</v>
      </c>
      <c r="D15" s="230" t="s">
        <v>336</v>
      </c>
      <c r="E15" s="233" t="s">
        <v>337</v>
      </c>
      <c r="F15" s="225" t="s">
        <v>335</v>
      </c>
      <c r="G15" s="222" t="s">
        <v>319</v>
      </c>
      <c r="H15" s="14" t="s">
        <v>25</v>
      </c>
      <c r="I15" s="14" t="s">
        <v>25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0">
        <v>10.0</v>
      </c>
      <c r="B16" s="232">
        <v>45716.0</v>
      </c>
      <c r="C16" s="229" t="s">
        <v>332</v>
      </c>
      <c r="D16" s="230" t="s">
        <v>338</v>
      </c>
      <c r="E16" s="224" t="s">
        <v>339</v>
      </c>
      <c r="F16" s="225" t="s">
        <v>335</v>
      </c>
      <c r="G16" s="222" t="s">
        <v>319</v>
      </c>
      <c r="H16" s="14" t="s">
        <v>25</v>
      </c>
      <c r="I16" s="14" t="s">
        <v>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0">
        <v>12.0</v>
      </c>
      <c r="B17" s="234" t="s">
        <v>340</v>
      </c>
      <c r="C17" s="229" t="s">
        <v>324</v>
      </c>
      <c r="D17" s="230" t="s">
        <v>341</v>
      </c>
      <c r="E17" s="224" t="s">
        <v>342</v>
      </c>
      <c r="F17" s="225" t="s">
        <v>335</v>
      </c>
      <c r="G17" s="222" t="s">
        <v>319</v>
      </c>
      <c r="H17" s="14" t="s">
        <v>25</v>
      </c>
      <c r="I17" s="14" t="s">
        <v>25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0">
        <v>13.0</v>
      </c>
      <c r="B18" s="228">
        <v>45749.0</v>
      </c>
      <c r="C18" s="229" t="s">
        <v>343</v>
      </c>
      <c r="D18" s="230" t="s">
        <v>344</v>
      </c>
      <c r="E18" s="235" t="s">
        <v>345</v>
      </c>
      <c r="F18" s="225" t="s">
        <v>346</v>
      </c>
      <c r="G18" s="222" t="s">
        <v>319</v>
      </c>
      <c r="H18" s="14" t="s">
        <v>25</v>
      </c>
      <c r="I18" s="14" t="s">
        <v>25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0">
        <v>14.0</v>
      </c>
      <c r="B19" s="228">
        <v>45762.0</v>
      </c>
      <c r="C19" s="229" t="s">
        <v>347</v>
      </c>
      <c r="D19" s="223" t="s">
        <v>348</v>
      </c>
      <c r="E19" s="235" t="s">
        <v>349</v>
      </c>
      <c r="F19" s="225" t="s">
        <v>350</v>
      </c>
      <c r="G19" s="222" t="s">
        <v>319</v>
      </c>
      <c r="H19" s="14" t="s">
        <v>25</v>
      </c>
      <c r="I19" s="14" t="s">
        <v>25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0">
        <v>15.0</v>
      </c>
      <c r="B20" s="228">
        <v>45767.0</v>
      </c>
      <c r="C20" s="229" t="s">
        <v>347</v>
      </c>
      <c r="D20" s="230" t="s">
        <v>351</v>
      </c>
      <c r="E20" s="235" t="s">
        <v>352</v>
      </c>
      <c r="F20" s="225" t="s">
        <v>350</v>
      </c>
      <c r="G20" s="222" t="s">
        <v>319</v>
      </c>
      <c r="H20" s="14" t="s">
        <v>25</v>
      </c>
      <c r="I20" s="14" t="s">
        <v>25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0">
        <v>16.0</v>
      </c>
      <c r="B21" s="228">
        <v>45777.0</v>
      </c>
      <c r="C21" s="229" t="s">
        <v>347</v>
      </c>
      <c r="D21" s="230" t="s">
        <v>353</v>
      </c>
      <c r="E21" s="235" t="s">
        <v>354</v>
      </c>
      <c r="F21" s="225" t="s">
        <v>350</v>
      </c>
      <c r="G21" s="222" t="s">
        <v>319</v>
      </c>
      <c r="H21" s="14" t="s">
        <v>25</v>
      </c>
      <c r="I21" s="14" t="s">
        <v>25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0">
        <v>17.0</v>
      </c>
      <c r="B22" s="236">
        <v>45781.0</v>
      </c>
      <c r="C22" s="229" t="s">
        <v>324</v>
      </c>
      <c r="D22" s="223" t="s">
        <v>355</v>
      </c>
      <c r="E22" s="224" t="s">
        <v>356</v>
      </c>
      <c r="F22" s="237" t="s">
        <v>327</v>
      </c>
      <c r="G22" s="222" t="s">
        <v>319</v>
      </c>
      <c r="H22" s="14" t="s">
        <v>25</v>
      </c>
      <c r="I22" s="14" t="s">
        <v>25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0">
        <v>18.0</v>
      </c>
      <c r="B23" s="232">
        <v>45789.0</v>
      </c>
      <c r="C23" s="229" t="s">
        <v>324</v>
      </c>
      <c r="D23" s="223" t="s">
        <v>357</v>
      </c>
      <c r="E23" s="224" t="s">
        <v>358</v>
      </c>
      <c r="F23" s="237" t="s">
        <v>327</v>
      </c>
      <c r="G23" s="222" t="s">
        <v>319</v>
      </c>
      <c r="H23" s="14" t="s">
        <v>25</v>
      </c>
      <c r="I23" s="14" t="s">
        <v>25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0">
        <v>22.0</v>
      </c>
      <c r="B24" s="232">
        <v>45797.0</v>
      </c>
      <c r="C24" s="229" t="s">
        <v>324</v>
      </c>
      <c r="D24" s="223" t="s">
        <v>359</v>
      </c>
      <c r="E24" s="224" t="s">
        <v>360</v>
      </c>
      <c r="F24" s="237" t="s">
        <v>327</v>
      </c>
      <c r="G24" s="222" t="s">
        <v>319</v>
      </c>
      <c r="H24" s="14" t="s">
        <v>25</v>
      </c>
      <c r="I24" s="14" t="s">
        <v>25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0">
        <v>23.0</v>
      </c>
      <c r="B25" s="232">
        <v>45802.0</v>
      </c>
      <c r="C25" s="229" t="s">
        <v>343</v>
      </c>
      <c r="D25" s="223" t="s">
        <v>361</v>
      </c>
      <c r="E25" s="224" t="s">
        <v>362</v>
      </c>
      <c r="F25" s="225" t="s">
        <v>346</v>
      </c>
      <c r="G25" s="222" t="s">
        <v>319</v>
      </c>
      <c r="H25" s="14" t="s">
        <v>25</v>
      </c>
      <c r="I25" s="14" t="s">
        <v>25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0">
        <v>24.0</v>
      </c>
      <c r="B26" s="232">
        <v>45794.0</v>
      </c>
      <c r="C26" s="229" t="s">
        <v>343</v>
      </c>
      <c r="D26" s="238" t="s">
        <v>363</v>
      </c>
      <c r="E26" s="239" t="s">
        <v>364</v>
      </c>
      <c r="F26" s="240" t="s">
        <v>346</v>
      </c>
      <c r="G26" s="222" t="s">
        <v>319</v>
      </c>
      <c r="H26" s="14" t="s">
        <v>25</v>
      </c>
      <c r="I26" s="14" t="s">
        <v>25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0">
        <v>25.0</v>
      </c>
      <c r="B27" s="232">
        <v>45797.0</v>
      </c>
      <c r="C27" s="229" t="s">
        <v>343</v>
      </c>
      <c r="D27" s="230" t="s">
        <v>365</v>
      </c>
      <c r="E27" s="235" t="s">
        <v>366</v>
      </c>
      <c r="F27" s="225" t="s">
        <v>346</v>
      </c>
      <c r="G27" s="222" t="s">
        <v>319</v>
      </c>
      <c r="H27" s="14" t="s">
        <v>25</v>
      </c>
      <c r="I27" s="14" t="s">
        <v>25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0">
        <v>26.0</v>
      </c>
      <c r="B28" s="232">
        <v>45807.0</v>
      </c>
      <c r="C28" s="229" t="s">
        <v>343</v>
      </c>
      <c r="D28" s="230" t="s">
        <v>367</v>
      </c>
      <c r="E28" s="235" t="s">
        <v>368</v>
      </c>
      <c r="F28" s="225" t="s">
        <v>346</v>
      </c>
      <c r="G28" s="222" t="s">
        <v>319</v>
      </c>
      <c r="H28" s="14" t="s">
        <v>25</v>
      </c>
      <c r="I28" s="14" t="s">
        <v>25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0">
        <v>28.0</v>
      </c>
      <c r="B29" s="232">
        <v>45810.0</v>
      </c>
      <c r="C29" s="229" t="s">
        <v>369</v>
      </c>
      <c r="D29" s="223" t="s">
        <v>370</v>
      </c>
      <c r="E29" s="235" t="s">
        <v>371</v>
      </c>
      <c r="F29" s="237" t="s">
        <v>372</v>
      </c>
      <c r="G29" s="222" t="s">
        <v>319</v>
      </c>
      <c r="H29" s="14" t="s">
        <v>25</v>
      </c>
      <c r="I29" s="14" t="s">
        <v>25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0">
        <v>30.0</v>
      </c>
      <c r="B30" s="232">
        <v>45823.0</v>
      </c>
      <c r="C30" s="229" t="s">
        <v>373</v>
      </c>
      <c r="D30" s="223" t="s">
        <v>374</v>
      </c>
      <c r="E30" s="241" t="s">
        <v>375</v>
      </c>
      <c r="F30" s="225" t="s">
        <v>376</v>
      </c>
      <c r="G30" s="222" t="s">
        <v>319</v>
      </c>
      <c r="H30" s="14" t="s">
        <v>25</v>
      </c>
      <c r="I30" s="14" t="s">
        <v>25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