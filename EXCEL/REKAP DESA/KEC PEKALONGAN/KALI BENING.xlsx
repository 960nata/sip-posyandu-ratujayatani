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<sst xmlns="http://schemas.openxmlformats.org/spreadsheetml/2006/main" count="2133" uniqueCount="1174">
  <si>
    <t>DATABASE POSYANDU</t>
  </si>
  <si>
    <t>DESA</t>
  </si>
  <si>
    <t>: KALIBENING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</si>
  <si>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</si>
  <si>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</si>
  <si>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</si>
  <si>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</si>
  <si>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</si>
  <si>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</si>
  <si>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</si>
  <si>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</si>
  <si>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</si>
  <si>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</si>
  <si>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</si>
  <si>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</si>
  <si>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</si>
  <si>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</si>
  <si>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</si>
  <si>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</si>
  <si>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</si>
  <si>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</si>
  <si>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</si>
  <si>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</si>
  <si>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Semoga sehat</t>
  </si>
  <si>
    <t>√</t>
  </si>
  <si>
    <t>purnama</t>
  </si>
  <si>
    <t>ILP</t>
  </si>
  <si>
    <t>Tunas harapan</t>
  </si>
  <si>
    <t>Mawar merah</t>
  </si>
  <si>
    <t>Nusa indah</t>
  </si>
  <si>
    <t>Mawar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</si>
  <si>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</si>
  <si>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</si>
  <si>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</si>
  <si>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</si>
  <si>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</si>
  <si>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</si>
  <si>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</si>
  <si>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</si>
  <si>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</si>
  <si>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</si>
  <si>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</si>
  <si>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</si>
  <si>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</si>
  <si>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</si>
  <si>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SEMOGA SEHAT</t>
  </si>
  <si>
    <t>NIHIL</t>
  </si>
  <si>
    <t>Sudah diproses</t>
  </si>
  <si>
    <t>-</t>
  </si>
  <si>
    <t>TUNAS HARAPAN</t>
  </si>
  <si>
    <t>MAWAR MERAH</t>
  </si>
  <si>
    <t>NUSA INDAH</t>
  </si>
  <si>
    <t xml:space="preserve">MAWAR 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</si>
  <si>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</si>
  <si>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</si>
  <si>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</si>
  <si>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</si>
  <si>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</si>
  <si>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</si>
  <si>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</si>
  <si>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</si>
  <si>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</si>
  <si>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</si>
  <si>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</si>
  <si>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</si>
  <si>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</si>
  <si>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</si>
  <si>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</si>
  <si>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</si>
  <si>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</si>
  <si>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</si>
  <si>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</si>
  <si>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</si>
  <si>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</si>
  <si>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</si>
  <si>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</si>
  <si>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</si>
  <si>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</si>
  <si>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</si>
  <si>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</si>
  <si>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</si>
  <si>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</si>
  <si>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</si>
  <si>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</si>
  <si>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</si>
  <si>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</si>
  <si>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</si>
  <si>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</si>
  <si>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</si>
  <si>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</si>
  <si>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</si>
  <si>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</si>
  <si>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</si>
  <si>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</si>
  <si>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</si>
  <si>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</si>
  <si>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</si>
  <si>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</si>
  <si>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</si>
  <si>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</si>
  <si>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</si>
  <si>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</si>
  <si>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</si>
  <si>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</si>
  <si>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</si>
  <si>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</si>
  <si>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</si>
  <si>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</si>
  <si>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</si>
  <si>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</si>
  <si>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</si>
  <si>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Tugiyati</t>
  </si>
  <si>
    <t>Hendri irawan</t>
  </si>
  <si>
    <t>ELLENA NASYA IRAWAN</t>
  </si>
  <si>
    <t>Ida setiawati</t>
  </si>
  <si>
    <t xml:space="preserve">Cahya anjar B </t>
  </si>
  <si>
    <t>DANURDANA DIAJENG SEKAR</t>
  </si>
  <si>
    <t>Bunga aktasari</t>
  </si>
  <si>
    <t>Defris julian</t>
  </si>
  <si>
    <t>DENNAYRA ELSARIUM EFENDI</t>
  </si>
  <si>
    <t>Dwiana pungki</t>
  </si>
  <si>
    <t>raffly M</t>
  </si>
  <si>
    <t>ZUNAIRA MARYAM A</t>
  </si>
  <si>
    <t>Dwi puspitasari</t>
  </si>
  <si>
    <t>Arif wibowo</t>
  </si>
  <si>
    <t>HANIN RUAMYSA ALARIF</t>
  </si>
  <si>
    <t>Gati listiani</t>
  </si>
  <si>
    <t>Hadi tiyastomo</t>
  </si>
  <si>
    <t>Dewi suryani</t>
  </si>
  <si>
    <t>Agus susilo</t>
  </si>
  <si>
    <t>Zahra ratriani</t>
  </si>
  <si>
    <t>Ralin adi tantowi</t>
  </si>
  <si>
    <t>ELYASA ABIRATHA ARGANTARA</t>
  </si>
  <si>
    <t>Rika sugiana</t>
  </si>
  <si>
    <t>Rahmad tanlil</t>
  </si>
  <si>
    <t>M. JALALUDIN RUMI</t>
  </si>
  <si>
    <t>Laspi septiana</t>
  </si>
  <si>
    <t>Arsad febrianto</t>
  </si>
  <si>
    <t>LAILA SALSABILA</t>
  </si>
  <si>
    <t>Yupi indah L</t>
  </si>
  <si>
    <t>Deska efriza</t>
  </si>
  <si>
    <t>HUMAIRA JIHAN PEMBAYUN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</si>
  <si>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</si>
  <si>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</si>
  <si>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</si>
  <si>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</si>
  <si>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</si>
  <si>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</si>
  <si>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</si>
  <si>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GILANG RAADITYA R</t>
  </si>
  <si>
    <t>EDI SUPRIYANTO</t>
  </si>
  <si>
    <t>AMAYRA SALSABILA</t>
  </si>
  <si>
    <t>DIKI IRAWAN</t>
  </si>
  <si>
    <t>FAWWAZ ABID R</t>
  </si>
  <si>
    <t>RIZKI NURAURIRI</t>
  </si>
  <si>
    <t>DIPO PRAYOGA</t>
  </si>
  <si>
    <t>PURWANTO</t>
  </si>
  <si>
    <t>MELVIN AQUILA</t>
  </si>
  <si>
    <t>SUHENDRI</t>
  </si>
  <si>
    <t>M. KHAFI ALBIRU</t>
  </si>
  <si>
    <t>ADE</t>
  </si>
  <si>
    <t>JUWANDA ARSYA ARION</t>
  </si>
  <si>
    <t>YOLA YULISTA PUTRI</t>
  </si>
  <si>
    <t>AZKIA KHAIRUNNISA</t>
  </si>
  <si>
    <t>SUGIRI</t>
  </si>
  <si>
    <t>GIBRAN OBY ALVANO</t>
  </si>
  <si>
    <t>SUHARMOKO</t>
  </si>
  <si>
    <t>FADIA ARASYA PUTRI</t>
  </si>
  <si>
    <t>BUDI RIANTO</t>
  </si>
  <si>
    <t>JIHAN ANINDYA</t>
  </si>
  <si>
    <t>RICKY IRAWAN</t>
  </si>
  <si>
    <t>KARENINA NADIRA</t>
  </si>
  <si>
    <t>M.NANDHA</t>
  </si>
  <si>
    <t>LINTANG ARSYA ALHABSI</t>
  </si>
  <si>
    <t>SUTARTO</t>
  </si>
  <si>
    <t>FAAZ BARRA AR RASSID</t>
  </si>
  <si>
    <t>IMAM</t>
  </si>
  <si>
    <t>NAUVAL ADITYA</t>
  </si>
  <si>
    <t>WIDODO</t>
  </si>
  <si>
    <t>ASSYFA CAHYA AZAHRA</t>
  </si>
  <si>
    <t>YULIANTI</t>
  </si>
  <si>
    <t>SUSILO</t>
  </si>
  <si>
    <t>ELRAINAN</t>
  </si>
  <si>
    <t>ADI HERMAWAN</t>
  </si>
  <si>
    <t>AIDA NURUL ARSYLA</t>
  </si>
  <si>
    <t>YOGI</t>
  </si>
  <si>
    <t>NURMALA DAMAYANTI</t>
  </si>
  <si>
    <t>SUGIYANTO</t>
  </si>
  <si>
    <t>MUHAMAD ALTAMA</t>
  </si>
  <si>
    <t>EDI SUSANTO</t>
  </si>
  <si>
    <t>MUHAMAD AZKA A</t>
  </si>
  <si>
    <t>DIAN</t>
  </si>
  <si>
    <t>NADIFA ALYA R.</t>
  </si>
  <si>
    <t>ANDI</t>
  </si>
  <si>
    <t>ALFAREEZY DANENDRA S</t>
  </si>
  <si>
    <t>ARDIYAN</t>
  </si>
  <si>
    <t>FANY MARSELINE</t>
  </si>
  <si>
    <t>ARIYADI</t>
  </si>
  <si>
    <t>AZKA QOIRUL ANWAR</t>
  </si>
  <si>
    <t>SUPARDI</t>
  </si>
  <si>
    <t>ASIH CAHYA PUTRI</t>
  </si>
  <si>
    <t>IDO ADITYA</t>
  </si>
  <si>
    <t>WILDAN ADITAMA</t>
  </si>
  <si>
    <t>YUGO PRIONO</t>
  </si>
  <si>
    <t>ATTHALA ARHAN ALFAREZQI</t>
  </si>
  <si>
    <t>ELSA TRI WIDIARTI</t>
  </si>
  <si>
    <t>ALIFIA PUTRI R</t>
  </si>
  <si>
    <t>WANTO</t>
  </si>
  <si>
    <t>QAHTAN RAFARDAN</t>
  </si>
  <si>
    <t>NOVENDRI IRAWAN</t>
  </si>
  <si>
    <t>M. ARKI</t>
  </si>
  <si>
    <t>RISAL</t>
  </si>
  <si>
    <t>ARZANKAN SHAUQI ARFANDIKA</t>
  </si>
  <si>
    <t>ANDI SUDARWANTO</t>
  </si>
  <si>
    <t>RAFISQI ALFARIQ</t>
  </si>
  <si>
    <t>YUDI IRAWAN</t>
  </si>
  <si>
    <t>MUHAMMAD ARFAN</t>
  </si>
  <si>
    <t>RASYID K</t>
  </si>
  <si>
    <t>SYAUQI HABIB ALFARIZI</t>
  </si>
  <si>
    <t>ANDI K</t>
  </si>
  <si>
    <t>ULFA JULITA</t>
  </si>
  <si>
    <t>SUPRIYANTO</t>
  </si>
  <si>
    <t>ALSHAMIRA CHALISTA</t>
  </si>
  <si>
    <t>CHANDRA</t>
  </si>
  <si>
    <t>SAFIA KUMALA PUTRI</t>
  </si>
  <si>
    <t>DIAN A</t>
  </si>
  <si>
    <t>ASHAKA M. ALFATIH</t>
  </si>
  <si>
    <t>JUNIARTO</t>
  </si>
  <si>
    <t>BAYI ADE</t>
  </si>
  <si>
    <t>ADE F</t>
  </si>
  <si>
    <t>SHANUM NAZWA AZZAHRA</t>
  </si>
  <si>
    <t>ARDITA</t>
  </si>
  <si>
    <t>M RIDWAN AL GIFARI</t>
  </si>
  <si>
    <t>HENDI/DINA</t>
  </si>
  <si>
    <t>BAYI RULLI</t>
  </si>
  <si>
    <t>RULLI</t>
  </si>
  <si>
    <t>MAUZA FAIRUS ALFARIZI</t>
  </si>
  <si>
    <t>RIYAN</t>
  </si>
  <si>
    <t>ADZKIA KYNARA</t>
  </si>
  <si>
    <t>FIFI A</t>
  </si>
  <si>
    <t>CHERYL SHAFEEQA</t>
  </si>
  <si>
    <t>EFRY VANDO</t>
  </si>
  <si>
    <t>BINTANG KEJORA</t>
  </si>
  <si>
    <t>ABDUR R</t>
  </si>
  <si>
    <t>ALISHKA SAKHI FAYOLA</t>
  </si>
  <si>
    <t>IRENNA DELLASARI</t>
  </si>
  <si>
    <t>ALZAM PERMANA</t>
  </si>
  <si>
    <t>MUHLISIN</t>
  </si>
  <si>
    <t>ARSAKA RAYAN</t>
  </si>
  <si>
    <t>KALIM RAHAYU</t>
  </si>
  <si>
    <t>JIHAN HANAYA</t>
  </si>
  <si>
    <t>M. ARIF</t>
  </si>
  <si>
    <t>RACHEL MAUREEN J</t>
  </si>
  <si>
    <t>ROY/SUSANTI</t>
  </si>
  <si>
    <t>SHAFANA ALMAHYRA</t>
  </si>
  <si>
    <t>ANTON</t>
  </si>
  <si>
    <t>INTAN NURKHALIZA</t>
  </si>
  <si>
    <t>WIDIYAWATI</t>
  </si>
  <si>
    <t>RAYYA WIDIASARI</t>
  </si>
  <si>
    <t>ANTON W</t>
  </si>
  <si>
    <t>MUHAMMAD ARSHAKA V</t>
  </si>
  <si>
    <t>ERNI SAFITRI</t>
  </si>
  <si>
    <t>AISYAH ARROFIQ</t>
  </si>
  <si>
    <t>M. AROFIQ</t>
  </si>
  <si>
    <t>ARSYLA ARROFIQ</t>
  </si>
  <si>
    <t>MAIRA NAUREN REZKIANA</t>
  </si>
  <si>
    <t>EMI OKTAVIA</t>
  </si>
  <si>
    <t>CHANNA ABIYA NADIFAH</t>
  </si>
  <si>
    <t>YULI</t>
  </si>
  <si>
    <t>BEY NITISARA</t>
  </si>
  <si>
    <t>TIWI</t>
  </si>
  <si>
    <t>DANU F</t>
  </si>
  <si>
    <t>ZEVYRA KANAYA RAMADHANI</t>
  </si>
  <si>
    <t>FIRDA</t>
  </si>
  <si>
    <t>CIPTO HADI</t>
  </si>
  <si>
    <t>KAIZURAN RAHMADANI</t>
  </si>
  <si>
    <t>DEWI</t>
  </si>
  <si>
    <t>WAHYU</t>
  </si>
  <si>
    <t>AMORA BELVANIA</t>
  </si>
  <si>
    <t>SUPRIHATIN</t>
  </si>
  <si>
    <t>ARFAN ARSYA RAMADHAN</t>
  </si>
  <si>
    <t>PUJIANTI</t>
  </si>
  <si>
    <t>IWAN</t>
  </si>
  <si>
    <t>ASHANA AURELIA ADITA</t>
  </si>
  <si>
    <t>ROSIANA</t>
  </si>
  <si>
    <t>SUYADI</t>
  </si>
  <si>
    <t>DELISHA AQUEENA S</t>
  </si>
  <si>
    <t>ERMAWATI</t>
  </si>
  <si>
    <t>ELIANTO</t>
  </si>
  <si>
    <t>FAHREZA ALFINDO S</t>
  </si>
  <si>
    <t>SHALSA Y</t>
  </si>
  <si>
    <t>ARVITO ADRIAN SAPUTRA</t>
  </si>
  <si>
    <t>ENI WAHYUNINGSIH</t>
  </si>
  <si>
    <t>ANDRI GUNAWAN</t>
  </si>
  <si>
    <t>SYAHLA ZEA ZAHIRA</t>
  </si>
  <si>
    <t>WAHYU KUMALA SARI</t>
  </si>
  <si>
    <t>AHMAD</t>
  </si>
  <si>
    <t>SAGARA GAFFI EL ZAYN</t>
  </si>
  <si>
    <t>RISKI DEWI FITRIANI</t>
  </si>
  <si>
    <t>MUHAMMAD ALHASAN</t>
  </si>
  <si>
    <t>RISKY SABILLAH</t>
  </si>
  <si>
    <t>ATHARAZKA ELZIO J</t>
  </si>
  <si>
    <t>DEBI ASTIANI</t>
  </si>
  <si>
    <t>FAIZ PARSA IBRAHIM</t>
  </si>
  <si>
    <t>LEHA DAMAYANTI</t>
  </si>
  <si>
    <t>THALITA CALLIA LAELANI</t>
  </si>
  <si>
    <t>DEVI SETYAWATI</t>
  </si>
  <si>
    <t>RENANDRA ALVAREZ</t>
  </si>
  <si>
    <t>RANTI</t>
  </si>
  <si>
    <t>REFIK</t>
  </si>
  <si>
    <t>ABBYAN HAFIS ALFARIZI</t>
  </si>
  <si>
    <t>RATNASARI</t>
  </si>
  <si>
    <t>SUJARWO</t>
  </si>
  <si>
    <t>KHALID AFKAR AL FAYYADH</t>
  </si>
  <si>
    <t>VERA APRIYANTI</t>
  </si>
  <si>
    <t>DARMAN</t>
  </si>
  <si>
    <t>M. GADING ATTAFARIZ</t>
  </si>
  <si>
    <t>META</t>
  </si>
  <si>
    <t>PUJIANTO</t>
  </si>
  <si>
    <t>ALETA FLORA ANJANI</t>
  </si>
  <si>
    <t>PUPUT</t>
  </si>
  <si>
    <t>JUNI EKO</t>
  </si>
  <si>
    <t>ALIN FAHIRA</t>
  </si>
  <si>
    <t>SUDARSIH</t>
  </si>
  <si>
    <t>EKO</t>
  </si>
  <si>
    <t>YUZRIEL NADIR RIZKY</t>
  </si>
  <si>
    <t>PUJI SUSIATI</t>
  </si>
  <si>
    <t>JOKO SANTOSO</t>
  </si>
  <si>
    <t>SHANAYA YEISHA ARETHA</t>
  </si>
  <si>
    <t>EERNI</t>
  </si>
  <si>
    <t>EBIN</t>
  </si>
  <si>
    <t>AXEL ARDIANSYAH</t>
  </si>
  <si>
    <t>SEPTIANA</t>
  </si>
  <si>
    <t>ROLAND</t>
  </si>
  <si>
    <t>ALETHA JAZLIN WIBAWA</t>
  </si>
  <si>
    <t>SITI KHOIRUNNISA</t>
  </si>
  <si>
    <t>BAYU</t>
  </si>
  <si>
    <t>ARLI REGA NARENDRA</t>
  </si>
  <si>
    <t>LUCKY SUKMAWATI</t>
  </si>
  <si>
    <t>MARLON</t>
  </si>
  <si>
    <t>ADZKIYA NUR ATHALLAH</t>
  </si>
  <si>
    <t>DESTA AYU</t>
  </si>
  <si>
    <t>AVRE ANJAS</t>
  </si>
  <si>
    <t>NAISYA ZEA ZEVANA</t>
  </si>
  <si>
    <t>NOVI ANGGRAINI</t>
  </si>
  <si>
    <t>KENZA BILLI SARENDRA</t>
  </si>
  <si>
    <t>YOLA YULISTIA</t>
  </si>
  <si>
    <t>DEVANKA SAGARA ZIKO</t>
  </si>
  <si>
    <t>FADILLA RIZKA F</t>
  </si>
  <si>
    <t>RAYYAN SYAH PUTRA</t>
  </si>
  <si>
    <t>SEPTI KURNIA N</t>
  </si>
  <si>
    <t>ROBBY</t>
  </si>
  <si>
    <t>ZIVEN KAZUZA IZZI</t>
  </si>
  <si>
    <t>HENI PURWATI</t>
  </si>
  <si>
    <t>BUDI LESTARI</t>
  </si>
  <si>
    <t>M FADILLA ALFATIR</t>
  </si>
  <si>
    <t>LUPITA SARI</t>
  </si>
  <si>
    <t>VAREN RASYD</t>
  </si>
  <si>
    <t>SRI LESTARI</t>
  </si>
  <si>
    <t>ARIFIN</t>
  </si>
  <si>
    <t>KIANO ALFARIZKY</t>
  </si>
  <si>
    <t>SITI</t>
  </si>
  <si>
    <t>ARI</t>
  </si>
  <si>
    <t>NADYA ALYSSA AZZAHRA</t>
  </si>
  <si>
    <t>SUSILAWATI</t>
  </si>
  <si>
    <t>FEBRI</t>
  </si>
  <si>
    <t>KENZIE ALVARO DEVANKA</t>
  </si>
  <si>
    <t>ELVA AYU</t>
  </si>
  <si>
    <t>IFAN W</t>
  </si>
  <si>
    <t>AZLAN BRIAN SYAHBANI</t>
  </si>
  <si>
    <t>YESI</t>
  </si>
  <si>
    <t>KHALINKA KAMIL OXAVIA</t>
  </si>
  <si>
    <t>FITRI NUR INDAH</t>
  </si>
  <si>
    <t>FIRDAUS K</t>
  </si>
  <si>
    <t>ALMIRA RAISA APRILLIANI</t>
  </si>
  <si>
    <t>RIRIN MAWARNI</t>
  </si>
  <si>
    <t>SELYN DISTYA FAZINDA</t>
  </si>
  <si>
    <t>ERLIN</t>
  </si>
  <si>
    <t>ASFAN NARADIKA N</t>
  </si>
  <si>
    <t>DEWI SRI ASIH</t>
  </si>
  <si>
    <t>NUR BASID</t>
  </si>
  <si>
    <t>KEYSHA ZUNAIRA E</t>
  </si>
  <si>
    <t>RAHMA</t>
  </si>
  <si>
    <t>RIFKI</t>
  </si>
  <si>
    <t>SYAKIRA RAUDHATUL</t>
  </si>
  <si>
    <t>AYUN NADIROH</t>
  </si>
  <si>
    <t>A. SAYUTI</t>
  </si>
  <si>
    <t>LYODRA MEYLIN AZELEA</t>
  </si>
  <si>
    <t>SINDI MAULITA</t>
  </si>
  <si>
    <t>ALEESHA KINAN SANDRINA</t>
  </si>
  <si>
    <t>DELLA FERDIANI</t>
  </si>
  <si>
    <t>SANDI INDRAWAN</t>
  </si>
  <si>
    <t>ANES INKA RAVENA</t>
  </si>
  <si>
    <t>RIA RISTIANA</t>
  </si>
  <si>
    <t>SODIK</t>
  </si>
  <si>
    <t>ALVARENDRA SYARIF AHMAD</t>
  </si>
  <si>
    <t>SISKA FITRIANI</t>
  </si>
  <si>
    <t>BAGUS</t>
  </si>
  <si>
    <t>M. YUSUF FATONI</t>
  </si>
  <si>
    <t>DITA ANGGRAINI</t>
  </si>
  <si>
    <t>M ROIS</t>
  </si>
  <si>
    <t>BARRA</t>
  </si>
  <si>
    <t>BELLA ALBERTA</t>
  </si>
  <si>
    <t>BIMA ARIF</t>
  </si>
  <si>
    <t>KENZIO ARSELINO ELBARA</t>
  </si>
  <si>
    <t>ELIS SEPTIANA</t>
  </si>
  <si>
    <t>AKHSA PRADITA IBRAHIM</t>
  </si>
  <si>
    <t>NOVI DWI</t>
  </si>
  <si>
    <t>MIFTAHUL S</t>
  </si>
  <si>
    <t>BAYI NY. SITI MAHRUSAH</t>
  </si>
  <si>
    <t>SITI MAHRUSAH</t>
  </si>
  <si>
    <t>DEDEN K</t>
  </si>
  <si>
    <t>KAYLA AULIA SEPTIANA</t>
  </si>
  <si>
    <t>MUSTARI</t>
  </si>
  <si>
    <t>KEINNARA ADIVA PANGESTU</t>
  </si>
  <si>
    <t>DIAH ANGRIYAH</t>
  </si>
  <si>
    <t>ANDIKA P</t>
  </si>
  <si>
    <t>EREN ZAFRAN NARATAMA</t>
  </si>
  <si>
    <t>RIA RIZKY L</t>
  </si>
  <si>
    <t>ADE ALI</t>
  </si>
  <si>
    <t>ARSYILA NUR ALMAHIRA</t>
  </si>
  <si>
    <t>IDA YUSMAWATI</t>
  </si>
  <si>
    <t>M. NURPAN</t>
  </si>
  <si>
    <t>BRISYA AL MAIRA</t>
  </si>
  <si>
    <t>SELVA DWIYANTI</t>
  </si>
  <si>
    <t>TEGUH VILDAN</t>
  </si>
  <si>
    <t>DARREN WILLAM P</t>
  </si>
  <si>
    <t>JESICA MAYA MAELANI</t>
  </si>
  <si>
    <t>FELICIA ELNAURA AZZAHRA</t>
  </si>
  <si>
    <t>DELLA YULI S</t>
  </si>
  <si>
    <t>AYUNA SYAHIRA KANZA</t>
  </si>
  <si>
    <t>ERLYN SUSANTI</t>
  </si>
  <si>
    <t>TRI CAHYONO</t>
  </si>
  <si>
    <t>BRIYAN ADITIYA</t>
  </si>
  <si>
    <t>PUJI LESTARI</t>
  </si>
  <si>
    <t>TEGAR A</t>
  </si>
  <si>
    <t>IDA SETIAWATI</t>
  </si>
  <si>
    <t xml:space="preserve">CAHAYA ANJAR </t>
  </si>
  <si>
    <t>BUNGA OKTASARI</t>
  </si>
  <si>
    <t>DEFRIS JULIAN</t>
  </si>
  <si>
    <t>TUGIYATI</t>
  </si>
  <si>
    <t>HENDRI WAWAN</t>
  </si>
  <si>
    <t>DWI PUSPITASARI</t>
  </si>
  <si>
    <t>ARIF W</t>
  </si>
  <si>
    <t>DWIANA PUNGKI</t>
  </si>
  <si>
    <t>RAFFLY M</t>
  </si>
  <si>
    <t>ANNASYA RIZKY WIBOWO</t>
  </si>
  <si>
    <t>RENI KUMALASARI</t>
  </si>
  <si>
    <t>DIMAS FITRA W</t>
  </si>
  <si>
    <t>ZAHRA KATRIANI P</t>
  </si>
  <si>
    <t>RALIN ADI</t>
  </si>
  <si>
    <t>ADIBA MAHREN A</t>
  </si>
  <si>
    <t>DEWI SURYANI</t>
  </si>
  <si>
    <t>AGUS SUSILO</t>
  </si>
  <si>
    <t>RIKA SUGIANA</t>
  </si>
  <si>
    <t>RAHMAD TALIL</t>
  </si>
  <si>
    <t>LASPI SEPTIANA</t>
  </si>
  <si>
    <t>ARSAD FEBRIANTO</t>
  </si>
  <si>
    <t>YUPI INDAH</t>
  </si>
  <si>
    <t>DESKA EPRIZA</t>
  </si>
  <si>
    <t>KEISYA AFDINTA AZANI</t>
  </si>
  <si>
    <t>YUSWITA AMELIA</t>
  </si>
  <si>
    <t>M AFIFUDIN</t>
  </si>
  <si>
    <t>M. FAREL ALFARIZY</t>
  </si>
  <si>
    <t>RYSAKA AIDAN SHAFI</t>
  </si>
  <si>
    <t>DIKA ROLITA</t>
  </si>
  <si>
    <t>SUHARIYANTO</t>
  </si>
  <si>
    <t>ALYSA CANTIKA PRATAMA</t>
  </si>
  <si>
    <t>FITA INDRIANI</t>
  </si>
  <si>
    <t>YOGA PRATAMA</t>
  </si>
  <si>
    <t>GAURI AULIA</t>
  </si>
  <si>
    <t>DEVI LIANA</t>
  </si>
  <si>
    <t>M.ALDI AULIA</t>
  </si>
  <si>
    <t>MAIZA PUTRI</t>
  </si>
  <si>
    <t>PADMAWATI</t>
  </si>
  <si>
    <t>EDI WIDIYANTO</t>
  </si>
  <si>
    <t>ELFESYA SAKHI FAYRA</t>
  </si>
  <si>
    <t>IRENA DELA SARI</t>
  </si>
  <si>
    <t>WILDAN WAHYU</t>
  </si>
  <si>
    <t>KAIVANDRA M ARRIFQI</t>
  </si>
  <si>
    <t>SITI NUR</t>
  </si>
  <si>
    <t>A'ANG ABDUL</t>
  </si>
  <si>
    <t>DAVIN AGVI DIRGANTARA</t>
  </si>
  <si>
    <t>VIKKY WULANDARI</t>
  </si>
  <si>
    <t>AGUNG APRIYANTO</t>
  </si>
  <si>
    <t>ALFARENDRA RAFKA FIRMANSYAH</t>
  </si>
  <si>
    <t>TITIP NURANISA</t>
  </si>
  <si>
    <t>FERI FIRMANSYAH</t>
  </si>
  <si>
    <t>M.RAFIZQI ALFARIZI</t>
  </si>
  <si>
    <t>PUJI ASTUTI</t>
  </si>
  <si>
    <t>HERI ISWANTO</t>
  </si>
  <si>
    <t>ARCELIO M.KHAFI</t>
  </si>
  <si>
    <t>RETNO KUMALASARI</t>
  </si>
  <si>
    <t>NAYLA PUTRI WAHYUNI</t>
  </si>
  <si>
    <t>DEWI AMALIA</t>
  </si>
  <si>
    <t>MUHAMMAD EIJAZ KHALLEF ASHAD</t>
  </si>
  <si>
    <t>SELVILIA LEONETA</t>
  </si>
  <si>
    <t>BY NY WINDA TRIANA SARI</t>
  </si>
  <si>
    <t>WINDA TRIANA SARI</t>
  </si>
  <si>
    <t>BY NY TISNA FEBRIATI</t>
  </si>
  <si>
    <t>TISNA FEBRIATI</t>
  </si>
  <si>
    <t>ARSYAD QAIS SETIAWAN</t>
  </si>
  <si>
    <t>SITI NURAINI</t>
  </si>
  <si>
    <t>AZAIDHAN ARTHANNEO</t>
  </si>
  <si>
    <t>ADITYA MARTHA NINGRUM</t>
  </si>
  <si>
    <t>ELZEIN REYGAN PRATAMA</t>
  </si>
  <si>
    <t>WIDYA SAFITRI</t>
  </si>
  <si>
    <t>HAFIZA ADIBA</t>
  </si>
  <si>
    <t>DWI PARIYATI</t>
  </si>
  <si>
    <t>PRENGKI ASDUDI</t>
  </si>
  <si>
    <t>DIAZ ZIANDRA ABIDZAR</t>
  </si>
  <si>
    <t>MELIYANTI</t>
  </si>
  <si>
    <t>BY NY USWAH HASANABLH</t>
  </si>
  <si>
    <t>USWAH KHASANAH</t>
  </si>
  <si>
    <t>BY NY MALA DEWI</t>
  </si>
  <si>
    <t>MALA DEWI</t>
  </si>
  <si>
    <t>BY NY FITRI KURNIASIH</t>
  </si>
  <si>
    <t>FITRI KURNIASIH</t>
  </si>
  <si>
    <t>BY NY SEFFI YULIAWATI</t>
  </si>
  <si>
    <t>SEFFI YULIAWATI</t>
  </si>
  <si>
    <t>BY NY RIA AGUSTINA</t>
  </si>
  <si>
    <t>RIA AGUSTINA</t>
  </si>
  <si>
    <t>DATA SASARAN DEWASA/LANSIA</t>
  </si>
  <si>
    <t>JUMLAH KUNJUNGAN DAN JUMLAH SASARAN DEWASA/LANSIA</t>
  </si>
  <si>
    <t>MISRIYANTO</t>
  </si>
  <si>
    <t>AMAT SUYONO</t>
  </si>
  <si>
    <t>SRI HAYATI</t>
  </si>
  <si>
    <t>DJOKO BUDI PRAMONO</t>
  </si>
  <si>
    <t>P CITRO DIHARJO</t>
  </si>
  <si>
    <t>KARWATI</t>
  </si>
  <si>
    <t>KARYA</t>
  </si>
  <si>
    <t>SAMSUL</t>
  </si>
  <si>
    <t>SUTASMI</t>
  </si>
  <si>
    <t>SRI SUTANTI</t>
  </si>
  <si>
    <t>NGADINAH</t>
  </si>
  <si>
    <t>CANDRA SETIAWAN</t>
  </si>
  <si>
    <t>PAIJEM</t>
  </si>
  <si>
    <t>HERLINA IKA WIJAYANTI</t>
  </si>
  <si>
    <t>ANDI ANDARWINTO</t>
  </si>
  <si>
    <t>SUMINTO</t>
  </si>
  <si>
    <t>LISTIN YULIANA</t>
  </si>
  <si>
    <t>AGUNG DHARMA SETIA</t>
  </si>
  <si>
    <t>SAMINO</t>
  </si>
  <si>
    <t>ANDRI ASTUTI</t>
  </si>
  <si>
    <t>SUMARYONO</t>
  </si>
  <si>
    <t>KUWADI</t>
  </si>
  <si>
    <t>PONIRAH</t>
  </si>
  <si>
    <t>SUESTI</t>
  </si>
  <si>
    <t>SUPINI</t>
  </si>
  <si>
    <t>DIAN SAFERA</t>
  </si>
  <si>
    <t>MARIMIN</t>
  </si>
  <si>
    <t>JAMIRAH</t>
  </si>
  <si>
    <t>PARIYAH</t>
  </si>
  <si>
    <t>NGADIYEM</t>
  </si>
  <si>
    <t>DIPA KENCANA SAPUTRA</t>
  </si>
  <si>
    <t>FEBRI NUR ANDRIANSYAH</t>
  </si>
  <si>
    <t>DEDI FATMONO</t>
  </si>
  <si>
    <t>TUMPI</t>
  </si>
  <si>
    <t>ENDANG KUSMIATI</t>
  </si>
  <si>
    <t>SUPIYATI</t>
  </si>
  <si>
    <t>RUMI'AH</t>
  </si>
  <si>
    <t>YUSRIFAH</t>
  </si>
  <si>
    <t>SUTEKNO</t>
  </si>
  <si>
    <t>BIBIT</t>
  </si>
  <si>
    <t>FITRI KUSMIATI</t>
  </si>
  <si>
    <t>RUMIAH</t>
  </si>
  <si>
    <t>PRIYOTO</t>
  </si>
  <si>
    <t>KARSIYEM</t>
  </si>
  <si>
    <t>WIWIK PUJI ASTUTI</t>
  </si>
  <si>
    <t>SITI SUPARTI</t>
  </si>
  <si>
    <t>DEDEN KURNIAWAN SAPUTRA</t>
  </si>
  <si>
    <t>SUWARNI</t>
  </si>
  <si>
    <t>DHIO ABRIANSYAH</t>
  </si>
  <si>
    <t>PRIYO DODOK SUBRODO</t>
  </si>
  <si>
    <t>SRINATUN</t>
  </si>
  <si>
    <t>EKA SUSTIAWATI</t>
  </si>
  <si>
    <t>SUPATMI</t>
  </si>
  <si>
    <t>ZULHIA PRASETYO</t>
  </si>
  <si>
    <t>PARINO</t>
  </si>
  <si>
    <t>RENI RARANG SARI</t>
  </si>
  <si>
    <t>M ROZAK</t>
  </si>
  <si>
    <t>SARMINI</t>
  </si>
  <si>
    <t>SURYANTO</t>
  </si>
  <si>
    <t>SUKINAH</t>
  </si>
  <si>
    <t>SULASTRI</t>
  </si>
  <si>
    <t>YUNAIRAH</t>
  </si>
  <si>
    <t>SUTAMTO</t>
  </si>
  <si>
    <t>NURYANTI</t>
  </si>
  <si>
    <t>SUTINI</t>
  </si>
  <si>
    <t>VIA ANISA</t>
  </si>
  <si>
    <t>SUNARNO</t>
  </si>
  <si>
    <t>HARTONO</t>
  </si>
  <si>
    <t>PAINEM</t>
  </si>
  <si>
    <t>RASMINI</t>
  </si>
  <si>
    <t>ERAH</t>
  </si>
  <si>
    <t>DEDI SUGIYANTO</t>
  </si>
  <si>
    <t>WIWIK SULISTYOWATI</t>
  </si>
  <si>
    <t>JAMIATUN</t>
  </si>
  <si>
    <t>ANDI SUWITO</t>
  </si>
  <si>
    <t>SUPARTI</t>
  </si>
  <si>
    <t>ERLIN FITRILIA</t>
  </si>
  <si>
    <t>DALIYEM</t>
  </si>
  <si>
    <t>SUNARTO</t>
  </si>
  <si>
    <t>SOMO SARBAN</t>
  </si>
  <si>
    <t>PARTO REJO</t>
  </si>
  <si>
    <t>RIFPA ARYA SAPUTRA</t>
  </si>
  <si>
    <t>SAFRUDIN</t>
  </si>
  <si>
    <t>SLAMET</t>
  </si>
  <si>
    <t>SEPTIANA RAHAYU</t>
  </si>
  <si>
    <t>NGADIMAH</t>
  </si>
  <si>
    <t>SUYANTO</t>
  </si>
  <si>
    <t>TUGIRAH</t>
  </si>
  <si>
    <t>SAINAH</t>
  </si>
  <si>
    <t>TITO DWI ALRASYID</t>
  </si>
  <si>
    <t>MARYATI</t>
  </si>
  <si>
    <t>PONIDI</t>
  </si>
  <si>
    <t>TUKIYAH</t>
  </si>
  <si>
    <t>SUHARTATI</t>
  </si>
  <si>
    <t>RANIA UMI SYAHRA</t>
  </si>
  <si>
    <t>SUTARWO</t>
  </si>
  <si>
    <t>SUMO WIYONO</t>
  </si>
  <si>
    <t>PANI SRIATI</t>
  </si>
  <si>
    <t>HARI SETIAWAN</t>
  </si>
  <si>
    <t>HENDI SATRIA</t>
  </si>
  <si>
    <t>DINA SUSIYANTI</t>
  </si>
  <si>
    <t>LANGKIR</t>
  </si>
  <si>
    <t>WAHYU SETIA SARI</t>
  </si>
  <si>
    <t>WIDA HASTINA LARAS</t>
  </si>
  <si>
    <t>WAHYUDI</t>
  </si>
  <si>
    <t>TUKIJAH</t>
  </si>
  <si>
    <t>ADAM</t>
  </si>
  <si>
    <t>MOH MUKHTAR</t>
  </si>
  <si>
    <t>SUGENG</t>
  </si>
  <si>
    <t>BONIYEM</t>
  </si>
  <si>
    <t>MARTO INANGUN</t>
  </si>
  <si>
    <t>M SULKHAN IBYAD</t>
  </si>
  <si>
    <t>WILDAYAH MUSYAFA</t>
  </si>
  <si>
    <t>SUPARMI</t>
  </si>
  <si>
    <t>KATIM</t>
  </si>
  <si>
    <t>GAMPANG PURWADI</t>
  </si>
  <si>
    <t>BOIMIN</t>
  </si>
  <si>
    <t>KROMO IRAWAN</t>
  </si>
  <si>
    <t>JUMINAH</t>
  </si>
  <si>
    <t>KARTO TANI</t>
  </si>
  <si>
    <t>ALEX PRASETYO</t>
  </si>
  <si>
    <t>RIAN RIFAI</t>
  </si>
  <si>
    <t>JASMANI</t>
  </si>
  <si>
    <t>KASAN WIYONO</t>
  </si>
  <si>
    <t>YULI YANTO</t>
  </si>
  <si>
    <t>SUKIRNO</t>
  </si>
  <si>
    <t>JUMIYEM</t>
  </si>
  <si>
    <t>ATMO WIYONO</t>
  </si>
  <si>
    <t>RAHMA KHOIRUNISA</t>
  </si>
  <si>
    <t>ARISKA PRATIWI</t>
  </si>
  <si>
    <t>SIRENG</t>
  </si>
  <si>
    <t>MENTIK</t>
  </si>
  <si>
    <t>AGUS SUGIARTO</t>
  </si>
  <si>
    <t>SUKAMTI</t>
  </si>
  <si>
    <t>GIYATMAN</t>
  </si>
  <si>
    <t>PONIEM</t>
  </si>
  <si>
    <t>BUTUK</t>
  </si>
  <si>
    <t>SLAMET HARIANTO</t>
  </si>
  <si>
    <t>SUPRI</t>
  </si>
  <si>
    <t>TUMINI</t>
  </si>
  <si>
    <t>SORTIAH</t>
  </si>
  <si>
    <t>ADITYA DWI SAPUTRA</t>
  </si>
  <si>
    <t>RIZKY HANAFY</t>
  </si>
  <si>
    <t>ULFAH FAUZIAH</t>
  </si>
  <si>
    <t>ADMINAH</t>
  </si>
  <si>
    <t>MEYLINA</t>
  </si>
  <si>
    <t>MUSIAH</t>
  </si>
  <si>
    <t>VICKY ARMANDA</t>
  </si>
  <si>
    <t>TUMIRAN</t>
  </si>
  <si>
    <t>WINDRIA MEIKA SUCI</t>
  </si>
  <si>
    <t>MISWANTO</t>
  </si>
  <si>
    <t>TUKIDI</t>
  </si>
  <si>
    <t>M ZAINI</t>
  </si>
  <si>
    <t>TOMO ARJO</t>
  </si>
  <si>
    <t>HAMAM NASRUDIN</t>
  </si>
  <si>
    <t>MEIYAHDI</t>
  </si>
  <si>
    <t>HERMAN</t>
  </si>
  <si>
    <t>NURLENA</t>
  </si>
  <si>
    <t>SIMIN</t>
  </si>
  <si>
    <t>KEREN</t>
  </si>
  <si>
    <t>PAERAH</t>
  </si>
  <si>
    <t>AGOS RAHMAT</t>
  </si>
  <si>
    <t>ROSMIATI</t>
  </si>
  <si>
    <t>PONIYEM</t>
  </si>
  <si>
    <t>EKA ROSITA</t>
  </si>
  <si>
    <t>MUHAMMAD ARROFIQ</t>
  </si>
  <si>
    <t>NENI WULANDARI</t>
  </si>
  <si>
    <t>SITI ROKAYAH</t>
  </si>
  <si>
    <t>MO SEMI</t>
  </si>
  <si>
    <t>PENI</t>
  </si>
  <si>
    <t>SUPARLAN</t>
  </si>
  <si>
    <t>DALIKEM</t>
  </si>
  <si>
    <t>SURYATINI</t>
  </si>
  <si>
    <t>KARTINEM</t>
  </si>
  <si>
    <t>GHAFI SANJAYA</t>
  </si>
  <si>
    <t>PUJI SANTOSO</t>
  </si>
  <si>
    <t>GIONO</t>
  </si>
  <si>
    <t>PAWIRO YAHMI</t>
  </si>
  <si>
    <t>PARISAH</t>
  </si>
  <si>
    <t>SUHARDI</t>
  </si>
  <si>
    <t>WAGIRIN</t>
  </si>
  <si>
    <t>SRIYANI</t>
  </si>
  <si>
    <t>MARNI</t>
  </si>
  <si>
    <t>NURSALIM</t>
  </si>
  <si>
    <t>SITI ZUBAIDAH</t>
  </si>
  <si>
    <t>SETIYANI</t>
  </si>
  <si>
    <t>NUR FARIDA</t>
  </si>
  <si>
    <t>FEBRIAN RAMADHAN</t>
  </si>
  <si>
    <t>AJENG SINTIA</t>
  </si>
  <si>
    <t>PANGESTU PRAYOGA T</t>
  </si>
  <si>
    <t>JUMIRAN</t>
  </si>
  <si>
    <t>NGATINI</t>
  </si>
  <si>
    <t>SUKINEM</t>
  </si>
  <si>
    <t>DEDI SUPRIYANTO</t>
  </si>
  <si>
    <t>SUTIYAH</t>
  </si>
  <si>
    <t>PUJI SUSWI YANTI</t>
  </si>
  <si>
    <t>JUNI YANTI</t>
  </si>
  <si>
    <t>KATIRAN</t>
  </si>
  <si>
    <t>SOMO MULYO</t>
  </si>
  <si>
    <t>IMADA VIANA WATI</t>
  </si>
  <si>
    <t>GONO IRIANTO</t>
  </si>
  <si>
    <t>GISO</t>
  </si>
  <si>
    <t>YASRO</t>
  </si>
  <si>
    <t>ALDO PRANATA</t>
  </si>
  <si>
    <t>ANNISA PUSPA RINJANI</t>
  </si>
  <si>
    <t>ARDI PUJA SASMITA</t>
  </si>
  <si>
    <t>SULISTIAWATI</t>
  </si>
  <si>
    <t>SUMARNO</t>
  </si>
  <si>
    <t>YUNI RUSTANTI</t>
  </si>
  <si>
    <t>TUBAGUS FAUZAN PRATAMA</t>
  </si>
  <si>
    <t>TUBAGUS NABIL SAPUTRA</t>
  </si>
  <si>
    <t>KUSNARI</t>
  </si>
  <si>
    <t>ROSTINAH</t>
  </si>
  <si>
    <t>LILIK SETIAWATI</t>
  </si>
  <si>
    <t>KARIYEM</t>
  </si>
  <si>
    <t>AULIA KHASANAH</t>
  </si>
  <si>
    <t>ADI WIBOWO</t>
  </si>
  <si>
    <t>ANDRIANTO</t>
  </si>
  <si>
    <t>SUHARTI</t>
  </si>
  <si>
    <t>NANANG SAPUTRA</t>
  </si>
  <si>
    <t>PONIRAN</t>
  </si>
  <si>
    <t>SITI MARIYAM</t>
  </si>
  <si>
    <t>MUKHARIR</t>
  </si>
  <si>
    <t>GATOT SARUSO</t>
  </si>
  <si>
    <t>SUTARDI ALM</t>
  </si>
  <si>
    <t>NGADIMIN</t>
  </si>
  <si>
    <t>IKA IMELDA</t>
  </si>
  <si>
    <t>KARSINEM</t>
  </si>
  <si>
    <t>KEMAN ALM</t>
  </si>
  <si>
    <t>JOKARIYO</t>
  </si>
  <si>
    <t>SITI KHOTIJAH</t>
  </si>
  <si>
    <t>SUMO BARU</t>
  </si>
  <si>
    <t>FIRDAUS KAMIL DWI SAPUTRA</t>
  </si>
  <si>
    <t>WAGIRAN</t>
  </si>
  <si>
    <t>FITRI NUR INDAH SARI</t>
  </si>
  <si>
    <t>BOMAN</t>
  </si>
  <si>
    <t>SAKIRAN</t>
  </si>
  <si>
    <t>DARMO SALIM</t>
  </si>
  <si>
    <t>SUWARTO</t>
  </si>
  <si>
    <t>TOMO PAIMIN</t>
  </si>
  <si>
    <t>SARMI</t>
  </si>
  <si>
    <t>TO PAWIRO</t>
  </si>
  <si>
    <t>SUSANTO</t>
  </si>
  <si>
    <t>MUJIANTO</t>
  </si>
  <si>
    <t>JUKARYO</t>
  </si>
  <si>
    <t>TRI YULIANA</t>
  </si>
  <si>
    <t>SOKIMUN</t>
  </si>
  <si>
    <t>WULAN YULIA SARI</t>
  </si>
  <si>
    <t>ASEP DODO WALUYO</t>
  </si>
  <si>
    <t>MULYADI</t>
  </si>
  <si>
    <t>ROHATIN</t>
  </si>
  <si>
    <t>MARMI</t>
  </si>
  <si>
    <t>MARIYATI</t>
  </si>
  <si>
    <t>JUMONO</t>
  </si>
  <si>
    <t>NADIA FARADELA</t>
  </si>
  <si>
    <t>ALFIAN RAHMAT DANA</t>
  </si>
  <si>
    <t>BUDI RIYANTO</t>
  </si>
  <si>
    <t>JOYO MULYO</t>
  </si>
  <si>
    <t>SRI UTAMI ANDAYANI</t>
  </si>
  <si>
    <t>SUJAK</t>
  </si>
  <si>
    <t>WISNU RINALDO</t>
  </si>
  <si>
    <t>BUDI RIAYANTO</t>
  </si>
  <si>
    <t>RICO DWI WIJAYA</t>
  </si>
  <si>
    <t>JUWANDI</t>
  </si>
  <si>
    <t>WARSAN</t>
  </si>
  <si>
    <t>SITI FATIMAH</t>
  </si>
  <si>
    <t>LAMIJO</t>
  </si>
  <si>
    <t>DHEA AULIA RAHMADHANI</t>
  </si>
  <si>
    <t>SUNARDI</t>
  </si>
  <si>
    <t>MADYANING RATRI</t>
  </si>
  <si>
    <t>TUGINAH</t>
  </si>
  <si>
    <t>DIVA SUKMA AYU</t>
  </si>
  <si>
    <t>YULIANTO</t>
  </si>
  <si>
    <t>SUKINI</t>
  </si>
  <si>
    <t>SUMINAH</t>
  </si>
  <si>
    <t>MISIYEM</t>
  </si>
  <si>
    <t>A.JUNAEDI</t>
  </si>
  <si>
    <t>RESTU ADITYA SAPUTRA</t>
  </si>
  <si>
    <t>JOKO NUR SUPRIHMULYO</t>
  </si>
  <si>
    <t>TONAH</t>
  </si>
  <si>
    <t>SARIANA</t>
  </si>
  <si>
    <t>JIL MUSTIKA QURANI</t>
  </si>
  <si>
    <t>SUWITO HADI</t>
  </si>
  <si>
    <t>NGAYEM</t>
  </si>
  <si>
    <t>SITI AMINAH</t>
  </si>
  <si>
    <t>SRI PRAFTI</t>
  </si>
  <si>
    <t>DIMAS PRASETYOADI</t>
  </si>
  <si>
    <t>ABDULLOH HAMID BASORI</t>
  </si>
  <si>
    <t>MARDIAH</t>
  </si>
  <si>
    <t>TRIA RAHMAWATI</t>
  </si>
  <si>
    <t>AFRI DAWATI</t>
  </si>
  <si>
    <t>SUPARMAN</t>
  </si>
  <si>
    <t>SITI UMI KULSUM</t>
  </si>
  <si>
    <t>TUMINAH</t>
  </si>
  <si>
    <t>DIDIK NUGROHO</t>
  </si>
  <si>
    <t>MARTINAH</t>
  </si>
  <si>
    <t>TUMINEM</t>
  </si>
  <si>
    <t>PIPIT JUNAEDI</t>
  </si>
  <si>
    <t>DIAN CIPTO NUGROHO</t>
  </si>
  <si>
    <t>FEBRI ARMADANA</t>
  </si>
  <si>
    <t>SUNARYO</t>
  </si>
  <si>
    <t>SUGIRAH</t>
  </si>
  <si>
    <t>ASIH TRIHATIN</t>
  </si>
  <si>
    <t>DASEMI</t>
  </si>
  <si>
    <t>JULIA WILLA DATIKA</t>
  </si>
  <si>
    <t>SUMIJAN</t>
  </si>
  <si>
    <t>SUPIYAH</t>
  </si>
  <si>
    <t>PURWATI</t>
  </si>
  <si>
    <t>KASRI</t>
  </si>
  <si>
    <t>NELI HARIYANTO</t>
  </si>
  <si>
    <t>SURATMI</t>
  </si>
  <si>
    <t>WARISAH</t>
  </si>
  <si>
    <t>RAMINI</t>
  </si>
  <si>
    <t>BUDIYANTO</t>
  </si>
  <si>
    <t>SUMIRAH</t>
  </si>
  <si>
    <t>MUJILAH</t>
  </si>
  <si>
    <t>WAGIMEM</t>
  </si>
  <si>
    <t>BIMA ARIEF SAPUTRA</t>
  </si>
  <si>
    <t>DAVINA FEBRIYANTI</t>
  </si>
  <si>
    <t>HERU SUSILO</t>
  </si>
  <si>
    <t>PAWITI</t>
  </si>
  <si>
    <t>SRIGATI</t>
  </si>
  <si>
    <t>MUHAMAD AKIN</t>
  </si>
  <si>
    <t>JUARI</t>
  </si>
  <si>
    <t>NINING JUNIAWATI</t>
  </si>
  <si>
    <t>LILIK</t>
  </si>
  <si>
    <t>REGA RESTI OKTAVIANA</t>
  </si>
  <si>
    <t>M.AKIN</t>
  </si>
  <si>
    <t>RIDO ALVARO</t>
  </si>
  <si>
    <t>MUHAMMAD NUR AMIN</t>
  </si>
  <si>
    <t>BASAR</t>
  </si>
  <si>
    <t>NURHAYATI</t>
  </si>
  <si>
    <t>SUMITRO</t>
  </si>
  <si>
    <t>BAMBANG NURDIANSYAH</t>
  </si>
  <si>
    <t>PARSIYEM</t>
  </si>
  <si>
    <t>HERMAN FIRDAUS</t>
  </si>
  <si>
    <t>SUGIATI</t>
  </si>
  <si>
    <t>SOPIYAH</t>
  </si>
  <si>
    <t>TOHAR</t>
  </si>
  <si>
    <t>RAHMAT TRIANTO</t>
  </si>
  <si>
    <t>TITIK SURATI</t>
  </si>
  <si>
    <t>NUR FITA SARI</t>
  </si>
  <si>
    <t>MISRIYAH</t>
  </si>
  <si>
    <t>PAINO</t>
  </si>
  <si>
    <t>WIJIYANTI</t>
  </si>
  <si>
    <t>BUANG</t>
  </si>
  <si>
    <t>DWI HANDAYANI</t>
  </si>
  <si>
    <t>BONARI</t>
  </si>
  <si>
    <t>REDI</t>
  </si>
  <si>
    <t>KARYONO</t>
  </si>
  <si>
    <t>SUTARIYAH</t>
  </si>
  <si>
    <t>TRI KRISWANTO</t>
  </si>
  <si>
    <t>ADITIA DEWI PRATIWI</t>
  </si>
  <si>
    <t>SAYUTI</t>
  </si>
  <si>
    <t>BOWO UTOMO</t>
  </si>
  <si>
    <t>MUSRIKAH</t>
  </si>
  <si>
    <t>MAT NOER</t>
  </si>
  <si>
    <t>MUDA DWI ANGGRAINI</t>
  </si>
  <si>
    <t>TRI SIGIT</t>
  </si>
  <si>
    <t>SRI WAHYUNI</t>
  </si>
  <si>
    <t>YADI SUMARTO</t>
  </si>
  <si>
    <t>SIGMA KUNCORO</t>
  </si>
  <si>
    <t>LIONA MULYA TANTRI</t>
  </si>
  <si>
    <t>WAHONO</t>
  </si>
  <si>
    <t>PAIJAN</t>
  </si>
  <si>
    <t>PUJIATI</t>
  </si>
  <si>
    <t>REZA INDRIAWAN</t>
  </si>
  <si>
    <t>PARNO</t>
  </si>
  <si>
    <t>WAKIMIN</t>
  </si>
  <si>
    <t>MARJIANTO</t>
  </si>
  <si>
    <t>JUMARI</t>
  </si>
  <si>
    <t>YAKIN</t>
  </si>
  <si>
    <t>SURIPTO</t>
  </si>
  <si>
    <t>SANIMAN</t>
  </si>
  <si>
    <t>MUJIATI</t>
  </si>
  <si>
    <t>SAMINGAN</t>
  </si>
  <si>
    <t>PAIMIN</t>
  </si>
  <si>
    <t>SUTARTI</t>
  </si>
  <si>
    <t>NOTO</t>
  </si>
  <si>
    <t>MULUD</t>
  </si>
  <si>
    <t>NUFITA SARI</t>
  </si>
  <si>
    <t>SUROSO</t>
  </si>
  <si>
    <t>LANA NOVARIYADI</t>
  </si>
  <si>
    <t>RENATA NOVITA SARI</t>
  </si>
  <si>
    <t>ANDI PRIANTO</t>
  </si>
  <si>
    <t>SADIRAN</t>
  </si>
  <si>
    <t>JARMI</t>
  </si>
  <si>
    <t>PANUT</t>
  </si>
  <si>
    <t>JURDAN SUKMA WINUAJI</t>
  </si>
  <si>
    <t>SADJI</t>
  </si>
  <si>
    <t>TIYA AFTIYANA</t>
  </si>
  <si>
    <t>KASANI</t>
  </si>
  <si>
    <t>ROISAH</t>
  </si>
  <si>
    <t>SUGI</t>
  </si>
  <si>
    <t>SUJIYEM</t>
  </si>
  <si>
    <t>RIDWAN IFRANDI</t>
  </si>
  <si>
    <t>SUGIANTO</t>
  </si>
  <si>
    <t>TRI UTAMI</t>
  </si>
  <si>
    <t>SUPINGI</t>
  </si>
  <si>
    <t>SANDY SEPTA ARVIYAN</t>
  </si>
  <si>
    <t>PUJITOMO</t>
  </si>
  <si>
    <t>BEJO</t>
  </si>
  <si>
    <t>SUMIATI</t>
  </si>
  <si>
    <t>WASIKAN</t>
  </si>
  <si>
    <t>MEI INDAH SARI</t>
  </si>
  <si>
    <t>LAGIMAN</t>
  </si>
  <si>
    <t>LEGIRAN</t>
  </si>
  <si>
    <t>KUSMIN</t>
  </si>
  <si>
    <t>SURATI</t>
  </si>
  <si>
    <t>BONINGIN</t>
  </si>
  <si>
    <t>RIYAN ANDRIYANTO</t>
  </si>
  <si>
    <t>UMAR SAAD</t>
  </si>
  <si>
    <t>JUWENI</t>
  </si>
  <si>
    <t>JUMINEM</t>
  </si>
  <si>
    <t>DIKA NIKO BASTIAN</t>
  </si>
  <si>
    <t>TUGIYONO</t>
  </si>
  <si>
    <t>AGUNG GUMELAR</t>
  </si>
  <si>
    <t>PROYO</t>
  </si>
  <si>
    <t>SUTRISNO</t>
  </si>
  <si>
    <t>SUDIO</t>
  </si>
  <si>
    <t>PARTO</t>
  </si>
  <si>
    <t>WASTINAH</t>
  </si>
  <si>
    <t>JASTOMO</t>
  </si>
  <si>
    <t>SIYANTO</t>
  </si>
  <si>
    <t>SUWANDI</t>
  </si>
  <si>
    <t>EKA SULISTIYAWATI</t>
  </si>
  <si>
    <t>KAYAT</t>
  </si>
  <si>
    <t>SAHRONI</t>
  </si>
  <si>
    <t>KAMALI</t>
  </si>
  <si>
    <t>SUJIAH</t>
  </si>
  <si>
    <t>PARTO DIKROMO</t>
  </si>
  <si>
    <t>HENDRI IRAWAN</t>
  </si>
  <si>
    <t>KUWAT WIYONO</t>
  </si>
  <si>
    <t>SUYITNO</t>
  </si>
  <si>
    <t>DARMO REJO</t>
  </si>
  <si>
    <t>MURTINI</t>
  </si>
  <si>
    <t>KALIL</t>
  </si>
  <si>
    <t>SRIYONO</t>
  </si>
  <si>
    <t>MUSERIN</t>
  </si>
  <si>
    <t>RISKA WATI</t>
  </si>
  <si>
    <t>DAVID SETIONO</t>
  </si>
  <si>
    <t>TRI JOKO SUSANTO</t>
  </si>
  <si>
    <t>YUNITA SARI</t>
  </si>
  <si>
    <t>INDAH NOVITASARI</t>
  </si>
  <si>
    <t>YAHMIN</t>
  </si>
  <si>
    <t>MURJANI</t>
  </si>
  <si>
    <t>HADI TIYASTOMO</t>
  </si>
  <si>
    <t>SUBAGIO</t>
  </si>
  <si>
    <t>GATI LISTIANI</t>
  </si>
  <si>
    <t>SULISTIYO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</si>
  <si>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</si>
  <si>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</si>
  <si>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</si>
  <si>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</si>
  <si>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</si>
  <si>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</si>
  <si>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</si>
  <si>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</si>
  <si>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</si>
  <si>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</si>
  <si>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</si>
  <si>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</si>
  <si>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</si>
  <si>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</si>
  <si>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</si>
  <si>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</si>
  <si>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</si>
  <si>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</si>
  <si>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</si>
  <si>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</si>
  <si>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</si>
  <si>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</si>
  <si>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</si>
  <si>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</si>
  <si>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</si>
  <si>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</si>
  <si>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</si>
  <si>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</si>
  <si>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</si>
  <si>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</si>
  <si>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</si>
  <si>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</si>
  <si>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</si>
  <si>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</si>
  <si>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</si>
  <si>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</si>
  <si>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</si>
  <si>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</si>
  <si>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</si>
  <si>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</si>
  <si>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</si>
  <si>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</si>
  <si>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</si>
  <si>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</si>
  <si>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</si>
  <si>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</si>
  <si>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</si>
  <si>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</si>
  <si>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</si>
  <si>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</si>
  <si>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</si>
  <si>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</si>
  <si>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</si>
  <si>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</si>
  <si>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</si>
  <si>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</si>
  <si>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</si>
  <si>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</si>
  <si>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</si>
  <si>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</si>
  <si>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</si>
  <si>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</si>
  <si>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</si>
  <si>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</si>
  <si>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</si>
  <si>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</si>
  <si>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</si>
  <si>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</si>
  <si>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</si>
  <si>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jumlah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</si>
  <si>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</si>
  <si>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</si>
  <si>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</si>
  <si>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</si>
  <si>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</si>
  <si>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</si>
  <si>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</si>
  <si>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</si>
  <si>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</si>
  <si>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</si>
  <si>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</si>
  <si>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</si>
  <si>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</si>
  <si>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</si>
  <si>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</si>
  <si>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</si>
  <si>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</si>
  <si>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</si>
  <si>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</si>
  <si>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</si>
  <si>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</si>
  <si>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</si>
  <si>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</si>
  <si>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</si>
  <si>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</si>
  <si>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</si>
  <si>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</si>
  <si>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</si>
  <si>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</si>
  <si>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</si>
  <si>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</si>
  <si>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</si>
  <si>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</si>
  <si>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</si>
  <si>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</si>
  <si>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</si>
  <si>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</si>
  <si>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</si>
  <si>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</si>
  <si>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</si>
  <si>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</si>
  <si>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</si>
  <si>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</si>
  <si>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</si>
  <si>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</si>
  <si>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</si>
  <si>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</si>
  <si>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</si>
  <si>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</si>
  <si>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</si>
  <si>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</si>
  <si>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</si>
  <si>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</si>
  <si>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</si>
  <si>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</si>
  <si>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</si>
  <si>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</si>
  <si>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</si>
  <si>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</si>
  <si>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</si>
  <si>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</si>
  <si>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</si>
  <si>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</si>
  <si>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</si>
  <si>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</si>
  <si>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</si>
  <si>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</si>
  <si>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</si>
  <si>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</si>
  <si>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</si>
  <si>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</si>
  <si>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</si>
  <si>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</si>
  <si>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</si>
  <si>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</si>
  <si>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</si>
  <si>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</si>
  <si>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</si>
  <si>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</si>
  <si>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</si>
  <si>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</si>
  <si>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</si>
  <si>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</si>
  <si>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</si>
  <si>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</si>
  <si>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</si>
  <si>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</si>
  <si>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</si>
  <si>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</si>
  <si>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</si>
  <si>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</si>
  <si>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</si>
  <si>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</si>
  <si>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</si>
  <si>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</si>
  <si>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</si>
  <si>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</si>
  <si>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</si>
  <si>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</si>
  <si>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</si>
  <si>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</si>
  <si>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</si>
  <si>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</si>
  <si>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</si>
  <si>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MENGAJUKAN PEMBUATAN SUMUR BOR KARENA MUSIM KEMARAU KEKERINGAN</t>
  </si>
  <si>
    <t xml:space="preserve">TANAH PERLADANGAN </t>
  </si>
  <si>
    <t>PUPR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</si>
  <si>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</si>
  <si>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</si>
  <si>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</si>
  <si>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</si>
  <si>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</si>
  <si>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</si>
  <si>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</si>
  <si>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 xml:space="preserve">NIHIL </t>
  </si>
  <si>
    <t>BIDANG TRANTIBUM LINMAS</t>
  </si>
  <si>
    <t>1807040312700004</t>
  </si>
  <si>
    <t>GATOT SUROSO</t>
  </si>
  <si>
    <t>RT 03/02</t>
  </si>
  <si>
    <t>Kehilangan 1 unit motor</t>
  </si>
  <si>
    <t>Lapor ke Polisi</t>
  </si>
  <si>
    <t>1807042006780002</t>
  </si>
  <si>
    <t>NGADIMAN</t>
  </si>
  <si>
    <t>RT 06/03</t>
  </si>
  <si>
    <t>BIDANG SOSIAL</t>
  </si>
  <si>
    <t>DESA:</t>
  </si>
  <si>
    <t>1807044405900003</t>
  </si>
  <si>
    <t>RT 01/01</t>
  </si>
  <si>
    <t>PENGAJUAN BPJS PBI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</si>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</sst>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mm-dd-yyyy"/>
    <numFmt numFmtId="166" formatCode="m-d-yyyy"/>
    <numFmt numFmtId="167" formatCode="yyyy-mm-dd"/>
    <numFmt numFmtId="168" formatCode="d-m-yyyy"/>
    <numFmt numFmtId="169" formatCode="mmmm yyyy"/>
    <numFmt numFmtId="170" formatCode="d mmm yyyy"/>
    <numFmt numFmtId="171" formatCode="d-mmm-yyyy"/>
    <numFmt numFmtId="172" formatCode="dd mmmm 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bottom"/>
    </xf>
    <xf borderId="6" fillId="0" fontId="7" numFmtId="167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167" xfId="0" applyAlignment="1" applyFont="1" applyNumberForma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167" xfId="0" applyAlignment="1" applyFont="1" applyNumberFormat="1">
      <alignment horizontal="left" readingOrder="0" shrinkToFit="0" vertical="bottom" wrapText="0"/>
    </xf>
    <xf borderId="0" fillId="0" fontId="2" numFmtId="167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168" xfId="0" applyAlignment="1" applyFont="1" applyNumberFormat="1">
      <alignment horizontal="left" readingOrder="0" shrinkToFit="0" wrapText="0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readingOrder="0" vertical="bottom"/>
    </xf>
    <xf borderId="6" fillId="0" fontId="13" numFmtId="0" xfId="0" applyAlignment="1" applyBorder="1" applyFont="1">
      <alignment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8" numFmtId="169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5" fillId="0" fontId="3" numFmtId="170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71" xfId="0" applyAlignment="1" applyBorder="1" applyFont="1" applyNumberFormat="1">
      <alignment horizontal="right" readingOrder="0"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left" readingOrder="0" shrinkToFit="0" vertical="bottom" wrapText="0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>
        <v>1.0</v>
      </c>
      <c r="D6" s="16">
        <v>96.0</v>
      </c>
      <c r="E6" s="17">
        <v>109.0</v>
      </c>
      <c r="F6" s="16">
        <v>332.0</v>
      </c>
      <c r="G6" s="16">
        <v>25.0</v>
      </c>
      <c r="H6" s="16">
        <v>77.0</v>
      </c>
      <c r="I6" s="16">
        <v>182.0</v>
      </c>
      <c r="J6" s="16">
        <v>48.0</v>
      </c>
      <c r="K6" s="16">
        <v>2.0</v>
      </c>
      <c r="L6" s="16"/>
      <c r="M6" s="18" t="s">
        <v>24</v>
      </c>
      <c r="N6" s="19" t="s">
        <v>21</v>
      </c>
      <c r="O6" s="20"/>
      <c r="P6" s="16">
        <v>9.0</v>
      </c>
      <c r="Q6" s="21" t="s">
        <v>25</v>
      </c>
      <c r="R6" s="15" t="s">
        <v>26</v>
      </c>
      <c r="S6" s="2"/>
    </row>
    <row r="7">
      <c r="A7" s="22">
        <v>2.0</v>
      </c>
      <c r="B7" s="23" t="s">
        <v>27</v>
      </c>
      <c r="C7" s="15">
        <v>2.0</v>
      </c>
      <c r="D7" s="15">
        <v>187.0</v>
      </c>
      <c r="E7" s="24">
        <v>252.0</v>
      </c>
      <c r="F7" s="15">
        <v>604.0</v>
      </c>
      <c r="G7" s="15">
        <v>50.0</v>
      </c>
      <c r="H7" s="15">
        <v>102.0</v>
      </c>
      <c r="I7" s="15">
        <v>326.0</v>
      </c>
      <c r="J7" s="15">
        <v>126.0</v>
      </c>
      <c r="K7" s="15">
        <v>4.0</v>
      </c>
      <c r="L7" s="25"/>
      <c r="M7" s="16" t="s">
        <v>24</v>
      </c>
      <c r="N7" s="19" t="s">
        <v>21</v>
      </c>
      <c r="O7" s="26"/>
      <c r="P7" s="16">
        <v>8.0</v>
      </c>
      <c r="Q7" s="21" t="s">
        <v>25</v>
      </c>
      <c r="R7" s="16" t="s">
        <v>26</v>
      </c>
      <c r="S7" s="2"/>
    </row>
    <row r="8">
      <c r="A8" s="22">
        <v>3.0</v>
      </c>
      <c r="B8" s="27" t="s">
        <v>28</v>
      </c>
      <c r="C8" s="15">
        <v>1.0</v>
      </c>
      <c r="D8" s="16">
        <v>219.0</v>
      </c>
      <c r="E8" s="17">
        <v>233.0</v>
      </c>
      <c r="F8" s="16">
        <v>715.0</v>
      </c>
      <c r="G8" s="15">
        <v>53.0</v>
      </c>
      <c r="H8" s="15">
        <v>106.0</v>
      </c>
      <c r="I8" s="15">
        <v>459.0</v>
      </c>
      <c r="J8" s="15">
        <v>97.0</v>
      </c>
      <c r="K8" s="15">
        <v>2.0</v>
      </c>
      <c r="L8" s="28"/>
      <c r="M8" s="16" t="s">
        <v>24</v>
      </c>
      <c r="N8" s="19" t="s">
        <v>21</v>
      </c>
      <c r="O8" s="26"/>
      <c r="P8" s="16">
        <v>9.0</v>
      </c>
      <c r="Q8" s="21" t="s">
        <v>25</v>
      </c>
      <c r="R8" s="16" t="s">
        <v>26</v>
      </c>
      <c r="S8" s="2"/>
    </row>
    <row r="9">
      <c r="A9" s="22">
        <v>4.0</v>
      </c>
      <c r="B9" s="27" t="s">
        <v>29</v>
      </c>
      <c r="C9" s="15">
        <v>1.0</v>
      </c>
      <c r="D9" s="15">
        <v>131.0</v>
      </c>
      <c r="E9" s="24">
        <v>151.0</v>
      </c>
      <c r="F9" s="15">
        <v>478.0</v>
      </c>
      <c r="G9" s="15">
        <v>40.0</v>
      </c>
      <c r="H9" s="15">
        <v>88.0</v>
      </c>
      <c r="I9" s="15">
        <v>293.0</v>
      </c>
      <c r="J9" s="15">
        <v>57.0</v>
      </c>
      <c r="K9" s="15">
        <v>1.0</v>
      </c>
      <c r="L9" s="28"/>
      <c r="M9" s="16" t="s">
        <v>24</v>
      </c>
      <c r="N9" s="19" t="s">
        <v>21</v>
      </c>
      <c r="O9" s="15"/>
      <c r="P9" s="16">
        <v>9.0</v>
      </c>
      <c r="Q9" s="21" t="s">
        <v>25</v>
      </c>
      <c r="R9" s="16" t="s">
        <v>26</v>
      </c>
      <c r="S9" s="2"/>
    </row>
    <row r="10">
      <c r="A10" s="22">
        <v>5.0</v>
      </c>
      <c r="B10" s="27" t="s">
        <v>30</v>
      </c>
      <c r="C10" s="15">
        <v>1.0</v>
      </c>
      <c r="D10" s="15">
        <v>67.0</v>
      </c>
      <c r="E10" s="24">
        <v>87.0</v>
      </c>
      <c r="F10" s="15">
        <v>253.0</v>
      </c>
      <c r="G10" s="15">
        <v>21.0</v>
      </c>
      <c r="H10" s="15">
        <v>67.0</v>
      </c>
      <c r="I10" s="15">
        <v>126.0</v>
      </c>
      <c r="J10" s="15">
        <v>39.0</v>
      </c>
      <c r="K10" s="15">
        <v>3.0</v>
      </c>
      <c r="L10" s="28"/>
      <c r="M10" s="16" t="s">
        <v>24</v>
      </c>
      <c r="N10" s="19" t="s">
        <v>21</v>
      </c>
      <c r="O10" s="26"/>
      <c r="P10" s="16">
        <v>9.0</v>
      </c>
      <c r="Q10" s="21" t="s">
        <v>25</v>
      </c>
      <c r="R10" s="16" t="s">
        <v>26</v>
      </c>
      <c r="S10" s="2"/>
    </row>
    <row r="11">
      <c r="A11" s="13"/>
      <c r="B11" s="29"/>
      <c r="C11" s="28"/>
      <c r="D11" s="28"/>
      <c r="E11" s="30"/>
      <c r="F11" s="28"/>
      <c r="G11" s="28"/>
      <c r="H11" s="28"/>
      <c r="I11" s="28"/>
      <c r="J11" s="28"/>
      <c r="K11" s="28"/>
      <c r="L11" s="28"/>
      <c r="M11" s="25"/>
      <c r="N11" s="28"/>
      <c r="O11" s="25"/>
      <c r="P11" s="31"/>
      <c r="Q11" s="32"/>
      <c r="R11" s="28"/>
      <c r="S11" s="2"/>
    </row>
    <row r="12">
      <c r="A12" s="13"/>
      <c r="B12" s="29"/>
      <c r="C12" s="28"/>
      <c r="D12" s="28"/>
      <c r="E12" s="30"/>
      <c r="F12" s="25"/>
      <c r="G12" s="28"/>
      <c r="H12" s="28"/>
      <c r="I12" s="28"/>
      <c r="J12" s="28"/>
      <c r="K12" s="28"/>
      <c r="L12" s="25"/>
      <c r="M12" s="28"/>
      <c r="N12" s="28"/>
      <c r="O12" s="25"/>
      <c r="P12" s="31"/>
      <c r="Q12" s="32"/>
      <c r="R12" s="28"/>
      <c r="S12" s="2"/>
    </row>
    <row r="13">
      <c r="A13" s="13"/>
      <c r="B13" s="29"/>
      <c r="C13" s="28"/>
      <c r="D13" s="28"/>
      <c r="E13" s="30"/>
      <c r="F13" s="28"/>
      <c r="G13" s="28"/>
      <c r="H13" s="28"/>
      <c r="I13" s="28"/>
      <c r="J13" s="28"/>
      <c r="K13" s="28"/>
      <c r="L13" s="28"/>
      <c r="M13" s="25"/>
      <c r="N13" s="28"/>
      <c r="O13" s="25"/>
      <c r="P13" s="31"/>
      <c r="Q13" s="32"/>
      <c r="R13" s="28"/>
      <c r="S13" s="2"/>
    </row>
    <row r="14">
      <c r="A14" s="13"/>
      <c r="B14" s="29"/>
      <c r="C14" s="28"/>
      <c r="D14" s="28"/>
      <c r="E14" s="30"/>
      <c r="F14" s="28"/>
      <c r="G14" s="28"/>
      <c r="H14" s="28"/>
      <c r="I14" s="28"/>
      <c r="J14" s="28"/>
      <c r="K14" s="28"/>
      <c r="L14" s="25"/>
      <c r="M14" s="28"/>
      <c r="N14" s="28"/>
      <c r="O14" s="25"/>
      <c r="P14" s="31"/>
      <c r="Q14" s="32"/>
      <c r="R14" s="28"/>
      <c r="S14" s="2"/>
    </row>
    <row r="15">
      <c r="A15" s="13"/>
      <c r="B15" s="29"/>
      <c r="C15" s="28"/>
      <c r="D15" s="28"/>
      <c r="E15" s="30"/>
      <c r="F15" s="28"/>
      <c r="G15" s="28"/>
      <c r="H15" s="28"/>
      <c r="I15" s="28"/>
      <c r="J15" s="28"/>
      <c r="K15" s="28"/>
      <c r="L15" s="25"/>
      <c r="M15" s="28"/>
      <c r="N15" s="28"/>
      <c r="O15" s="25"/>
      <c r="P15" s="31"/>
      <c r="Q15" s="32"/>
      <c r="R15" s="28"/>
      <c r="S15" s="2"/>
    </row>
    <row r="16">
      <c r="A16" s="13"/>
      <c r="B16" s="29"/>
      <c r="C16" s="28"/>
      <c r="D16" s="28"/>
      <c r="E16" s="30"/>
      <c r="F16" s="28"/>
      <c r="G16" s="28"/>
      <c r="H16" s="28"/>
      <c r="I16" s="28"/>
      <c r="J16" s="28"/>
      <c r="K16" s="25"/>
      <c r="L16" s="25"/>
      <c r="M16" s="28"/>
      <c r="N16" s="25"/>
      <c r="O16" s="28"/>
      <c r="P16" s="31"/>
      <c r="Q16" s="32"/>
      <c r="R16" s="28"/>
      <c r="S16" s="2"/>
    </row>
    <row r="17">
      <c r="A17" s="13"/>
      <c r="B17" s="29"/>
      <c r="C17" s="28"/>
      <c r="D17" s="28"/>
      <c r="E17" s="30"/>
      <c r="F17" s="28"/>
      <c r="G17" s="28"/>
      <c r="H17" s="28"/>
      <c r="I17" s="28"/>
      <c r="J17" s="28"/>
      <c r="K17" s="25"/>
      <c r="L17" s="25"/>
      <c r="M17" s="28"/>
      <c r="N17" s="25"/>
      <c r="O17" s="28"/>
      <c r="P17" s="31"/>
      <c r="Q17" s="32"/>
      <c r="R17" s="28"/>
      <c r="S17" s="2"/>
    </row>
    <row r="18">
      <c r="A18" s="13"/>
      <c r="B18" s="29"/>
      <c r="C18" s="28"/>
      <c r="D18" s="28"/>
      <c r="E18" s="30"/>
      <c r="F18" s="28"/>
      <c r="G18" s="28"/>
      <c r="H18" s="28"/>
      <c r="I18" s="28"/>
      <c r="J18" s="28"/>
      <c r="K18" s="25"/>
      <c r="L18" s="25"/>
      <c r="M18" s="28"/>
      <c r="N18" s="25"/>
      <c r="O18" s="28"/>
      <c r="P18" s="31"/>
      <c r="Q18" s="32"/>
      <c r="R18" s="28"/>
      <c r="S18" s="2"/>
    </row>
    <row r="19">
      <c r="A19" s="13"/>
      <c r="B19" s="29"/>
      <c r="C19" s="28"/>
      <c r="D19" s="28"/>
      <c r="E19" s="30"/>
      <c r="F19" s="28"/>
      <c r="G19" s="28"/>
      <c r="H19" s="28"/>
      <c r="I19" s="28"/>
      <c r="J19" s="28"/>
      <c r="K19" s="25"/>
      <c r="L19" s="28"/>
      <c r="M19" s="25"/>
      <c r="N19" s="25"/>
      <c r="O19" s="28"/>
      <c r="P19" s="31"/>
      <c r="Q19" s="32"/>
      <c r="R19" s="28"/>
      <c r="S19" s="2"/>
    </row>
    <row r="20">
      <c r="A20" s="13"/>
      <c r="B20" s="29"/>
      <c r="C20" s="28"/>
      <c r="D20" s="28"/>
      <c r="E20" s="30"/>
      <c r="F20" s="28"/>
      <c r="G20" s="28"/>
      <c r="H20" s="28"/>
      <c r="I20" s="28"/>
      <c r="J20" s="28"/>
      <c r="K20" s="25"/>
      <c r="L20" s="25"/>
      <c r="M20" s="28"/>
      <c r="N20" s="25"/>
      <c r="O20" s="28"/>
      <c r="P20" s="31"/>
      <c r="Q20" s="32"/>
      <c r="R20" s="28"/>
      <c r="S20" s="2"/>
    </row>
    <row r="21">
      <c r="A21" s="13"/>
      <c r="B21" s="29"/>
      <c r="C21" s="28"/>
      <c r="D21" s="28"/>
      <c r="E21" s="30"/>
      <c r="F21" s="28"/>
      <c r="G21" s="28"/>
      <c r="H21" s="28"/>
      <c r="I21" s="28"/>
      <c r="J21" s="28"/>
      <c r="K21" s="25"/>
      <c r="L21" s="25"/>
      <c r="M21" s="28"/>
      <c r="N21" s="28"/>
      <c r="O21" s="25"/>
      <c r="P21" s="31"/>
      <c r="Q21" s="32"/>
      <c r="R21" s="28"/>
      <c r="S21" s="2"/>
    </row>
    <row r="22">
      <c r="A22" s="13"/>
      <c r="B22" s="29"/>
      <c r="C22" s="28"/>
      <c r="D22" s="28"/>
      <c r="E22" s="30"/>
      <c r="F22" s="28"/>
      <c r="G22" s="28"/>
      <c r="H22" s="28"/>
      <c r="I22" s="28"/>
      <c r="J22" s="28"/>
      <c r="K22" s="25"/>
      <c r="L22" s="28"/>
      <c r="M22" s="25"/>
      <c r="N22" s="28"/>
      <c r="O22" s="25"/>
      <c r="P22" s="31"/>
      <c r="Q22" s="32"/>
      <c r="R22" s="28"/>
      <c r="S22" s="2"/>
    </row>
    <row r="23">
      <c r="A23" s="13"/>
      <c r="B23" s="29"/>
      <c r="C23" s="28"/>
      <c r="D23" s="28"/>
      <c r="E23" s="30"/>
      <c r="F23" s="28"/>
      <c r="G23" s="28"/>
      <c r="H23" s="28"/>
      <c r="I23" s="28"/>
      <c r="J23" s="28"/>
      <c r="K23" s="25"/>
      <c r="L23" s="28"/>
      <c r="M23" s="25"/>
      <c r="N23" s="28"/>
      <c r="O23" s="25"/>
      <c r="P23" s="31"/>
      <c r="Q23" s="32"/>
      <c r="R23" s="28"/>
      <c r="S23" s="2"/>
    </row>
    <row r="24">
      <c r="A24" s="13"/>
      <c r="B24" s="29"/>
      <c r="C24" s="28"/>
      <c r="D24" s="28"/>
      <c r="E24" s="30"/>
      <c r="F24" s="28"/>
      <c r="G24" s="28"/>
      <c r="H24" s="28"/>
      <c r="I24" s="28"/>
      <c r="J24" s="28"/>
      <c r="K24" s="28"/>
      <c r="L24" s="28"/>
      <c r="M24" s="25"/>
      <c r="N24" s="25"/>
      <c r="O24" s="28"/>
      <c r="P24" s="31"/>
      <c r="Q24" s="32"/>
      <c r="R24" s="28"/>
      <c r="S24" s="2"/>
    </row>
    <row r="25">
      <c r="A25" s="13"/>
      <c r="B25" s="29"/>
      <c r="C25" s="28"/>
      <c r="D25" s="28"/>
      <c r="E25" s="30"/>
      <c r="F25" s="28"/>
      <c r="G25" s="28"/>
      <c r="H25" s="28"/>
      <c r="I25" s="28"/>
      <c r="J25" s="28"/>
      <c r="K25" s="28"/>
      <c r="L25" s="28"/>
      <c r="M25" s="25"/>
      <c r="N25" s="28"/>
      <c r="O25" s="25"/>
      <c r="P25" s="31"/>
      <c r="Q25" s="32"/>
      <c r="R25" s="28"/>
      <c r="S25" s="2"/>
    </row>
    <row r="26">
      <c r="A26" s="13"/>
      <c r="B26" s="29"/>
      <c r="C26" s="28"/>
      <c r="D26" s="28"/>
      <c r="E26" s="30"/>
      <c r="F26" s="28"/>
      <c r="G26" s="28"/>
      <c r="H26" s="28"/>
      <c r="I26" s="28"/>
      <c r="J26" s="28"/>
      <c r="K26" s="28"/>
      <c r="L26" s="28"/>
      <c r="M26" s="25"/>
      <c r="N26" s="28"/>
      <c r="O26" s="25"/>
      <c r="P26" s="31"/>
      <c r="Q26" s="32"/>
      <c r="R26" s="28"/>
      <c r="S26" s="2"/>
    </row>
    <row r="27">
      <c r="A27" s="13"/>
      <c r="B27" s="29"/>
      <c r="C27" s="28"/>
      <c r="D27" s="28"/>
      <c r="E27" s="30"/>
      <c r="F27" s="28"/>
      <c r="G27" s="28"/>
      <c r="H27" s="28"/>
      <c r="I27" s="28"/>
      <c r="J27" s="28"/>
      <c r="K27" s="28"/>
      <c r="L27" s="28"/>
      <c r="M27" s="25"/>
      <c r="N27" s="28"/>
      <c r="O27" s="25"/>
      <c r="P27" s="31"/>
      <c r="Q27" s="32"/>
      <c r="R27" s="28"/>
      <c r="S27" s="2"/>
    </row>
    <row r="28">
      <c r="A28" s="13"/>
      <c r="B28" s="29"/>
      <c r="C28" s="28"/>
      <c r="D28" s="28"/>
      <c r="E28" s="30"/>
      <c r="F28" s="28"/>
      <c r="G28" s="28"/>
      <c r="H28" s="28"/>
      <c r="I28" s="28"/>
      <c r="J28" s="28"/>
      <c r="K28" s="28"/>
      <c r="L28" s="28"/>
      <c r="M28" s="25"/>
      <c r="N28" s="28"/>
      <c r="O28" s="25"/>
      <c r="P28" s="31"/>
      <c r="Q28" s="32"/>
      <c r="R28" s="28"/>
      <c r="S28" s="2"/>
    </row>
    <row r="29">
      <c r="A29" s="13"/>
      <c r="B29" s="29"/>
      <c r="C29" s="28"/>
      <c r="D29" s="28"/>
      <c r="E29" s="30"/>
      <c r="F29" s="28"/>
      <c r="G29" s="28"/>
      <c r="H29" s="28"/>
      <c r="I29" s="28"/>
      <c r="J29" s="28"/>
      <c r="K29" s="25"/>
      <c r="L29" s="28"/>
      <c r="M29" s="25"/>
      <c r="N29" s="28"/>
      <c r="O29" s="25"/>
      <c r="P29" s="31"/>
      <c r="Q29" s="32"/>
      <c r="R29" s="28"/>
      <c r="S29" s="2"/>
    </row>
    <row r="30">
      <c r="A30" s="13"/>
      <c r="B30" s="29"/>
      <c r="C30" s="28"/>
      <c r="D30" s="28"/>
      <c r="E30" s="30"/>
      <c r="F30" s="28"/>
      <c r="G30" s="28"/>
      <c r="H30" s="28"/>
      <c r="I30" s="28"/>
      <c r="J30" s="28"/>
      <c r="K30" s="28"/>
      <c r="L30" s="28"/>
      <c r="M30" s="25"/>
      <c r="N30" s="28"/>
      <c r="O30" s="25"/>
      <c r="P30" s="31"/>
      <c r="Q30" s="32"/>
      <c r="R30" s="28"/>
      <c r="S30" s="2"/>
    </row>
    <row r="31">
      <c r="A31" s="33" t="s">
        <v>31</v>
      </c>
      <c r="B31" s="34"/>
      <c r="C31" s="9"/>
      <c r="D31" s="28">
        <f t="shared" ref="D31:H31" si="1">SUM(D6:D30)</f>
        <v>700</v>
      </c>
      <c r="E31" s="28">
        <f t="shared" si="1"/>
        <v>832</v>
      </c>
      <c r="F31" s="28">
        <f t="shared" si="1"/>
        <v>2382</v>
      </c>
      <c r="G31" s="28">
        <f t="shared" si="1"/>
        <v>189</v>
      </c>
      <c r="H31" s="28">
        <f t="shared" si="1"/>
        <v>440</v>
      </c>
      <c r="I31" s="28"/>
      <c r="J31" s="28"/>
      <c r="K31" s="28">
        <f t="shared" ref="K31:R31" si="2">SUM(K6:K30)</f>
        <v>12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44</v>
      </c>
      <c r="Q31" s="30">
        <f t="shared" si="2"/>
        <v>0</v>
      </c>
      <c r="R31" s="2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38" t="s">
        <v>41</v>
      </c>
      <c r="H5" s="39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3">
        <v>46149.0</v>
      </c>
      <c r="C8" s="44" t="s">
        <v>45</v>
      </c>
      <c r="D8" s="21" t="s">
        <v>46</v>
      </c>
      <c r="E8" s="21" t="s">
        <v>46</v>
      </c>
      <c r="F8" s="45"/>
      <c r="G8" s="44" t="s">
        <v>46</v>
      </c>
      <c r="H8" s="45" t="s">
        <v>47</v>
      </c>
      <c r="I8" s="28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3">
        <v>46149.0</v>
      </c>
      <c r="C9" s="44" t="s">
        <v>49</v>
      </c>
      <c r="D9" s="21" t="s">
        <v>46</v>
      </c>
      <c r="E9" s="21" t="s">
        <v>46</v>
      </c>
      <c r="F9" s="45"/>
      <c r="G9" s="45"/>
      <c r="H9" s="45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43">
        <v>46149.0</v>
      </c>
      <c r="C10" s="44" t="s">
        <v>50</v>
      </c>
      <c r="D10" s="21" t="s">
        <v>46</v>
      </c>
      <c r="E10" s="21" t="s">
        <v>46</v>
      </c>
      <c r="F10" s="45"/>
      <c r="G10" s="45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2">
        <v>4.0</v>
      </c>
      <c r="B11" s="43">
        <v>46149.0</v>
      </c>
      <c r="C11" s="44" t="s">
        <v>51</v>
      </c>
      <c r="D11" s="21" t="s">
        <v>46</v>
      </c>
      <c r="E11" s="21" t="s">
        <v>46</v>
      </c>
      <c r="F11" s="45"/>
      <c r="G11" s="45"/>
      <c r="H11" s="45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2">
        <v>5.0</v>
      </c>
      <c r="B12" s="43">
        <v>46149.0</v>
      </c>
      <c r="C12" s="44" t="s">
        <v>52</v>
      </c>
      <c r="D12" s="21" t="s">
        <v>46</v>
      </c>
      <c r="E12" s="21" t="s">
        <v>46</v>
      </c>
      <c r="F12" s="45"/>
      <c r="G12" s="45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6"/>
      <c r="C13" s="45"/>
      <c r="D13" s="45"/>
      <c r="E13" s="45"/>
      <c r="F13" s="45"/>
      <c r="G13" s="45"/>
      <c r="H13" s="45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6"/>
      <c r="C14" s="45"/>
      <c r="D14" s="45"/>
      <c r="E14" s="45"/>
      <c r="F14" s="45"/>
      <c r="G14" s="45"/>
      <c r="H14" s="28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6"/>
      <c r="C15" s="45"/>
      <c r="D15" s="45"/>
      <c r="E15" s="45"/>
      <c r="F15" s="45"/>
      <c r="G15" s="45"/>
      <c r="H15" s="28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6"/>
      <c r="C16" s="45"/>
      <c r="D16" s="25"/>
      <c r="E16" s="45"/>
      <c r="F16" s="45"/>
      <c r="G16" s="45"/>
      <c r="H16" s="28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6"/>
      <c r="C17" s="45"/>
      <c r="D17" s="45"/>
      <c r="E17" s="45"/>
      <c r="F17" s="45"/>
      <c r="G17" s="4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6"/>
      <c r="C18" s="45"/>
      <c r="D18" s="45"/>
      <c r="E18" s="45"/>
      <c r="F18" s="45"/>
      <c r="G18" s="4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6"/>
      <c r="C19" s="45"/>
      <c r="D19" s="45"/>
      <c r="E19" s="45"/>
      <c r="F19" s="45"/>
      <c r="G19" s="4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6"/>
      <c r="C20" s="45"/>
      <c r="D20" s="45"/>
      <c r="E20" s="45"/>
      <c r="F20" s="45"/>
      <c r="G20" s="4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6"/>
      <c r="C21" s="45"/>
      <c r="D21" s="45"/>
      <c r="E21" s="45"/>
      <c r="F21" s="45"/>
      <c r="G21" s="4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7"/>
      <c r="C22" s="45"/>
      <c r="D22" s="45"/>
      <c r="E22" s="45"/>
      <c r="F22" s="45"/>
      <c r="G22" s="4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6"/>
      <c r="C23" s="45"/>
      <c r="D23" s="45"/>
      <c r="E23" s="45"/>
      <c r="F23" s="45"/>
      <c r="G23" s="4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6"/>
      <c r="C24" s="45"/>
      <c r="D24" s="45"/>
      <c r="E24" s="45"/>
      <c r="F24" s="45"/>
      <c r="G24" s="4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6"/>
      <c r="C25" s="45"/>
      <c r="D25" s="45"/>
      <c r="E25" s="45"/>
      <c r="F25" s="45"/>
      <c r="G25" s="4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6"/>
      <c r="C26" s="45"/>
      <c r="D26" s="45"/>
      <c r="E26" s="45"/>
      <c r="F26" s="45"/>
      <c r="G26" s="4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6"/>
      <c r="C27" s="45"/>
      <c r="D27" s="48"/>
      <c r="E27" s="45"/>
      <c r="F27" s="45"/>
      <c r="G27" s="4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9"/>
      <c r="C28" s="45"/>
      <c r="D28" s="45"/>
      <c r="E28" s="45"/>
      <c r="F28" s="45"/>
      <c r="G28" s="45"/>
      <c r="H28" s="25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9"/>
      <c r="C29" s="45"/>
      <c r="D29" s="45"/>
      <c r="E29" s="45"/>
      <c r="F29" s="45"/>
      <c r="G29" s="45"/>
      <c r="H29" s="25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53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54</v>
      </c>
      <c r="C4" s="54" t="s">
        <v>55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9"/>
      <c r="AA4" s="55" t="s">
        <v>56</v>
      </c>
      <c r="AB4" s="34"/>
      <c r="AC4" s="34"/>
      <c r="AD4" s="34"/>
      <c r="AE4" s="34"/>
      <c r="AF4" s="9"/>
      <c r="AG4" s="55" t="s">
        <v>57</v>
      </c>
      <c r="AH4" s="34"/>
      <c r="AI4" s="34"/>
      <c r="AJ4" s="9"/>
      <c r="AK4" s="56" t="s">
        <v>58</v>
      </c>
      <c r="AL4" s="2"/>
    </row>
    <row r="5">
      <c r="A5" s="57"/>
      <c r="B5" s="57"/>
      <c r="C5" s="58" t="s">
        <v>59</v>
      </c>
      <c r="D5" s="34"/>
      <c r="E5" s="34"/>
      <c r="F5" s="34"/>
      <c r="G5" s="34"/>
      <c r="H5" s="34"/>
      <c r="I5" s="34"/>
      <c r="J5" s="9"/>
      <c r="K5" s="59" t="s">
        <v>60</v>
      </c>
      <c r="L5" s="60"/>
      <c r="M5" s="60"/>
      <c r="N5" s="61"/>
      <c r="O5" s="62" t="s">
        <v>61</v>
      </c>
      <c r="R5" s="63"/>
      <c r="S5" s="62" t="s">
        <v>62</v>
      </c>
      <c r="V5" s="63"/>
      <c r="W5" s="64" t="s">
        <v>63</v>
      </c>
      <c r="X5" s="55" t="s">
        <v>64</v>
      </c>
      <c r="Y5" s="34"/>
      <c r="Z5" s="9"/>
      <c r="AA5" s="53" t="s">
        <v>65</v>
      </c>
      <c r="AB5" s="61"/>
      <c r="AC5" s="53" t="s">
        <v>66</v>
      </c>
      <c r="AD5" s="61"/>
      <c r="AE5" s="53" t="s">
        <v>67</v>
      </c>
      <c r="AF5" s="61"/>
      <c r="AG5" s="53" t="s">
        <v>68</v>
      </c>
      <c r="AH5" s="61"/>
      <c r="AI5" s="53" t="s">
        <v>69</v>
      </c>
      <c r="AJ5" s="61"/>
      <c r="AK5" s="65"/>
      <c r="AL5" s="2"/>
    </row>
    <row r="6">
      <c r="A6" s="57"/>
      <c r="B6" s="57"/>
      <c r="C6" s="58" t="s">
        <v>70</v>
      </c>
      <c r="D6" s="34"/>
      <c r="E6" s="34"/>
      <c r="F6" s="9"/>
      <c r="G6" s="55" t="s">
        <v>71</v>
      </c>
      <c r="H6" s="34"/>
      <c r="I6" s="34"/>
      <c r="J6" s="9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72</v>
      </c>
      <c r="Y6" s="64" t="s">
        <v>73</v>
      </c>
      <c r="Z6" s="64" t="s">
        <v>74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75</v>
      </c>
      <c r="D7" s="9"/>
      <c r="E7" s="55" t="s">
        <v>76</v>
      </c>
      <c r="F7" s="9"/>
      <c r="G7" s="55" t="s">
        <v>75</v>
      </c>
      <c r="H7" s="9"/>
      <c r="I7" s="55" t="s">
        <v>76</v>
      </c>
      <c r="J7" s="9"/>
      <c r="K7" s="69" t="s">
        <v>75</v>
      </c>
      <c r="L7" s="68"/>
      <c r="M7" s="69" t="s">
        <v>76</v>
      </c>
      <c r="N7" s="68"/>
      <c r="O7" s="69" t="s">
        <v>75</v>
      </c>
      <c r="P7" s="68"/>
      <c r="Q7" s="69" t="s">
        <v>76</v>
      </c>
      <c r="R7" s="68"/>
      <c r="S7" s="69" t="s">
        <v>75</v>
      </c>
      <c r="T7" s="68"/>
      <c r="U7" s="69" t="s">
        <v>76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77</v>
      </c>
      <c r="D8" s="71" t="s">
        <v>78</v>
      </c>
      <c r="E8" s="71" t="s">
        <v>77</v>
      </c>
      <c r="F8" s="71" t="s">
        <v>78</v>
      </c>
      <c r="G8" s="71" t="s">
        <v>77</v>
      </c>
      <c r="H8" s="71" t="s">
        <v>78</v>
      </c>
      <c r="I8" s="71" t="s">
        <v>77</v>
      </c>
      <c r="J8" s="71" t="s">
        <v>78</v>
      </c>
      <c r="K8" s="72" t="s">
        <v>77</v>
      </c>
      <c r="L8" s="72" t="s">
        <v>78</v>
      </c>
      <c r="M8" s="72" t="s">
        <v>77</v>
      </c>
      <c r="N8" s="72" t="s">
        <v>78</v>
      </c>
      <c r="O8" s="72" t="s">
        <v>77</v>
      </c>
      <c r="P8" s="72" t="s">
        <v>78</v>
      </c>
      <c r="Q8" s="72" t="s">
        <v>77</v>
      </c>
      <c r="R8" s="72" t="s">
        <v>78</v>
      </c>
      <c r="S8" s="72" t="s">
        <v>77</v>
      </c>
      <c r="T8" s="72" t="s">
        <v>78</v>
      </c>
      <c r="U8" s="72" t="s">
        <v>77</v>
      </c>
      <c r="V8" s="72" t="s">
        <v>78</v>
      </c>
      <c r="W8" s="11"/>
      <c r="X8" s="11"/>
      <c r="Y8" s="11"/>
      <c r="Z8" s="11"/>
      <c r="AA8" s="71" t="s">
        <v>77</v>
      </c>
      <c r="AB8" s="71" t="s">
        <v>78</v>
      </c>
      <c r="AC8" s="71" t="s">
        <v>77</v>
      </c>
      <c r="AD8" s="71" t="s">
        <v>78</v>
      </c>
      <c r="AE8" s="71" t="s">
        <v>77</v>
      </c>
      <c r="AF8" s="71" t="s">
        <v>78</v>
      </c>
      <c r="AG8" s="71" t="s">
        <v>77</v>
      </c>
      <c r="AH8" s="71" t="s">
        <v>78</v>
      </c>
      <c r="AI8" s="71" t="s">
        <v>77</v>
      </c>
      <c r="AJ8" s="71" t="s">
        <v>78</v>
      </c>
      <c r="AK8" s="11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5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79</v>
      </c>
      <c r="C10" s="78">
        <v>0.0</v>
      </c>
      <c r="D10" s="78">
        <v>2.0</v>
      </c>
      <c r="E10" s="79">
        <v>9.0</v>
      </c>
      <c r="F10" s="79">
        <v>13.0</v>
      </c>
      <c r="G10" s="78">
        <v>2.0</v>
      </c>
      <c r="H10" s="78">
        <v>0.0</v>
      </c>
      <c r="I10" s="79">
        <v>41.0</v>
      </c>
      <c r="J10" s="79">
        <v>40.0</v>
      </c>
      <c r="K10" s="72">
        <v>53.0</v>
      </c>
      <c r="L10" s="72">
        <v>66.0</v>
      </c>
      <c r="M10" s="72">
        <v>0.0</v>
      </c>
      <c r="N10" s="72">
        <v>0.0</v>
      </c>
      <c r="O10" s="72">
        <v>0.0</v>
      </c>
      <c r="P10" s="72">
        <v>4.0</v>
      </c>
      <c r="Q10" s="72">
        <v>3.0</v>
      </c>
      <c r="R10" s="72">
        <v>103.0</v>
      </c>
      <c r="S10" s="72">
        <v>88.0</v>
      </c>
      <c r="T10" s="72">
        <v>114.0</v>
      </c>
      <c r="U10" s="72">
        <v>0.0</v>
      </c>
      <c r="V10" s="72">
        <v>0.0</v>
      </c>
      <c r="W10" s="79">
        <v>125.0</v>
      </c>
      <c r="X10" s="79">
        <v>123.0</v>
      </c>
      <c r="Y10" s="79">
        <v>9.0</v>
      </c>
      <c r="Z10" s="79">
        <v>30.0</v>
      </c>
      <c r="AA10" s="78">
        <v>0.0</v>
      </c>
      <c r="AB10" s="79">
        <v>27.0</v>
      </c>
      <c r="AC10" s="78">
        <v>0.0</v>
      </c>
      <c r="AD10" s="78">
        <v>0.0</v>
      </c>
      <c r="AE10" s="78">
        <v>0.0</v>
      </c>
      <c r="AF10" s="79">
        <v>5.0</v>
      </c>
      <c r="AG10" s="79">
        <v>2.0</v>
      </c>
      <c r="AH10" s="78">
        <v>4.0</v>
      </c>
      <c r="AI10" s="78">
        <v>1.0</v>
      </c>
      <c r="AJ10" s="78">
        <v>0.0</v>
      </c>
      <c r="AK10" s="25"/>
      <c r="AL10" s="2"/>
    </row>
    <row r="11">
      <c r="A11" s="76">
        <v>2.0</v>
      </c>
      <c r="B11" s="77" t="s">
        <v>80</v>
      </c>
      <c r="C11" s="78">
        <v>1.0</v>
      </c>
      <c r="D11" s="78">
        <v>4.0</v>
      </c>
      <c r="E11" s="79">
        <v>11.0</v>
      </c>
      <c r="F11" s="79">
        <v>14.0</v>
      </c>
      <c r="G11" s="78">
        <v>0.0</v>
      </c>
      <c r="H11" s="78">
        <v>0.0</v>
      </c>
      <c r="I11" s="79">
        <v>42.0</v>
      </c>
      <c r="J11" s="79">
        <v>46.0</v>
      </c>
      <c r="K11" s="72">
        <v>5.0</v>
      </c>
      <c r="L11" s="72">
        <v>7.0</v>
      </c>
      <c r="M11" s="72">
        <v>49.0</v>
      </c>
      <c r="N11" s="72">
        <v>59.0</v>
      </c>
      <c r="O11" s="72">
        <v>0.0</v>
      </c>
      <c r="P11" s="72">
        <v>5.0</v>
      </c>
      <c r="Q11" s="72">
        <v>2.0</v>
      </c>
      <c r="R11" s="72">
        <v>113.0</v>
      </c>
      <c r="S11" s="72">
        <v>0.0</v>
      </c>
      <c r="T11" s="72">
        <v>2.0</v>
      </c>
      <c r="U11" s="72">
        <v>91.0</v>
      </c>
      <c r="V11" s="72">
        <v>115.0</v>
      </c>
      <c r="W11" s="79">
        <v>130.0</v>
      </c>
      <c r="X11" s="79">
        <v>128.0</v>
      </c>
      <c r="Y11" s="79">
        <v>10.0</v>
      </c>
      <c r="Z11" s="79">
        <v>37.0</v>
      </c>
      <c r="AA11" s="78">
        <v>0.0</v>
      </c>
      <c r="AB11" s="79">
        <v>27.0</v>
      </c>
      <c r="AC11" s="78">
        <v>0.0</v>
      </c>
      <c r="AD11" s="78">
        <v>0.0</v>
      </c>
      <c r="AE11" s="78">
        <v>10.0</v>
      </c>
      <c r="AF11" s="79">
        <v>7.0</v>
      </c>
      <c r="AG11" s="79">
        <v>0.0</v>
      </c>
      <c r="AH11" s="78">
        <v>4.0</v>
      </c>
      <c r="AI11" s="78">
        <v>0.0</v>
      </c>
      <c r="AJ11" s="78">
        <v>0.0</v>
      </c>
      <c r="AK11" s="25"/>
      <c r="AL11" s="2"/>
    </row>
    <row r="12">
      <c r="A12" s="76">
        <v>3.0</v>
      </c>
      <c r="B12" s="77" t="s">
        <v>81</v>
      </c>
      <c r="C12" s="78">
        <v>1.0</v>
      </c>
      <c r="D12" s="78">
        <v>2.0</v>
      </c>
      <c r="E12" s="79">
        <v>9.0</v>
      </c>
      <c r="F12" s="79">
        <v>15.0</v>
      </c>
      <c r="G12" s="78">
        <v>1.0</v>
      </c>
      <c r="H12" s="78">
        <v>0.0</v>
      </c>
      <c r="I12" s="79">
        <v>38.0</v>
      </c>
      <c r="J12" s="79">
        <v>37.0</v>
      </c>
      <c r="K12" s="72">
        <v>3.0</v>
      </c>
      <c r="L12" s="72">
        <v>3.0</v>
      </c>
      <c r="M12" s="72">
        <v>55.0</v>
      </c>
      <c r="N12" s="72">
        <v>62.0</v>
      </c>
      <c r="O12" s="72">
        <v>0.0</v>
      </c>
      <c r="P12" s="72">
        <v>4.0</v>
      </c>
      <c r="Q12" s="72">
        <v>4.0</v>
      </c>
      <c r="R12" s="72">
        <v>99.0</v>
      </c>
      <c r="S12" s="72">
        <v>1.0</v>
      </c>
      <c r="T12" s="72">
        <v>3.0</v>
      </c>
      <c r="U12" s="72">
        <v>85.0</v>
      </c>
      <c r="V12" s="72">
        <v>124.0</v>
      </c>
      <c r="W12" s="79">
        <v>121.0</v>
      </c>
      <c r="X12" s="79">
        <v>119.0</v>
      </c>
      <c r="Y12" s="79">
        <v>9.0</v>
      </c>
      <c r="Z12" s="79">
        <v>26.0</v>
      </c>
      <c r="AA12" s="78">
        <v>0.0</v>
      </c>
      <c r="AB12" s="79">
        <v>44.0</v>
      </c>
      <c r="AC12" s="78">
        <v>0.0</v>
      </c>
      <c r="AD12" s="78">
        <v>0.0</v>
      </c>
      <c r="AE12" s="78">
        <v>0.0</v>
      </c>
      <c r="AF12" s="79">
        <v>11.0</v>
      </c>
      <c r="AG12" s="78">
        <v>1.0</v>
      </c>
      <c r="AH12" s="78">
        <v>0.0</v>
      </c>
      <c r="AI12" s="78">
        <v>0.0</v>
      </c>
      <c r="AJ12" s="78">
        <v>0.0</v>
      </c>
      <c r="AK12" s="71"/>
      <c r="AL12" s="2"/>
    </row>
    <row r="13">
      <c r="A13" s="76">
        <v>4.0</v>
      </c>
      <c r="B13" s="77" t="s">
        <v>82</v>
      </c>
      <c r="C13" s="78">
        <v>0.0</v>
      </c>
      <c r="D13" s="78">
        <v>1.0</v>
      </c>
      <c r="E13" s="79">
        <v>6.0</v>
      </c>
      <c r="F13" s="79">
        <v>15.0</v>
      </c>
      <c r="G13" s="78">
        <v>0.0</v>
      </c>
      <c r="H13" s="78">
        <v>0.0</v>
      </c>
      <c r="I13" s="79">
        <v>36.0</v>
      </c>
      <c r="J13" s="79">
        <v>42.0</v>
      </c>
      <c r="K13" s="72">
        <v>0.0</v>
      </c>
      <c r="L13" s="72">
        <v>4.0</v>
      </c>
      <c r="M13" s="72">
        <v>58.0</v>
      </c>
      <c r="N13" s="72">
        <v>50.0</v>
      </c>
      <c r="O13" s="72">
        <v>0.0</v>
      </c>
      <c r="P13" s="72">
        <v>1.0</v>
      </c>
      <c r="Q13" s="72">
        <v>3.0</v>
      </c>
      <c r="R13" s="72">
        <v>99.0</v>
      </c>
      <c r="S13" s="72">
        <v>1.0</v>
      </c>
      <c r="T13" s="72">
        <v>2.0</v>
      </c>
      <c r="U13" s="72">
        <v>90.0</v>
      </c>
      <c r="V13" s="72">
        <v>116.0</v>
      </c>
      <c r="W13" s="79">
        <v>123.0</v>
      </c>
      <c r="X13" s="79">
        <v>118.0</v>
      </c>
      <c r="Y13" s="79">
        <v>11.0</v>
      </c>
      <c r="Z13" s="79">
        <v>27.0</v>
      </c>
      <c r="AA13" s="78">
        <v>0.0</v>
      </c>
      <c r="AB13" s="79">
        <v>44.0</v>
      </c>
      <c r="AC13" s="78">
        <v>0.0</v>
      </c>
      <c r="AD13" s="78">
        <v>0.0</v>
      </c>
      <c r="AE13" s="78">
        <v>0.0</v>
      </c>
      <c r="AF13" s="79">
        <v>9.0</v>
      </c>
      <c r="AG13" s="78">
        <v>0.0</v>
      </c>
      <c r="AH13" s="78">
        <v>2.0</v>
      </c>
      <c r="AI13" s="78">
        <v>0.0</v>
      </c>
      <c r="AJ13" s="78">
        <v>0.0</v>
      </c>
      <c r="AK13" s="71"/>
      <c r="AL13" s="2"/>
    </row>
    <row r="14">
      <c r="A14" s="76">
        <v>5.0</v>
      </c>
      <c r="B14" s="77" t="s">
        <v>83</v>
      </c>
      <c r="C14" s="78">
        <v>0.0</v>
      </c>
      <c r="D14" s="78">
        <v>2.0</v>
      </c>
      <c r="E14" s="79">
        <v>5.0</v>
      </c>
      <c r="F14" s="79">
        <v>16.0</v>
      </c>
      <c r="G14" s="78">
        <v>0.0</v>
      </c>
      <c r="H14" s="78">
        <v>0.0</v>
      </c>
      <c r="I14" s="79">
        <v>32.0</v>
      </c>
      <c r="J14" s="79">
        <v>40.0</v>
      </c>
      <c r="K14" s="72">
        <v>2.0</v>
      </c>
      <c r="L14" s="72">
        <v>2.0</v>
      </c>
      <c r="M14" s="72">
        <v>60.0</v>
      </c>
      <c r="N14" s="72">
        <v>54.0</v>
      </c>
      <c r="O14" s="72">
        <v>0.0</v>
      </c>
      <c r="P14" s="72">
        <v>2.0</v>
      </c>
      <c r="Q14" s="72">
        <v>3.0</v>
      </c>
      <c r="R14" s="72">
        <v>93.0</v>
      </c>
      <c r="S14" s="72">
        <v>2.0</v>
      </c>
      <c r="T14" s="72">
        <v>0.0</v>
      </c>
      <c r="U14" s="72">
        <v>94.0</v>
      </c>
      <c r="V14" s="72">
        <v>119.0</v>
      </c>
      <c r="W14" s="79">
        <v>111.0</v>
      </c>
      <c r="X14" s="79">
        <v>108.0</v>
      </c>
      <c r="Y14" s="79">
        <v>14.0</v>
      </c>
      <c r="Z14" s="79">
        <v>26.0</v>
      </c>
      <c r="AA14" s="78">
        <v>0.0</v>
      </c>
      <c r="AB14" s="79">
        <v>45.0</v>
      </c>
      <c r="AC14" s="78">
        <v>0.0</v>
      </c>
      <c r="AD14" s="78">
        <v>0.0</v>
      </c>
      <c r="AE14" s="78">
        <v>0.0</v>
      </c>
      <c r="AF14" s="79">
        <v>12.0</v>
      </c>
      <c r="AG14" s="78">
        <v>1.0</v>
      </c>
      <c r="AH14" s="79">
        <v>0.0</v>
      </c>
      <c r="AI14" s="78">
        <v>0.0</v>
      </c>
      <c r="AJ14" s="78">
        <v>0.0</v>
      </c>
      <c r="AK14" s="71"/>
      <c r="AL14" s="2"/>
    </row>
    <row r="15">
      <c r="A15" s="76">
        <v>6.0</v>
      </c>
      <c r="B15" s="77" t="s">
        <v>84</v>
      </c>
      <c r="C15" s="78">
        <v>2.0</v>
      </c>
      <c r="D15" s="79">
        <v>1.0</v>
      </c>
      <c r="E15" s="79">
        <v>6.0</v>
      </c>
      <c r="F15" s="79">
        <v>16.0</v>
      </c>
      <c r="G15" s="78">
        <v>0.0</v>
      </c>
      <c r="H15" s="78">
        <v>0.0</v>
      </c>
      <c r="I15" s="79">
        <v>40.0</v>
      </c>
      <c r="J15" s="79">
        <v>44.0</v>
      </c>
      <c r="K15" s="72">
        <v>3.0</v>
      </c>
      <c r="L15" s="72">
        <v>3.0</v>
      </c>
      <c r="M15" s="72">
        <v>59.0</v>
      </c>
      <c r="N15" s="72">
        <v>69.0</v>
      </c>
      <c r="O15" s="72">
        <v>0.0</v>
      </c>
      <c r="P15" s="72">
        <v>3.0</v>
      </c>
      <c r="Q15" s="72">
        <v>2.0</v>
      </c>
      <c r="R15" s="72">
        <v>106.0</v>
      </c>
      <c r="S15" s="72">
        <v>0.0</v>
      </c>
      <c r="T15" s="72">
        <v>2.0</v>
      </c>
      <c r="U15" s="72">
        <v>84.0</v>
      </c>
      <c r="V15" s="72">
        <v>120.0</v>
      </c>
      <c r="W15" s="79">
        <v>129.0</v>
      </c>
      <c r="X15" s="79">
        <v>124.0</v>
      </c>
      <c r="Y15" s="79">
        <v>17.0</v>
      </c>
      <c r="Z15" s="79">
        <v>24.0</v>
      </c>
      <c r="AA15" s="78">
        <v>0.0</v>
      </c>
      <c r="AB15" s="79">
        <v>44.0</v>
      </c>
      <c r="AC15" s="78">
        <v>0.0</v>
      </c>
      <c r="AD15" s="78">
        <v>0.0</v>
      </c>
      <c r="AE15" s="78">
        <v>0.0</v>
      </c>
      <c r="AF15" s="79">
        <v>8.0</v>
      </c>
      <c r="AG15" s="78">
        <v>2.0</v>
      </c>
      <c r="AH15" s="79">
        <v>1.0</v>
      </c>
      <c r="AI15" s="78">
        <v>0.0</v>
      </c>
      <c r="AJ15" s="78">
        <v>0.0</v>
      </c>
      <c r="AK15" s="25"/>
      <c r="AL15" s="2"/>
    </row>
    <row r="16">
      <c r="A16" s="76">
        <v>7.0</v>
      </c>
      <c r="B16" s="77" t="s">
        <v>85</v>
      </c>
      <c r="C16" s="78">
        <v>0.0</v>
      </c>
      <c r="D16" s="79">
        <v>1.0</v>
      </c>
      <c r="E16" s="79">
        <v>7.0</v>
      </c>
      <c r="F16" s="79">
        <v>14.0</v>
      </c>
      <c r="G16" s="78">
        <v>0.0</v>
      </c>
      <c r="H16" s="78">
        <v>0.0</v>
      </c>
      <c r="I16" s="79">
        <v>40.0</v>
      </c>
      <c r="J16" s="79">
        <v>42.0</v>
      </c>
      <c r="K16" s="72">
        <v>2.0</v>
      </c>
      <c r="L16" s="72">
        <v>1.0</v>
      </c>
      <c r="M16" s="72">
        <v>56.0</v>
      </c>
      <c r="N16" s="72">
        <v>49.0</v>
      </c>
      <c r="O16" s="72">
        <v>0.0</v>
      </c>
      <c r="P16" s="72">
        <v>1.0</v>
      </c>
      <c r="Q16" s="72">
        <v>4.0</v>
      </c>
      <c r="R16" s="72">
        <v>103.0</v>
      </c>
      <c r="S16" s="72">
        <v>2.0</v>
      </c>
      <c r="T16" s="72">
        <v>2.0</v>
      </c>
      <c r="U16" s="72">
        <v>89.0</v>
      </c>
      <c r="V16" s="72">
        <v>122.0</v>
      </c>
      <c r="W16" s="79">
        <v>120.0</v>
      </c>
      <c r="X16" s="79">
        <v>116.0</v>
      </c>
      <c r="Y16" s="79">
        <v>16.0</v>
      </c>
      <c r="Z16" s="79">
        <v>30.0</v>
      </c>
      <c r="AA16" s="78">
        <v>0.0</v>
      </c>
      <c r="AB16" s="79">
        <v>44.0</v>
      </c>
      <c r="AC16" s="78">
        <v>0.0</v>
      </c>
      <c r="AD16" s="78">
        <v>0.0</v>
      </c>
      <c r="AE16" s="78">
        <v>0.0</v>
      </c>
      <c r="AF16" s="78">
        <v>10.0</v>
      </c>
      <c r="AG16" s="78">
        <v>0.0</v>
      </c>
      <c r="AH16" s="78">
        <v>1.0</v>
      </c>
      <c r="AI16" s="78">
        <v>0.0</v>
      </c>
      <c r="AJ16" s="78">
        <v>0.0</v>
      </c>
      <c r="AK16" s="71"/>
      <c r="AL16" s="2"/>
    </row>
    <row r="17">
      <c r="A17" s="76">
        <v>8.0</v>
      </c>
      <c r="B17" s="77" t="s">
        <v>86</v>
      </c>
      <c r="C17" s="78">
        <v>0.0</v>
      </c>
      <c r="D17" s="78">
        <v>3.0</v>
      </c>
      <c r="E17" s="19">
        <v>6.0</v>
      </c>
      <c r="F17" s="19">
        <v>14.0</v>
      </c>
      <c r="G17" s="78">
        <v>0.0</v>
      </c>
      <c r="H17" s="78">
        <v>2.0</v>
      </c>
      <c r="I17" s="19">
        <v>40.0</v>
      </c>
      <c r="J17" s="19">
        <v>49.0</v>
      </c>
      <c r="K17" s="80">
        <v>4.0</v>
      </c>
      <c r="L17" s="80">
        <v>0.0</v>
      </c>
      <c r="M17" s="80">
        <v>55.0</v>
      </c>
      <c r="N17" s="80">
        <v>39.0</v>
      </c>
      <c r="O17" s="72">
        <v>0.0</v>
      </c>
      <c r="P17" s="80">
        <v>5.0</v>
      </c>
      <c r="Q17" s="80">
        <v>3.0</v>
      </c>
      <c r="R17" s="80">
        <v>109.0</v>
      </c>
      <c r="S17" s="80">
        <v>1.0</v>
      </c>
      <c r="T17" s="80">
        <v>2.0</v>
      </c>
      <c r="U17" s="80">
        <v>86.0</v>
      </c>
      <c r="V17" s="80">
        <v>117.0</v>
      </c>
      <c r="W17" s="19">
        <v>126.0</v>
      </c>
      <c r="X17" s="19">
        <v>117.0</v>
      </c>
      <c r="Y17" s="19">
        <v>16.0</v>
      </c>
      <c r="Z17" s="19">
        <v>35.0</v>
      </c>
      <c r="AA17" s="78">
        <v>0.0</v>
      </c>
      <c r="AB17" s="19">
        <v>44.0</v>
      </c>
      <c r="AC17" s="78">
        <v>0.0</v>
      </c>
      <c r="AD17" s="78">
        <v>0.0</v>
      </c>
      <c r="AE17" s="78">
        <v>0.0</v>
      </c>
      <c r="AF17" s="78">
        <v>9.0</v>
      </c>
      <c r="AG17" s="78">
        <v>1.0</v>
      </c>
      <c r="AH17" s="78">
        <v>2.0</v>
      </c>
      <c r="AI17" s="78">
        <v>0.0</v>
      </c>
      <c r="AJ17" s="78">
        <v>0.0</v>
      </c>
      <c r="AK17" s="25"/>
      <c r="AL17" s="2"/>
    </row>
    <row r="18">
      <c r="A18" s="76">
        <v>9.0</v>
      </c>
      <c r="B18" s="77" t="s">
        <v>87</v>
      </c>
      <c r="C18" s="78">
        <v>3.0</v>
      </c>
      <c r="D18" s="78">
        <v>0.0</v>
      </c>
      <c r="E18" s="79">
        <v>6.0</v>
      </c>
      <c r="F18" s="79">
        <v>13.0</v>
      </c>
      <c r="G18" s="78">
        <v>0.0</v>
      </c>
      <c r="H18" s="78">
        <v>0.0</v>
      </c>
      <c r="I18" s="79">
        <v>38.0</v>
      </c>
      <c r="J18" s="79">
        <v>46.0</v>
      </c>
      <c r="K18" s="26">
        <v>2.0</v>
      </c>
      <c r="L18" s="26">
        <v>1.0</v>
      </c>
      <c r="M18" s="26">
        <v>46.0</v>
      </c>
      <c r="N18" s="26">
        <v>62.0</v>
      </c>
      <c r="O18" s="72">
        <v>0.0</v>
      </c>
      <c r="P18" s="81">
        <v>3.0</v>
      </c>
      <c r="Q18" s="81">
        <v>1.0</v>
      </c>
      <c r="R18" s="81">
        <v>103.0</v>
      </c>
      <c r="S18" s="81">
        <v>3.0</v>
      </c>
      <c r="T18" s="81">
        <v>2.0</v>
      </c>
      <c r="U18" s="81">
        <v>90.0</v>
      </c>
      <c r="V18" s="81">
        <v>110.0</v>
      </c>
      <c r="W18" s="79">
        <v>116.0</v>
      </c>
      <c r="X18" s="79">
        <v>110.0</v>
      </c>
      <c r="Y18" s="79">
        <v>14.0</v>
      </c>
      <c r="Z18" s="79">
        <v>34.0</v>
      </c>
      <c r="AA18" s="78">
        <v>0.0</v>
      </c>
      <c r="AB18" s="79">
        <v>44.0</v>
      </c>
      <c r="AC18" s="78">
        <v>0.0</v>
      </c>
      <c r="AD18" s="78">
        <v>0.0</v>
      </c>
      <c r="AE18" s="78">
        <v>0.0</v>
      </c>
      <c r="AF18" s="78">
        <v>5.0</v>
      </c>
      <c r="AG18" s="78">
        <v>2.0</v>
      </c>
      <c r="AH18" s="78">
        <v>1.0</v>
      </c>
      <c r="AI18" s="78">
        <v>0.0</v>
      </c>
      <c r="AJ18" s="78">
        <v>0.0</v>
      </c>
      <c r="AK18" s="25"/>
      <c r="AL18" s="2"/>
    </row>
    <row r="19">
      <c r="A19" s="76">
        <v>10.0</v>
      </c>
      <c r="B19" s="77" t="s">
        <v>88</v>
      </c>
      <c r="C19" s="82">
        <v>1.0</v>
      </c>
      <c r="D19" s="81">
        <v>0.0</v>
      </c>
      <c r="E19" s="81">
        <v>10.0</v>
      </c>
      <c r="F19" s="81">
        <v>12.0</v>
      </c>
      <c r="G19" s="81">
        <v>1.0</v>
      </c>
      <c r="H19" s="81">
        <v>0.0</v>
      </c>
      <c r="I19" s="81">
        <v>43.0</v>
      </c>
      <c r="J19" s="81">
        <v>46.0</v>
      </c>
      <c r="K19" s="81">
        <v>2.0</v>
      </c>
      <c r="L19" s="81">
        <v>0.0</v>
      </c>
      <c r="M19" s="81">
        <v>38.0</v>
      </c>
      <c r="N19" s="81">
        <v>60.0</v>
      </c>
      <c r="O19" s="72">
        <v>0.0</v>
      </c>
      <c r="P19" s="81">
        <v>2.0</v>
      </c>
      <c r="Q19" s="81">
        <v>2.0</v>
      </c>
      <c r="R19" s="81">
        <v>111.0</v>
      </c>
      <c r="S19" s="81">
        <v>3.0</v>
      </c>
      <c r="T19" s="81">
        <v>4.0</v>
      </c>
      <c r="U19" s="81">
        <v>92.0</v>
      </c>
      <c r="V19" s="81">
        <v>115.0</v>
      </c>
      <c r="W19" s="81">
        <v>134.0</v>
      </c>
      <c r="X19" s="81">
        <v>133.0</v>
      </c>
      <c r="Y19" s="81">
        <v>16.0</v>
      </c>
      <c r="Z19" s="81">
        <v>38.0</v>
      </c>
      <c r="AA19" s="81">
        <v>0.0</v>
      </c>
      <c r="AB19" s="81">
        <v>44.0</v>
      </c>
      <c r="AC19" s="81">
        <v>0.0</v>
      </c>
      <c r="AD19" s="81">
        <v>0.0</v>
      </c>
      <c r="AE19" s="81">
        <v>0.0</v>
      </c>
      <c r="AF19" s="81">
        <v>9.0</v>
      </c>
      <c r="AG19" s="81">
        <v>1.0</v>
      </c>
      <c r="AH19" s="81">
        <v>0.0</v>
      </c>
      <c r="AI19" s="81">
        <v>0.0</v>
      </c>
      <c r="AJ19" s="81">
        <v>0.0</v>
      </c>
      <c r="AK19" s="25"/>
      <c r="AL19" s="2"/>
    </row>
    <row r="20">
      <c r="A20" s="76">
        <v>11.0</v>
      </c>
      <c r="B20" s="77" t="s">
        <v>89</v>
      </c>
      <c r="C20" s="82">
        <v>1.0</v>
      </c>
      <c r="D20" s="81">
        <v>2.0</v>
      </c>
      <c r="E20" s="81">
        <v>7.0</v>
      </c>
      <c r="F20" s="81">
        <v>13.0</v>
      </c>
      <c r="G20" s="81">
        <v>0.0</v>
      </c>
      <c r="H20" s="81">
        <v>0.0</v>
      </c>
      <c r="I20" s="81">
        <v>36.0</v>
      </c>
      <c r="J20" s="81">
        <v>48.0</v>
      </c>
      <c r="K20" s="81">
        <v>0.0</v>
      </c>
      <c r="L20" s="81">
        <v>1.0</v>
      </c>
      <c r="M20" s="81">
        <v>49.0</v>
      </c>
      <c r="N20" s="81">
        <v>40.0</v>
      </c>
      <c r="O20" s="72">
        <v>0.0</v>
      </c>
      <c r="P20" s="81">
        <v>3.0</v>
      </c>
      <c r="Q20" s="81">
        <v>0.0</v>
      </c>
      <c r="R20" s="81">
        <v>104.0</v>
      </c>
      <c r="S20" s="81">
        <v>2.0</v>
      </c>
      <c r="T20" s="81">
        <v>5.0</v>
      </c>
      <c r="U20" s="81">
        <v>89.0</v>
      </c>
      <c r="V20" s="81">
        <v>119.0</v>
      </c>
      <c r="W20" s="81">
        <v>107.0</v>
      </c>
      <c r="X20" s="81">
        <v>112.0</v>
      </c>
      <c r="Y20" s="81">
        <v>14.0</v>
      </c>
      <c r="Z20" s="81">
        <v>35.0</v>
      </c>
      <c r="AA20" s="81">
        <v>0.0</v>
      </c>
      <c r="AB20" s="81">
        <v>44.0</v>
      </c>
      <c r="AC20" s="81">
        <v>0.0</v>
      </c>
      <c r="AD20" s="81">
        <v>0.0</v>
      </c>
      <c r="AE20" s="81">
        <v>0.0</v>
      </c>
      <c r="AF20" s="81">
        <v>9.0</v>
      </c>
      <c r="AG20" s="81">
        <v>3.0</v>
      </c>
      <c r="AH20" s="81">
        <v>1.0</v>
      </c>
      <c r="AI20" s="81">
        <v>0.0</v>
      </c>
      <c r="AJ20" s="81">
        <v>0.0</v>
      </c>
      <c r="AK20" s="25"/>
      <c r="AL20" s="2"/>
    </row>
    <row r="21">
      <c r="A21" s="76">
        <v>12.0</v>
      </c>
      <c r="B21" s="77" t="s">
        <v>90</v>
      </c>
      <c r="C21" s="82">
        <v>3.0</v>
      </c>
      <c r="D21" s="81">
        <v>0.0</v>
      </c>
      <c r="E21" s="81">
        <v>10.0</v>
      </c>
      <c r="F21" s="81">
        <v>12.0</v>
      </c>
      <c r="G21" s="81">
        <v>0.0</v>
      </c>
      <c r="H21" s="81">
        <v>0.0</v>
      </c>
      <c r="I21" s="81">
        <v>41.0</v>
      </c>
      <c r="J21" s="81">
        <v>49.0</v>
      </c>
      <c r="K21" s="81">
        <v>2.0</v>
      </c>
      <c r="L21" s="81">
        <v>3.0</v>
      </c>
      <c r="M21" s="81">
        <v>52.0</v>
      </c>
      <c r="N21" s="81"/>
      <c r="O21" s="72">
        <v>0.0</v>
      </c>
      <c r="P21" s="81">
        <v>3.0</v>
      </c>
      <c r="Q21" s="81">
        <v>2.0</v>
      </c>
      <c r="R21" s="81">
        <v>112.0</v>
      </c>
      <c r="S21" s="81">
        <v>1.0</v>
      </c>
      <c r="T21" s="81">
        <v>3.0</v>
      </c>
      <c r="U21" s="81">
        <v>88.0</v>
      </c>
      <c r="V21" s="81">
        <v>121.0</v>
      </c>
      <c r="W21" s="81">
        <v>153.0</v>
      </c>
      <c r="X21" s="81">
        <v>147.0</v>
      </c>
      <c r="Y21" s="81">
        <v>13.0</v>
      </c>
      <c r="Z21" s="81">
        <v>20.0</v>
      </c>
      <c r="AA21" s="81">
        <v>0.0</v>
      </c>
      <c r="AB21" s="81">
        <v>44.0</v>
      </c>
      <c r="AC21" s="81">
        <v>0.0</v>
      </c>
      <c r="AD21" s="81">
        <v>0.0</v>
      </c>
      <c r="AE21" s="81">
        <v>1.0</v>
      </c>
      <c r="AF21" s="81">
        <v>15.0</v>
      </c>
      <c r="AG21" s="81">
        <v>0.0</v>
      </c>
      <c r="AH21" s="81">
        <v>1.0</v>
      </c>
      <c r="AI21" s="81">
        <v>0.0</v>
      </c>
      <c r="AJ21" s="81">
        <v>0.0</v>
      </c>
      <c r="AK21" s="25"/>
      <c r="AL21" s="2"/>
    </row>
    <row r="22">
      <c r="A22" s="8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4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5" t="s">
        <v>92</v>
      </c>
      <c r="B25" s="8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5" t="s">
        <v>93</v>
      </c>
      <c r="B26" s="8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5"/>
      <c r="B27" s="8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7" t="s">
        <v>94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9" t="s">
        <v>3</v>
      </c>
      <c r="B29" s="90" t="s">
        <v>95</v>
      </c>
      <c r="C29" s="60"/>
      <c r="D29" s="60"/>
      <c r="E29" s="54" t="s">
        <v>96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9"/>
      <c r="Q29" s="9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0" t="s">
        <v>97</v>
      </c>
      <c r="C30" s="80" t="s">
        <v>98</v>
      </c>
      <c r="D30" s="80" t="s">
        <v>99</v>
      </c>
      <c r="E30" s="80" t="s">
        <v>100</v>
      </c>
      <c r="F30" s="80" t="s">
        <v>101</v>
      </c>
      <c r="G30" s="80" t="s">
        <v>102</v>
      </c>
      <c r="H30" s="80" t="s">
        <v>103</v>
      </c>
      <c r="I30" s="80" t="s">
        <v>83</v>
      </c>
      <c r="J30" s="80" t="s">
        <v>104</v>
      </c>
      <c r="K30" s="80" t="s">
        <v>105</v>
      </c>
      <c r="L30" s="80" t="s">
        <v>106</v>
      </c>
      <c r="M30" s="80" t="s">
        <v>107</v>
      </c>
      <c r="N30" s="80" t="s">
        <v>108</v>
      </c>
      <c r="O30" s="80" t="s">
        <v>109</v>
      </c>
      <c r="P30" s="80" t="s">
        <v>110</v>
      </c>
      <c r="Q30" s="9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 t="s">
        <v>111</v>
      </c>
      <c r="C32" s="96" t="s">
        <v>112</v>
      </c>
      <c r="D32" s="97" t="s">
        <v>113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 t="s">
        <v>114</v>
      </c>
      <c r="C33" s="96" t="s">
        <v>115</v>
      </c>
      <c r="D33" s="97" t="s">
        <v>116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100" t="s">
        <v>117</v>
      </c>
      <c r="C34" s="96" t="s">
        <v>118</v>
      </c>
      <c r="D34" s="97" t="s">
        <v>119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100" t="s">
        <v>120</v>
      </c>
      <c r="C35" s="96" t="s">
        <v>121</v>
      </c>
      <c r="D35" s="97" t="s">
        <v>122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5.0</v>
      </c>
      <c r="B36" s="100" t="s">
        <v>123</v>
      </c>
      <c r="C36" s="96" t="s">
        <v>124</v>
      </c>
      <c r="D36" s="97" t="s">
        <v>125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6.0</v>
      </c>
      <c r="B37" s="100" t="s">
        <v>126</v>
      </c>
      <c r="C37" s="96" t="s">
        <v>127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7.0</v>
      </c>
      <c r="B38" s="100" t="s">
        <v>128</v>
      </c>
      <c r="C38" s="96" t="s">
        <v>129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8.0</v>
      </c>
      <c r="B39" s="100" t="s">
        <v>130</v>
      </c>
      <c r="C39" s="96" t="s">
        <v>131</v>
      </c>
      <c r="D39" s="97" t="s">
        <v>132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9.0</v>
      </c>
      <c r="B40" s="100" t="s">
        <v>133</v>
      </c>
      <c r="C40" s="96" t="s">
        <v>134</v>
      </c>
      <c r="D40" s="97" t="s">
        <v>135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10.0</v>
      </c>
      <c r="B41" s="100" t="s">
        <v>136</v>
      </c>
      <c r="C41" s="96" t="s">
        <v>137</v>
      </c>
      <c r="D41" s="97" t="s">
        <v>138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11.0</v>
      </c>
      <c r="B42" s="100" t="s">
        <v>139</v>
      </c>
      <c r="C42" s="96" t="s">
        <v>140</v>
      </c>
      <c r="D42" s="97" t="s">
        <v>141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/>
      <c r="B43" s="94"/>
      <c r="C43" s="96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37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7" t="s">
        <v>142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9" t="s">
        <v>3</v>
      </c>
      <c r="B47" s="101" t="s">
        <v>143</v>
      </c>
      <c r="C47" s="89" t="s">
        <v>144</v>
      </c>
      <c r="D47" s="89" t="s">
        <v>145</v>
      </c>
      <c r="E47" s="54" t="s">
        <v>146</v>
      </c>
      <c r="F47" s="9"/>
      <c r="G47" s="54" t="s">
        <v>147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0" t="s">
        <v>64</v>
      </c>
      <c r="F48" s="80" t="s">
        <v>148</v>
      </c>
      <c r="G48" s="80" t="s">
        <v>100</v>
      </c>
      <c r="H48" s="80" t="s">
        <v>101</v>
      </c>
      <c r="I48" s="80" t="s">
        <v>102</v>
      </c>
      <c r="J48" s="80" t="s">
        <v>103</v>
      </c>
      <c r="K48" s="80" t="s">
        <v>83</v>
      </c>
      <c r="L48" s="80" t="s">
        <v>104</v>
      </c>
      <c r="M48" s="80" t="s">
        <v>105</v>
      </c>
      <c r="N48" s="80" t="s">
        <v>106</v>
      </c>
      <c r="O48" s="80" t="s">
        <v>107</v>
      </c>
      <c r="P48" s="80" t="s">
        <v>108</v>
      </c>
      <c r="Q48" s="80" t="s">
        <v>109</v>
      </c>
      <c r="R48" s="96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>
        <v>1.0</v>
      </c>
      <c r="B49" s="92">
        <v>2.0</v>
      </c>
      <c r="C49" s="92">
        <v>3.0</v>
      </c>
      <c r="D49" s="92">
        <v>4.0</v>
      </c>
      <c r="E49" s="92">
        <v>5.0</v>
      </c>
      <c r="F49" s="92">
        <v>6.0</v>
      </c>
      <c r="G49" s="92">
        <v>7.0</v>
      </c>
      <c r="H49" s="92">
        <v>8.0</v>
      </c>
      <c r="I49" s="92">
        <v>9.0</v>
      </c>
      <c r="J49" s="92">
        <v>10.0</v>
      </c>
      <c r="K49" s="92">
        <v>11.0</v>
      </c>
      <c r="L49" s="92">
        <v>12.0</v>
      </c>
      <c r="M49" s="92">
        <v>13.0</v>
      </c>
      <c r="N49" s="92">
        <v>14.0</v>
      </c>
      <c r="O49" s="92">
        <v>15.0</v>
      </c>
      <c r="P49" s="92">
        <v>16.0</v>
      </c>
      <c r="Q49" s="92">
        <v>17.0</v>
      </c>
      <c r="R49" s="9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7" t="s">
        <v>149</v>
      </c>
      <c r="C50" s="102" t="s">
        <v>77</v>
      </c>
      <c r="D50" s="103">
        <v>44320.0</v>
      </c>
      <c r="E50" s="98"/>
      <c r="F50" s="97" t="s">
        <v>150</v>
      </c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7" t="s">
        <v>151</v>
      </c>
      <c r="C51" s="102" t="s">
        <v>78</v>
      </c>
      <c r="D51" s="103">
        <v>44327.0</v>
      </c>
      <c r="E51" s="98"/>
      <c r="F51" s="97" t="s">
        <v>152</v>
      </c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7" t="s">
        <v>153</v>
      </c>
      <c r="C52" s="102" t="s">
        <v>77</v>
      </c>
      <c r="D52" s="103">
        <v>44342.0</v>
      </c>
      <c r="E52" s="98"/>
      <c r="F52" s="97" t="s">
        <v>154</v>
      </c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7" t="s">
        <v>155</v>
      </c>
      <c r="C53" s="102" t="s">
        <v>77</v>
      </c>
      <c r="D53" s="103">
        <v>44343.0</v>
      </c>
      <c r="E53" s="98"/>
      <c r="F53" s="97" t="s">
        <v>156</v>
      </c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7" t="s">
        <v>157</v>
      </c>
      <c r="C54" s="102" t="s">
        <v>78</v>
      </c>
      <c r="D54" s="103">
        <v>44362.0</v>
      </c>
      <c r="E54" s="98"/>
      <c r="F54" s="97" t="s">
        <v>158</v>
      </c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7" t="s">
        <v>159</v>
      </c>
      <c r="C55" s="102" t="s">
        <v>77</v>
      </c>
      <c r="D55" s="103">
        <v>44369.0</v>
      </c>
      <c r="E55" s="97" t="s">
        <v>160</v>
      </c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7" t="s">
        <v>161</v>
      </c>
      <c r="C56" s="102" t="s">
        <v>77</v>
      </c>
      <c r="D56" s="103">
        <v>44375.0</v>
      </c>
      <c r="E56" s="97" t="s">
        <v>162</v>
      </c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7" t="s">
        <v>163</v>
      </c>
      <c r="C57" s="102" t="s">
        <v>78</v>
      </c>
      <c r="D57" s="103">
        <v>44385.0</v>
      </c>
      <c r="E57" s="98"/>
      <c r="F57" s="97" t="s">
        <v>164</v>
      </c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6">
        <v>9.0</v>
      </c>
      <c r="B58" s="97" t="s">
        <v>165</v>
      </c>
      <c r="C58" s="102" t="s">
        <v>77</v>
      </c>
      <c r="D58" s="103">
        <v>44412.0</v>
      </c>
      <c r="E58" s="98"/>
      <c r="F58" s="97" t="s">
        <v>166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6">
        <v>10.0</v>
      </c>
      <c r="B59" s="97" t="s">
        <v>167</v>
      </c>
      <c r="C59" s="102" t="s">
        <v>78</v>
      </c>
      <c r="D59" s="103">
        <v>44452.0</v>
      </c>
      <c r="E59" s="98"/>
      <c r="F59" s="97" t="s">
        <v>168</v>
      </c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6">
        <v>11.0</v>
      </c>
      <c r="B60" s="97" t="s">
        <v>169</v>
      </c>
      <c r="C60" s="102" t="s">
        <v>78</v>
      </c>
      <c r="D60" s="103">
        <v>44471.0</v>
      </c>
      <c r="E60" s="98"/>
      <c r="F60" s="97" t="s">
        <v>170</v>
      </c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6">
        <v>12.0</v>
      </c>
      <c r="B61" s="97" t="s">
        <v>171</v>
      </c>
      <c r="C61" s="102" t="s">
        <v>78</v>
      </c>
      <c r="D61" s="103">
        <v>44481.0</v>
      </c>
      <c r="E61" s="98"/>
      <c r="F61" s="97" t="s">
        <v>172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6">
        <v>13.0</v>
      </c>
      <c r="B62" s="97" t="s">
        <v>173</v>
      </c>
      <c r="C62" s="102" t="s">
        <v>77</v>
      </c>
      <c r="D62" s="103">
        <v>44505.0</v>
      </c>
      <c r="E62" s="98"/>
      <c r="F62" s="97" t="s">
        <v>174</v>
      </c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6">
        <v>14.0</v>
      </c>
      <c r="B63" s="97" t="s">
        <v>175</v>
      </c>
      <c r="C63" s="102" t="s">
        <v>77</v>
      </c>
      <c r="D63" s="103">
        <v>44510.0</v>
      </c>
      <c r="E63" s="98"/>
      <c r="F63" s="97" t="s">
        <v>176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6">
        <v>15.0</v>
      </c>
      <c r="B64" s="97" t="s">
        <v>177</v>
      </c>
      <c r="C64" s="102" t="s">
        <v>77</v>
      </c>
      <c r="D64" s="103">
        <v>44514.0</v>
      </c>
      <c r="E64" s="98"/>
      <c r="F64" s="97" t="s">
        <v>178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16.0</v>
      </c>
      <c r="B65" s="97" t="s">
        <v>179</v>
      </c>
      <c r="C65" s="102" t="s">
        <v>78</v>
      </c>
      <c r="D65" s="103">
        <v>44537.0</v>
      </c>
      <c r="E65" s="97" t="s">
        <v>180</v>
      </c>
      <c r="F65" s="97" t="s">
        <v>181</v>
      </c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17.0</v>
      </c>
      <c r="B66" s="97" t="s">
        <v>182</v>
      </c>
      <c r="C66" s="102" t="s">
        <v>77</v>
      </c>
      <c r="D66" s="103">
        <v>44539.0</v>
      </c>
      <c r="E66" s="97"/>
      <c r="F66" s="97" t="s">
        <v>183</v>
      </c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18.0</v>
      </c>
      <c r="B67" s="97" t="s">
        <v>184</v>
      </c>
      <c r="C67" s="102" t="s">
        <v>78</v>
      </c>
      <c r="D67" s="103">
        <v>44560.0</v>
      </c>
      <c r="E67" s="98"/>
      <c r="F67" s="97" t="s">
        <v>185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19.0</v>
      </c>
      <c r="B68" s="97" t="s">
        <v>186</v>
      </c>
      <c r="C68" s="102" t="s">
        <v>78</v>
      </c>
      <c r="D68" s="103">
        <v>44567.0</v>
      </c>
      <c r="E68" s="98"/>
      <c r="F68" s="97" t="s">
        <v>187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20.0</v>
      </c>
      <c r="B69" s="97" t="s">
        <v>188</v>
      </c>
      <c r="C69" s="102" t="s">
        <v>77</v>
      </c>
      <c r="D69" s="103">
        <v>44571.0</v>
      </c>
      <c r="E69" s="98"/>
      <c r="F69" s="97" t="s">
        <v>189</v>
      </c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21.0</v>
      </c>
      <c r="B70" s="97" t="s">
        <v>190</v>
      </c>
      <c r="C70" s="102" t="s">
        <v>77</v>
      </c>
      <c r="D70" s="103">
        <v>44571.0</v>
      </c>
      <c r="E70" s="98"/>
      <c r="F70" s="97" t="s">
        <v>191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22.0</v>
      </c>
      <c r="B71" s="97" t="s">
        <v>192</v>
      </c>
      <c r="C71" s="102" t="s">
        <v>78</v>
      </c>
      <c r="D71" s="103">
        <v>44586.0</v>
      </c>
      <c r="E71" s="98"/>
      <c r="F71" s="97" t="s">
        <v>193</v>
      </c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23.0</v>
      </c>
      <c r="B72" s="97" t="s">
        <v>194</v>
      </c>
      <c r="C72" s="102" t="s">
        <v>77</v>
      </c>
      <c r="D72" s="103">
        <v>44610.0</v>
      </c>
      <c r="E72" s="98"/>
      <c r="F72" s="97" t="s">
        <v>195</v>
      </c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6">
        <v>24.0</v>
      </c>
      <c r="B73" s="97" t="s">
        <v>196</v>
      </c>
      <c r="C73" s="102" t="s">
        <v>78</v>
      </c>
      <c r="D73" s="103">
        <v>44634.0</v>
      </c>
      <c r="E73" s="98"/>
      <c r="F73" s="97" t="s">
        <v>197</v>
      </c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6">
        <v>25.0</v>
      </c>
      <c r="B74" s="97" t="s">
        <v>198</v>
      </c>
      <c r="C74" s="102" t="s">
        <v>77</v>
      </c>
      <c r="D74" s="103">
        <v>44636.0</v>
      </c>
      <c r="E74" s="98"/>
      <c r="F74" s="97" t="s">
        <v>199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6">
        <v>26.0</v>
      </c>
      <c r="B75" s="97" t="s">
        <v>200</v>
      </c>
      <c r="C75" s="102" t="s">
        <v>78</v>
      </c>
      <c r="D75" s="103">
        <v>44645.0</v>
      </c>
      <c r="E75" s="98"/>
      <c r="F75" s="97" t="s">
        <v>201</v>
      </c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6">
        <v>27.0</v>
      </c>
      <c r="B76" s="97" t="s">
        <v>202</v>
      </c>
      <c r="C76" s="102" t="s">
        <v>77</v>
      </c>
      <c r="D76" s="103">
        <v>44648.0</v>
      </c>
      <c r="E76" s="98"/>
      <c r="F76" s="97" t="s">
        <v>203</v>
      </c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6">
        <v>28.0</v>
      </c>
      <c r="B77" s="97" t="s">
        <v>204</v>
      </c>
      <c r="C77" s="102" t="s">
        <v>77</v>
      </c>
      <c r="D77" s="103">
        <v>44652.0</v>
      </c>
      <c r="E77" s="97" t="s">
        <v>205</v>
      </c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6">
        <v>29.0</v>
      </c>
      <c r="B78" s="97" t="s">
        <v>206</v>
      </c>
      <c r="C78" s="102" t="s">
        <v>78</v>
      </c>
      <c r="D78" s="103">
        <v>44669.0</v>
      </c>
      <c r="E78" s="98"/>
      <c r="F78" s="97" t="s">
        <v>207</v>
      </c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6">
        <v>30.0</v>
      </c>
      <c r="B79" s="97" t="s">
        <v>208</v>
      </c>
      <c r="C79" s="102" t="s">
        <v>77</v>
      </c>
      <c r="D79" s="103">
        <v>44685.0</v>
      </c>
      <c r="E79" s="98"/>
      <c r="F79" s="97" t="s">
        <v>209</v>
      </c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f t="shared" ref="A80:A208" si="1">A79+1</f>
        <v>31</v>
      </c>
      <c r="B80" s="97" t="s">
        <v>210</v>
      </c>
      <c r="C80" s="102" t="s">
        <v>77</v>
      </c>
      <c r="D80" s="103">
        <v>44721.0</v>
      </c>
      <c r="E80" s="98"/>
      <c r="F80" s="97" t="s">
        <v>211</v>
      </c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f t="shared" si="1"/>
        <v>32</v>
      </c>
      <c r="B81" s="97" t="s">
        <v>212</v>
      </c>
      <c r="C81" s="102" t="s">
        <v>77</v>
      </c>
      <c r="D81" s="103">
        <v>44737.0</v>
      </c>
      <c r="E81" s="98"/>
      <c r="F81" s="97" t="s">
        <v>213</v>
      </c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f t="shared" si="1"/>
        <v>33</v>
      </c>
      <c r="B82" s="97" t="s">
        <v>214</v>
      </c>
      <c r="C82" s="102" t="s">
        <v>77</v>
      </c>
      <c r="D82" s="103">
        <v>44758.0</v>
      </c>
      <c r="E82" s="98"/>
      <c r="F82" s="97" t="s">
        <v>215</v>
      </c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f t="shared" si="1"/>
        <v>34</v>
      </c>
      <c r="B83" s="97" t="s">
        <v>216</v>
      </c>
      <c r="C83" s="102" t="s">
        <v>77</v>
      </c>
      <c r="D83" s="103">
        <v>44760.0</v>
      </c>
      <c r="E83" s="98"/>
      <c r="F83" s="97" t="s">
        <v>217</v>
      </c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f t="shared" si="1"/>
        <v>35</v>
      </c>
      <c r="B84" s="97" t="s">
        <v>218</v>
      </c>
      <c r="C84" s="102" t="s">
        <v>77</v>
      </c>
      <c r="D84" s="103">
        <v>44762.0</v>
      </c>
      <c r="E84" s="98"/>
      <c r="F84" s="97" t="s">
        <v>219</v>
      </c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f t="shared" si="1"/>
        <v>36</v>
      </c>
      <c r="B85" s="97" t="s">
        <v>220</v>
      </c>
      <c r="C85" s="102" t="s">
        <v>78</v>
      </c>
      <c r="D85" s="103">
        <v>44762.0</v>
      </c>
      <c r="E85" s="98"/>
      <c r="F85" s="97" t="s">
        <v>221</v>
      </c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f t="shared" si="1"/>
        <v>37</v>
      </c>
      <c r="B86" s="97" t="s">
        <v>222</v>
      </c>
      <c r="C86" s="102" t="s">
        <v>78</v>
      </c>
      <c r="D86" s="103">
        <v>44790.0</v>
      </c>
      <c r="E86" s="98"/>
      <c r="F86" s="97" t="s">
        <v>223</v>
      </c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f t="shared" si="1"/>
        <v>38</v>
      </c>
      <c r="B87" s="97" t="s">
        <v>224</v>
      </c>
      <c r="C87" s="102" t="s">
        <v>78</v>
      </c>
      <c r="D87" s="103">
        <v>44801.0</v>
      </c>
      <c r="E87" s="98"/>
      <c r="F87" s="97" t="s">
        <v>225</v>
      </c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6">
        <f t="shared" si="1"/>
        <v>39</v>
      </c>
      <c r="B88" s="97" t="s">
        <v>226</v>
      </c>
      <c r="C88" s="102" t="s">
        <v>77</v>
      </c>
      <c r="D88" s="103">
        <v>44810.0</v>
      </c>
      <c r="E88" s="98"/>
      <c r="F88" s="97" t="s">
        <v>227</v>
      </c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6">
        <f t="shared" si="1"/>
        <v>40</v>
      </c>
      <c r="B89" s="97" t="s">
        <v>228</v>
      </c>
      <c r="C89" s="102" t="s">
        <v>78</v>
      </c>
      <c r="D89" s="103">
        <v>44812.0</v>
      </c>
      <c r="E89" s="98"/>
      <c r="F89" s="97" t="s">
        <v>229</v>
      </c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6">
        <f t="shared" si="1"/>
        <v>41</v>
      </c>
      <c r="B90" s="97" t="s">
        <v>230</v>
      </c>
      <c r="C90" s="102" t="s">
        <v>78</v>
      </c>
      <c r="D90" s="103">
        <v>44823.0</v>
      </c>
      <c r="E90" s="98"/>
      <c r="F90" s="97" t="s">
        <v>231</v>
      </c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6">
        <f t="shared" si="1"/>
        <v>42</v>
      </c>
      <c r="B91" s="97" t="s">
        <v>232</v>
      </c>
      <c r="C91" s="102" t="s">
        <v>77</v>
      </c>
      <c r="D91" s="103">
        <v>44824.0</v>
      </c>
      <c r="E91" s="98"/>
      <c r="F91" s="97" t="s">
        <v>233</v>
      </c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6">
        <f t="shared" si="1"/>
        <v>43</v>
      </c>
      <c r="B92" s="97" t="s">
        <v>234</v>
      </c>
      <c r="C92" s="102" t="s">
        <v>78</v>
      </c>
      <c r="D92" s="103">
        <v>44832.0</v>
      </c>
      <c r="E92" s="97" t="s">
        <v>235</v>
      </c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6">
        <f t="shared" si="1"/>
        <v>44</v>
      </c>
      <c r="B93" s="97" t="s">
        <v>236</v>
      </c>
      <c r="C93" s="102" t="s">
        <v>77</v>
      </c>
      <c r="D93" s="103">
        <v>44841.0</v>
      </c>
      <c r="E93" s="98"/>
      <c r="F93" s="97" t="s">
        <v>237</v>
      </c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6">
        <f t="shared" si="1"/>
        <v>45</v>
      </c>
      <c r="B94" s="97" t="s">
        <v>238</v>
      </c>
      <c r="C94" s="102" t="s">
        <v>78</v>
      </c>
      <c r="D94" s="103">
        <v>44860.0</v>
      </c>
      <c r="E94" s="97" t="s">
        <v>239</v>
      </c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6">
        <f t="shared" si="1"/>
        <v>46</v>
      </c>
      <c r="B95" s="97" t="s">
        <v>240</v>
      </c>
      <c r="C95" s="102" t="s">
        <v>78</v>
      </c>
      <c r="D95" s="103">
        <v>44861.0</v>
      </c>
      <c r="E95" s="98"/>
      <c r="F95" s="97" t="s">
        <v>241</v>
      </c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6">
        <f t="shared" si="1"/>
        <v>47</v>
      </c>
      <c r="B96" s="97" t="s">
        <v>242</v>
      </c>
      <c r="C96" s="102" t="s">
        <v>78</v>
      </c>
      <c r="D96" s="103">
        <v>44875.0</v>
      </c>
      <c r="E96" s="98"/>
      <c r="F96" s="97" t="s">
        <v>243</v>
      </c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6">
        <f t="shared" si="1"/>
        <v>48</v>
      </c>
      <c r="B97" s="97" t="s">
        <v>244</v>
      </c>
      <c r="C97" s="102" t="s">
        <v>78</v>
      </c>
      <c r="D97" s="103">
        <v>44891.0</v>
      </c>
      <c r="E97" s="97" t="s">
        <v>245</v>
      </c>
      <c r="F97" s="96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6">
        <f t="shared" si="1"/>
        <v>49</v>
      </c>
      <c r="B98" s="97" t="s">
        <v>246</v>
      </c>
      <c r="C98" s="102" t="s">
        <v>77</v>
      </c>
      <c r="D98" s="103">
        <v>44916.0</v>
      </c>
      <c r="E98" s="98"/>
      <c r="F98" s="97" t="s">
        <v>247</v>
      </c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6">
        <f t="shared" si="1"/>
        <v>50</v>
      </c>
      <c r="B99" s="97" t="s">
        <v>248</v>
      </c>
      <c r="C99" s="102" t="s">
        <v>77</v>
      </c>
      <c r="D99" s="103">
        <v>44916.0</v>
      </c>
      <c r="E99" s="98"/>
      <c r="F99" s="97" t="s">
        <v>249</v>
      </c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6">
        <f t="shared" si="1"/>
        <v>51</v>
      </c>
      <c r="B100" s="97" t="s">
        <v>250</v>
      </c>
      <c r="C100" s="102" t="s">
        <v>78</v>
      </c>
      <c r="D100" s="103">
        <v>44918.0</v>
      </c>
      <c r="E100" s="98"/>
      <c r="F100" s="97" t="s">
        <v>251</v>
      </c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6">
        <f t="shared" si="1"/>
        <v>52</v>
      </c>
      <c r="B101" s="97" t="s">
        <v>252</v>
      </c>
      <c r="C101" s="102" t="s">
        <v>78</v>
      </c>
      <c r="D101" s="103">
        <v>44926.0</v>
      </c>
      <c r="E101" s="98"/>
      <c r="F101" s="97" t="s">
        <v>253</v>
      </c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6">
        <f t="shared" si="1"/>
        <v>53</v>
      </c>
      <c r="B102" s="97" t="s">
        <v>254</v>
      </c>
      <c r="C102" s="102" t="s">
        <v>78</v>
      </c>
      <c r="D102" s="103">
        <v>44944.0</v>
      </c>
      <c r="E102" s="98"/>
      <c r="F102" s="97" t="s">
        <v>255</v>
      </c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6">
        <f t="shared" si="1"/>
        <v>54</v>
      </c>
      <c r="B103" s="97" t="s">
        <v>256</v>
      </c>
      <c r="C103" s="102" t="s">
        <v>78</v>
      </c>
      <c r="D103" s="103">
        <v>44963.0</v>
      </c>
      <c r="E103" s="97" t="s">
        <v>257</v>
      </c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6">
        <f t="shared" si="1"/>
        <v>55</v>
      </c>
      <c r="B104" s="97" t="s">
        <v>258</v>
      </c>
      <c r="C104" s="102" t="s">
        <v>78</v>
      </c>
      <c r="D104" s="103">
        <v>44964.0</v>
      </c>
      <c r="E104" s="98"/>
      <c r="F104" s="97" t="s">
        <v>259</v>
      </c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6">
        <f t="shared" si="1"/>
        <v>56</v>
      </c>
      <c r="B105" s="97" t="s">
        <v>260</v>
      </c>
      <c r="C105" s="102" t="s">
        <v>77</v>
      </c>
      <c r="D105" s="103">
        <v>44978.0</v>
      </c>
      <c r="E105" s="97" t="s">
        <v>261</v>
      </c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6">
        <f t="shared" si="1"/>
        <v>57</v>
      </c>
      <c r="B106" s="97" t="s">
        <v>262</v>
      </c>
      <c r="C106" s="102" t="s">
        <v>78</v>
      </c>
      <c r="D106" s="103">
        <v>44980.0</v>
      </c>
      <c r="E106" s="98"/>
      <c r="F106" s="97" t="s">
        <v>263</v>
      </c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6">
        <f t="shared" si="1"/>
        <v>58</v>
      </c>
      <c r="B107" s="97" t="s">
        <v>264</v>
      </c>
      <c r="C107" s="102" t="s">
        <v>78</v>
      </c>
      <c r="D107" s="103">
        <v>44980.0</v>
      </c>
      <c r="E107" s="98"/>
      <c r="F107" s="97" t="s">
        <v>263</v>
      </c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6">
        <f t="shared" si="1"/>
        <v>59</v>
      </c>
      <c r="B108" s="97" t="s">
        <v>265</v>
      </c>
      <c r="C108" s="102" t="s">
        <v>78</v>
      </c>
      <c r="D108" s="103">
        <v>44986.0</v>
      </c>
      <c r="E108" s="97" t="s">
        <v>266</v>
      </c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6">
        <f t="shared" si="1"/>
        <v>60</v>
      </c>
      <c r="B109" s="97" t="s">
        <v>267</v>
      </c>
      <c r="C109" s="102" t="s">
        <v>78</v>
      </c>
      <c r="D109" s="103">
        <v>44998.0</v>
      </c>
      <c r="E109" s="97" t="s">
        <v>268</v>
      </c>
      <c r="F109" s="96" t="s">
        <v>178</v>
      </c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6">
        <f t="shared" si="1"/>
        <v>61</v>
      </c>
      <c r="B110" s="97" t="s">
        <v>269</v>
      </c>
      <c r="C110" s="102" t="s">
        <v>77</v>
      </c>
      <c r="D110" s="103">
        <v>45004.0</v>
      </c>
      <c r="E110" s="97" t="s">
        <v>270</v>
      </c>
      <c r="F110" s="96" t="s">
        <v>271</v>
      </c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6">
        <f t="shared" si="1"/>
        <v>62</v>
      </c>
      <c r="B111" s="97" t="s">
        <v>272</v>
      </c>
      <c r="C111" s="102" t="s">
        <v>78</v>
      </c>
      <c r="D111" s="103">
        <v>45010.0</v>
      </c>
      <c r="E111" s="97" t="s">
        <v>273</v>
      </c>
      <c r="F111" s="96" t="s">
        <v>274</v>
      </c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6">
        <f t="shared" si="1"/>
        <v>63</v>
      </c>
      <c r="B112" s="97" t="s">
        <v>275</v>
      </c>
      <c r="C112" s="102" t="s">
        <v>77</v>
      </c>
      <c r="D112" s="103">
        <v>45013.0</v>
      </c>
      <c r="E112" s="97" t="s">
        <v>276</v>
      </c>
      <c r="F112" s="96" t="s">
        <v>277</v>
      </c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6">
        <f t="shared" si="1"/>
        <v>64</v>
      </c>
      <c r="B113" s="97" t="s">
        <v>278</v>
      </c>
      <c r="C113" s="102" t="s">
        <v>78</v>
      </c>
      <c r="D113" s="103">
        <v>45014.0</v>
      </c>
      <c r="E113" s="97" t="s">
        <v>279</v>
      </c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6">
        <f t="shared" si="1"/>
        <v>65</v>
      </c>
      <c r="B114" s="97" t="s">
        <v>280</v>
      </c>
      <c r="C114" s="102" t="s">
        <v>77</v>
      </c>
      <c r="D114" s="103">
        <v>45017.0</v>
      </c>
      <c r="E114" s="96" t="s">
        <v>281</v>
      </c>
      <c r="F114" s="97" t="s">
        <v>282</v>
      </c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6">
        <f t="shared" si="1"/>
        <v>66</v>
      </c>
      <c r="B115" s="97" t="s">
        <v>283</v>
      </c>
      <c r="C115" s="102" t="s">
        <v>78</v>
      </c>
      <c r="D115" s="103">
        <v>45031.0</v>
      </c>
      <c r="E115" s="96" t="s">
        <v>284</v>
      </c>
      <c r="F115" s="97" t="s">
        <v>285</v>
      </c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6">
        <f t="shared" si="1"/>
        <v>67</v>
      </c>
      <c r="B116" s="97" t="s">
        <v>286</v>
      </c>
      <c r="C116" s="102" t="s">
        <v>78</v>
      </c>
      <c r="D116" s="103">
        <v>45041.0</v>
      </c>
      <c r="E116" s="96" t="s">
        <v>287</v>
      </c>
      <c r="F116" s="97" t="s">
        <v>288</v>
      </c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6">
        <f t="shared" si="1"/>
        <v>68</v>
      </c>
      <c r="B117" s="97" t="s">
        <v>289</v>
      </c>
      <c r="C117" s="102" t="s">
        <v>77</v>
      </c>
      <c r="D117" s="103">
        <v>45068.0</v>
      </c>
      <c r="E117" s="97" t="s">
        <v>290</v>
      </c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6">
        <f t="shared" si="1"/>
        <v>69</v>
      </c>
      <c r="B118" s="97" t="s">
        <v>291</v>
      </c>
      <c r="C118" s="102" t="s">
        <v>77</v>
      </c>
      <c r="D118" s="103">
        <v>45084.0</v>
      </c>
      <c r="E118" s="97" t="s">
        <v>292</v>
      </c>
      <c r="F118" s="96" t="s">
        <v>293</v>
      </c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6">
        <f t="shared" si="1"/>
        <v>70</v>
      </c>
      <c r="B119" s="97" t="s">
        <v>294</v>
      </c>
      <c r="C119" s="102" t="s">
        <v>78</v>
      </c>
      <c r="D119" s="103">
        <v>45085.0</v>
      </c>
      <c r="E119" s="97" t="s">
        <v>295</v>
      </c>
      <c r="F119" s="96" t="s">
        <v>296</v>
      </c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6">
        <f t="shared" si="1"/>
        <v>71</v>
      </c>
      <c r="B120" s="97" t="s">
        <v>297</v>
      </c>
      <c r="C120" s="102" t="s">
        <v>77</v>
      </c>
      <c r="D120" s="103">
        <v>45090.0</v>
      </c>
      <c r="E120" s="97" t="s">
        <v>298</v>
      </c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6">
        <f t="shared" si="1"/>
        <v>72</v>
      </c>
      <c r="B121" s="97" t="s">
        <v>299</v>
      </c>
      <c r="C121" s="102" t="s">
        <v>77</v>
      </c>
      <c r="D121" s="103">
        <v>45105.0</v>
      </c>
      <c r="E121" s="97" t="s">
        <v>300</v>
      </c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6">
        <f t="shared" si="1"/>
        <v>73</v>
      </c>
      <c r="B122" s="97" t="s">
        <v>301</v>
      </c>
      <c r="C122" s="102" t="s">
        <v>77</v>
      </c>
      <c r="D122" s="103">
        <v>45113.0</v>
      </c>
      <c r="E122" s="97" t="s">
        <v>302</v>
      </c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6">
        <f t="shared" si="1"/>
        <v>74</v>
      </c>
      <c r="B123" s="97" t="s">
        <v>303</v>
      </c>
      <c r="C123" s="102" t="s">
        <v>77</v>
      </c>
      <c r="D123" s="103">
        <v>45117.0</v>
      </c>
      <c r="E123" s="97" t="s">
        <v>304</v>
      </c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6">
        <f t="shared" si="1"/>
        <v>75</v>
      </c>
      <c r="B124" s="97" t="s">
        <v>305</v>
      </c>
      <c r="C124" s="102" t="s">
        <v>78</v>
      </c>
      <c r="D124" s="103">
        <v>45131.0</v>
      </c>
      <c r="E124" s="97" t="s">
        <v>306</v>
      </c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6">
        <f t="shared" si="1"/>
        <v>76</v>
      </c>
      <c r="B125" s="97" t="s">
        <v>307</v>
      </c>
      <c r="C125" s="102" t="s">
        <v>77</v>
      </c>
      <c r="D125" s="103">
        <v>45135.0</v>
      </c>
      <c r="E125" s="97" t="s">
        <v>308</v>
      </c>
      <c r="F125" s="97" t="s">
        <v>309</v>
      </c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6">
        <f t="shared" si="1"/>
        <v>77</v>
      </c>
      <c r="B126" s="97" t="s">
        <v>310</v>
      </c>
      <c r="C126" s="102" t="s">
        <v>77</v>
      </c>
      <c r="D126" s="103">
        <v>45183.0</v>
      </c>
      <c r="E126" s="97" t="s">
        <v>311</v>
      </c>
      <c r="F126" s="97" t="s">
        <v>312</v>
      </c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6">
        <f t="shared" si="1"/>
        <v>78</v>
      </c>
      <c r="B127" s="97" t="s">
        <v>313</v>
      </c>
      <c r="C127" s="102" t="s">
        <v>77</v>
      </c>
      <c r="D127" s="103">
        <v>45198.0</v>
      </c>
      <c r="E127" s="97" t="s">
        <v>314</v>
      </c>
      <c r="F127" s="97" t="s">
        <v>315</v>
      </c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6">
        <f t="shared" si="1"/>
        <v>79</v>
      </c>
      <c r="B128" s="97" t="s">
        <v>316</v>
      </c>
      <c r="C128" s="102" t="s">
        <v>77</v>
      </c>
      <c r="D128" s="103">
        <v>45202.0</v>
      </c>
      <c r="E128" s="97" t="s">
        <v>317</v>
      </c>
      <c r="F128" s="97" t="s">
        <v>318</v>
      </c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6">
        <f t="shared" si="1"/>
        <v>80</v>
      </c>
      <c r="B129" s="97" t="s">
        <v>319</v>
      </c>
      <c r="C129" s="102" t="s">
        <v>78</v>
      </c>
      <c r="D129" s="103">
        <v>45210.0</v>
      </c>
      <c r="E129" s="97" t="s">
        <v>320</v>
      </c>
      <c r="F129" s="97" t="s">
        <v>321</v>
      </c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6">
        <f t="shared" si="1"/>
        <v>81</v>
      </c>
      <c r="B130" s="97" t="s">
        <v>322</v>
      </c>
      <c r="C130" s="102" t="s">
        <v>78</v>
      </c>
      <c r="D130" s="103">
        <v>45211.0</v>
      </c>
      <c r="E130" s="97" t="s">
        <v>323</v>
      </c>
      <c r="F130" s="97" t="s">
        <v>324</v>
      </c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6">
        <f t="shared" si="1"/>
        <v>82</v>
      </c>
      <c r="B131" s="97" t="s">
        <v>325</v>
      </c>
      <c r="C131" s="102" t="s">
        <v>77</v>
      </c>
      <c r="D131" s="103">
        <v>45211.0</v>
      </c>
      <c r="E131" s="97" t="s">
        <v>326</v>
      </c>
      <c r="F131" s="97" t="s">
        <v>327</v>
      </c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6">
        <f t="shared" si="1"/>
        <v>83</v>
      </c>
      <c r="B132" s="97" t="s">
        <v>328</v>
      </c>
      <c r="C132" s="102" t="s">
        <v>78</v>
      </c>
      <c r="D132" s="103">
        <v>45218.0</v>
      </c>
      <c r="E132" s="97" t="s">
        <v>329</v>
      </c>
      <c r="F132" s="97" t="s">
        <v>330</v>
      </c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6">
        <f t="shared" si="1"/>
        <v>84</v>
      </c>
      <c r="B133" s="97" t="s">
        <v>331</v>
      </c>
      <c r="C133" s="102" t="s">
        <v>77</v>
      </c>
      <c r="D133" s="103">
        <v>45234.0</v>
      </c>
      <c r="E133" s="97" t="s">
        <v>332</v>
      </c>
      <c r="F133" s="97" t="s">
        <v>333</v>
      </c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6">
        <f t="shared" si="1"/>
        <v>85</v>
      </c>
      <c r="B134" s="97" t="s">
        <v>334</v>
      </c>
      <c r="C134" s="102" t="s">
        <v>78</v>
      </c>
      <c r="D134" s="103">
        <v>45235.0</v>
      </c>
      <c r="E134" s="97" t="s">
        <v>335</v>
      </c>
      <c r="F134" s="97" t="s">
        <v>336</v>
      </c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6">
        <f t="shared" si="1"/>
        <v>86</v>
      </c>
      <c r="B135" s="97" t="s">
        <v>337</v>
      </c>
      <c r="C135" s="102" t="s">
        <v>77</v>
      </c>
      <c r="D135" s="103">
        <v>45236.0</v>
      </c>
      <c r="E135" s="97" t="s">
        <v>338</v>
      </c>
      <c r="F135" s="97" t="s">
        <v>339</v>
      </c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6">
        <f t="shared" si="1"/>
        <v>87</v>
      </c>
      <c r="B136" s="97" t="s">
        <v>340</v>
      </c>
      <c r="C136" s="102" t="s">
        <v>78</v>
      </c>
      <c r="D136" s="103">
        <v>45238.0</v>
      </c>
      <c r="E136" s="97" t="s">
        <v>341</v>
      </c>
      <c r="F136" s="97" t="s">
        <v>342</v>
      </c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6">
        <f t="shared" si="1"/>
        <v>88</v>
      </c>
      <c r="B137" s="97" t="s">
        <v>343</v>
      </c>
      <c r="C137" s="102" t="s">
        <v>78</v>
      </c>
      <c r="D137" s="103">
        <v>45251.0</v>
      </c>
      <c r="E137" s="97" t="s">
        <v>344</v>
      </c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6">
        <f t="shared" si="1"/>
        <v>89</v>
      </c>
      <c r="B138" s="97" t="s">
        <v>345</v>
      </c>
      <c r="C138" s="102" t="s">
        <v>77</v>
      </c>
      <c r="D138" s="103">
        <v>45267.0</v>
      </c>
      <c r="E138" s="97" t="s">
        <v>346</v>
      </c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6">
        <f t="shared" si="1"/>
        <v>90</v>
      </c>
      <c r="B139" s="97" t="s">
        <v>347</v>
      </c>
      <c r="C139" s="102" t="s">
        <v>77</v>
      </c>
      <c r="D139" s="103">
        <v>45271.0</v>
      </c>
      <c r="E139" s="98"/>
      <c r="F139" s="97" t="s">
        <v>348</v>
      </c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6">
        <f t="shared" si="1"/>
        <v>91</v>
      </c>
      <c r="B140" s="97" t="s">
        <v>349</v>
      </c>
      <c r="C140" s="102" t="s">
        <v>77</v>
      </c>
      <c r="D140" s="103">
        <v>45272.0</v>
      </c>
      <c r="E140" s="97" t="s">
        <v>350</v>
      </c>
      <c r="F140" s="97" t="s">
        <v>351</v>
      </c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6">
        <f t="shared" si="1"/>
        <v>92</v>
      </c>
      <c r="B141" s="97" t="s">
        <v>352</v>
      </c>
      <c r="C141" s="102" t="s">
        <v>77</v>
      </c>
      <c r="D141" s="103">
        <v>45281.0</v>
      </c>
      <c r="E141" s="97" t="s">
        <v>353</v>
      </c>
      <c r="F141" s="97" t="s">
        <v>354</v>
      </c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6">
        <f t="shared" si="1"/>
        <v>93</v>
      </c>
      <c r="B142" s="97" t="s">
        <v>355</v>
      </c>
      <c r="C142" s="102" t="s">
        <v>77</v>
      </c>
      <c r="D142" s="103">
        <v>45284.0</v>
      </c>
      <c r="E142" s="97" t="s">
        <v>356</v>
      </c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6">
        <f t="shared" si="1"/>
        <v>94</v>
      </c>
      <c r="B143" s="97" t="s">
        <v>357</v>
      </c>
      <c r="C143" s="102" t="s">
        <v>77</v>
      </c>
      <c r="D143" s="103">
        <v>45319.0</v>
      </c>
      <c r="E143" s="97" t="s">
        <v>358</v>
      </c>
      <c r="F143" s="97" t="s">
        <v>359</v>
      </c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6">
        <f t="shared" si="1"/>
        <v>95</v>
      </c>
      <c r="B144" s="97" t="s">
        <v>360</v>
      </c>
      <c r="C144" s="102" t="s">
        <v>77</v>
      </c>
      <c r="D144" s="103">
        <v>45325.0</v>
      </c>
      <c r="E144" s="97" t="s">
        <v>361</v>
      </c>
      <c r="F144" s="97" t="s">
        <v>362</v>
      </c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6">
        <f t="shared" si="1"/>
        <v>96</v>
      </c>
      <c r="B145" s="97" t="s">
        <v>363</v>
      </c>
      <c r="C145" s="102" t="s">
        <v>78</v>
      </c>
      <c r="D145" s="103">
        <v>45333.0</v>
      </c>
      <c r="E145" s="97" t="s">
        <v>364</v>
      </c>
      <c r="F145" s="97" t="s">
        <v>365</v>
      </c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6">
        <f t="shared" si="1"/>
        <v>97</v>
      </c>
      <c r="B146" s="97" t="s">
        <v>366</v>
      </c>
      <c r="C146" s="102" t="s">
        <v>77</v>
      </c>
      <c r="D146" s="103">
        <v>45370.0</v>
      </c>
      <c r="E146" s="97" t="s">
        <v>367</v>
      </c>
      <c r="F146" s="97" t="s">
        <v>368</v>
      </c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6">
        <f t="shared" si="1"/>
        <v>98</v>
      </c>
      <c r="B147" s="97" t="s">
        <v>369</v>
      </c>
      <c r="C147" s="102" t="s">
        <v>77</v>
      </c>
      <c r="D147" s="103">
        <v>45372.0</v>
      </c>
      <c r="E147" s="97" t="s">
        <v>370</v>
      </c>
      <c r="F147" s="97" t="s">
        <v>362</v>
      </c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6">
        <f t="shared" si="1"/>
        <v>99</v>
      </c>
      <c r="B148" s="97" t="s">
        <v>371</v>
      </c>
      <c r="C148" s="102" t="s">
        <v>78</v>
      </c>
      <c r="D148" s="103">
        <v>45378.0</v>
      </c>
      <c r="E148" s="97" t="s">
        <v>372</v>
      </c>
      <c r="F148" s="97" t="s">
        <v>373</v>
      </c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6">
        <f t="shared" si="1"/>
        <v>100</v>
      </c>
      <c r="B149" s="97" t="s">
        <v>374</v>
      </c>
      <c r="C149" s="102" t="s">
        <v>78</v>
      </c>
      <c r="D149" s="103">
        <v>45385.0</v>
      </c>
      <c r="E149" s="97" t="s">
        <v>375</v>
      </c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6">
        <f t="shared" si="1"/>
        <v>101</v>
      </c>
      <c r="B150" s="97" t="s">
        <v>376</v>
      </c>
      <c r="C150" s="102" t="s">
        <v>78</v>
      </c>
      <c r="D150" s="103">
        <v>45394.0</v>
      </c>
      <c r="E150" s="97" t="s">
        <v>377</v>
      </c>
      <c r="F150" s="97" t="s">
        <v>193</v>
      </c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6">
        <f t="shared" si="1"/>
        <v>102</v>
      </c>
      <c r="B151" s="97" t="s">
        <v>378</v>
      </c>
      <c r="C151" s="102" t="s">
        <v>77</v>
      </c>
      <c r="D151" s="103">
        <v>45409.0</v>
      </c>
      <c r="E151" s="97" t="s">
        <v>379</v>
      </c>
      <c r="F151" s="97" t="s">
        <v>380</v>
      </c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6">
        <f t="shared" si="1"/>
        <v>103</v>
      </c>
      <c r="B152" s="97" t="s">
        <v>381</v>
      </c>
      <c r="C152" s="102" t="s">
        <v>78</v>
      </c>
      <c r="D152" s="103">
        <v>45409.0</v>
      </c>
      <c r="E152" s="97" t="s">
        <v>382</v>
      </c>
      <c r="F152" s="97" t="s">
        <v>383</v>
      </c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6">
        <f t="shared" si="1"/>
        <v>104</v>
      </c>
      <c r="B153" s="97" t="s">
        <v>384</v>
      </c>
      <c r="C153" s="102" t="s">
        <v>78</v>
      </c>
      <c r="D153" s="103">
        <v>45413.0</v>
      </c>
      <c r="E153" s="97" t="s">
        <v>385</v>
      </c>
      <c r="F153" s="97" t="s">
        <v>386</v>
      </c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6">
        <f t="shared" si="1"/>
        <v>105</v>
      </c>
      <c r="B154" s="97" t="s">
        <v>387</v>
      </c>
      <c r="C154" s="102" t="s">
        <v>78</v>
      </c>
      <c r="D154" s="103">
        <v>45431.0</v>
      </c>
      <c r="E154" s="97" t="s">
        <v>388</v>
      </c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6">
        <f t="shared" si="1"/>
        <v>106</v>
      </c>
      <c r="B155" s="97" t="s">
        <v>389</v>
      </c>
      <c r="C155" s="102" t="s">
        <v>78</v>
      </c>
      <c r="D155" s="103">
        <v>45469.0</v>
      </c>
      <c r="E155" s="97" t="s">
        <v>390</v>
      </c>
      <c r="F155" s="97" t="s">
        <v>391</v>
      </c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6">
        <f t="shared" si="1"/>
        <v>107</v>
      </c>
      <c r="B156" s="97" t="s">
        <v>392</v>
      </c>
      <c r="C156" s="102" t="s">
        <v>78</v>
      </c>
      <c r="D156" s="103">
        <v>45489.0</v>
      </c>
      <c r="E156" s="97" t="s">
        <v>393</v>
      </c>
      <c r="F156" s="97" t="s">
        <v>394</v>
      </c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6">
        <f t="shared" si="1"/>
        <v>108</v>
      </c>
      <c r="B157" s="97" t="s">
        <v>395</v>
      </c>
      <c r="C157" s="102" t="s">
        <v>77</v>
      </c>
      <c r="D157" s="103">
        <v>45506.0</v>
      </c>
      <c r="E157" s="97" t="s">
        <v>396</v>
      </c>
      <c r="F157" s="97" t="s">
        <v>397</v>
      </c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6">
        <f t="shared" si="1"/>
        <v>109</v>
      </c>
      <c r="B158" s="97" t="s">
        <v>398</v>
      </c>
      <c r="C158" s="102" t="s">
        <v>77</v>
      </c>
      <c r="D158" s="103">
        <v>45521.0</v>
      </c>
      <c r="E158" s="97" t="s">
        <v>399</v>
      </c>
      <c r="F158" s="97" t="s">
        <v>400</v>
      </c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6">
        <f t="shared" si="1"/>
        <v>110</v>
      </c>
      <c r="B159" s="97" t="s">
        <v>401</v>
      </c>
      <c r="C159" s="102" t="s">
        <v>77</v>
      </c>
      <c r="D159" s="103">
        <v>45524.0</v>
      </c>
      <c r="E159" s="97" t="s">
        <v>402</v>
      </c>
      <c r="F159" s="97" t="s">
        <v>403</v>
      </c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6">
        <f t="shared" si="1"/>
        <v>111</v>
      </c>
      <c r="B160" s="97" t="s">
        <v>404</v>
      </c>
      <c r="C160" s="102" t="s">
        <v>77</v>
      </c>
      <c r="D160" s="103">
        <v>45527.0</v>
      </c>
      <c r="E160" s="97" t="s">
        <v>405</v>
      </c>
      <c r="F160" s="97" t="s">
        <v>336</v>
      </c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6">
        <f t="shared" si="1"/>
        <v>112</v>
      </c>
      <c r="B161" s="97" t="s">
        <v>406</v>
      </c>
      <c r="C161" s="102" t="s">
        <v>77</v>
      </c>
      <c r="D161" s="103">
        <v>45548.0</v>
      </c>
      <c r="E161" s="97" t="s">
        <v>407</v>
      </c>
      <c r="F161" s="97" t="s">
        <v>408</v>
      </c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6">
        <f t="shared" si="1"/>
        <v>113</v>
      </c>
      <c r="B162" s="97" t="s">
        <v>409</v>
      </c>
      <c r="C162" s="102" t="s">
        <v>77</v>
      </c>
      <c r="D162" s="103">
        <v>45550.0</v>
      </c>
      <c r="E162" s="97" t="s">
        <v>410</v>
      </c>
      <c r="F162" s="97" t="s">
        <v>411</v>
      </c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6">
        <f t="shared" si="1"/>
        <v>114</v>
      </c>
      <c r="B163" s="97" t="s">
        <v>412</v>
      </c>
      <c r="C163" s="102" t="s">
        <v>78</v>
      </c>
      <c r="D163" s="103">
        <v>45563.0</v>
      </c>
      <c r="E163" s="97" t="s">
        <v>413</v>
      </c>
      <c r="F163" s="97" t="s">
        <v>221</v>
      </c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6">
        <f t="shared" si="1"/>
        <v>115</v>
      </c>
      <c r="B164" s="97" t="s">
        <v>414</v>
      </c>
      <c r="C164" s="102" t="s">
        <v>78</v>
      </c>
      <c r="D164" s="103">
        <v>45565.0</v>
      </c>
      <c r="E164" s="97" t="s">
        <v>415</v>
      </c>
      <c r="F164" s="97" t="s">
        <v>416</v>
      </c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6">
        <f t="shared" si="1"/>
        <v>116</v>
      </c>
      <c r="B165" s="97" t="s">
        <v>417</v>
      </c>
      <c r="C165" s="102" t="s">
        <v>77</v>
      </c>
      <c r="D165" s="103">
        <v>45570.0</v>
      </c>
      <c r="E165" s="97" t="s">
        <v>418</v>
      </c>
      <c r="F165" s="97" t="s">
        <v>419</v>
      </c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6">
        <f t="shared" si="1"/>
        <v>117</v>
      </c>
      <c r="B166" s="97" t="s">
        <v>420</v>
      </c>
      <c r="C166" s="102" t="s">
        <v>77</v>
      </c>
      <c r="D166" s="103">
        <v>45576.0</v>
      </c>
      <c r="E166" s="97" t="s">
        <v>421</v>
      </c>
      <c r="F166" s="97" t="s">
        <v>422</v>
      </c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6">
        <f t="shared" si="1"/>
        <v>118</v>
      </c>
      <c r="B167" s="97" t="s">
        <v>423</v>
      </c>
      <c r="C167" s="102" t="s">
        <v>78</v>
      </c>
      <c r="D167" s="103">
        <v>45578.0</v>
      </c>
      <c r="E167" s="97" t="s">
        <v>424</v>
      </c>
      <c r="F167" s="97" t="s">
        <v>425</v>
      </c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6">
        <f t="shared" si="1"/>
        <v>119</v>
      </c>
      <c r="B168" s="97" t="s">
        <v>426</v>
      </c>
      <c r="C168" s="102" t="s">
        <v>77</v>
      </c>
      <c r="D168" s="103">
        <v>45584.0</v>
      </c>
      <c r="E168" s="97" t="s">
        <v>427</v>
      </c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6">
        <f t="shared" si="1"/>
        <v>120</v>
      </c>
      <c r="B169" s="97" t="s">
        <v>428</v>
      </c>
      <c r="C169" s="102" t="s">
        <v>78</v>
      </c>
      <c r="D169" s="103">
        <v>45624.0</v>
      </c>
      <c r="E169" s="97" t="s">
        <v>429</v>
      </c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6">
        <f t="shared" si="1"/>
        <v>121</v>
      </c>
      <c r="B170" s="97" t="s">
        <v>430</v>
      </c>
      <c r="C170" s="102" t="s">
        <v>78</v>
      </c>
      <c r="D170" s="103">
        <v>45630.0</v>
      </c>
      <c r="E170" s="97" t="s">
        <v>431</v>
      </c>
      <c r="F170" s="97" t="s">
        <v>432</v>
      </c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6">
        <f t="shared" si="1"/>
        <v>122</v>
      </c>
      <c r="B171" s="97" t="s">
        <v>433</v>
      </c>
      <c r="C171" s="102" t="s">
        <v>77</v>
      </c>
      <c r="D171" s="103">
        <v>45647.0</v>
      </c>
      <c r="E171" s="97" t="s">
        <v>434</v>
      </c>
      <c r="F171" s="97" t="s">
        <v>435</v>
      </c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6">
        <f t="shared" si="1"/>
        <v>123</v>
      </c>
      <c r="B172" s="97" t="s">
        <v>116</v>
      </c>
      <c r="C172" s="102" t="s">
        <v>78</v>
      </c>
      <c r="D172" s="103">
        <v>45658.0</v>
      </c>
      <c r="E172" s="97" t="s">
        <v>436</v>
      </c>
      <c r="F172" s="97" t="s">
        <v>437</v>
      </c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6">
        <f t="shared" si="1"/>
        <v>124</v>
      </c>
      <c r="B173" s="97" t="s">
        <v>119</v>
      </c>
      <c r="C173" s="102" t="s">
        <v>78</v>
      </c>
      <c r="D173" s="103">
        <v>45659.0</v>
      </c>
      <c r="E173" s="97" t="s">
        <v>438</v>
      </c>
      <c r="F173" s="97" t="s">
        <v>439</v>
      </c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6">
        <f t="shared" si="1"/>
        <v>125</v>
      </c>
      <c r="B174" s="97" t="s">
        <v>113</v>
      </c>
      <c r="C174" s="102" t="s">
        <v>78</v>
      </c>
      <c r="D174" s="103">
        <v>45659.0</v>
      </c>
      <c r="E174" s="97" t="s">
        <v>440</v>
      </c>
      <c r="F174" s="97" t="s">
        <v>441</v>
      </c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6">
        <f t="shared" si="1"/>
        <v>126</v>
      </c>
      <c r="B175" s="97" t="s">
        <v>125</v>
      </c>
      <c r="C175" s="102" t="s">
        <v>78</v>
      </c>
      <c r="D175" s="103">
        <v>45668.0</v>
      </c>
      <c r="E175" s="97" t="s">
        <v>442</v>
      </c>
      <c r="F175" s="97" t="s">
        <v>443</v>
      </c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6">
        <f t="shared" si="1"/>
        <v>127</v>
      </c>
      <c r="B176" s="97" t="s">
        <v>122</v>
      </c>
      <c r="C176" s="102" t="s">
        <v>78</v>
      </c>
      <c r="D176" s="103">
        <v>45668.0</v>
      </c>
      <c r="E176" s="97" t="s">
        <v>444</v>
      </c>
      <c r="F176" s="97" t="s">
        <v>445</v>
      </c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6">
        <f t="shared" si="1"/>
        <v>128</v>
      </c>
      <c r="B177" s="97" t="s">
        <v>446</v>
      </c>
      <c r="C177" s="102" t="s">
        <v>78</v>
      </c>
      <c r="D177" s="103">
        <v>45686.0</v>
      </c>
      <c r="E177" s="97" t="s">
        <v>447</v>
      </c>
      <c r="F177" s="97" t="s">
        <v>448</v>
      </c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6">
        <f t="shared" si="1"/>
        <v>129</v>
      </c>
      <c r="B178" s="97" t="s">
        <v>132</v>
      </c>
      <c r="C178" s="102" t="s">
        <v>77</v>
      </c>
      <c r="D178" s="103">
        <v>45693.0</v>
      </c>
      <c r="E178" s="97" t="s">
        <v>449</v>
      </c>
      <c r="F178" s="97" t="s">
        <v>450</v>
      </c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6">
        <f t="shared" si="1"/>
        <v>130</v>
      </c>
      <c r="B179" s="97" t="s">
        <v>451</v>
      </c>
      <c r="C179" s="102" t="s">
        <v>78</v>
      </c>
      <c r="D179" s="103">
        <v>45698.0</v>
      </c>
      <c r="E179" s="97" t="s">
        <v>452</v>
      </c>
      <c r="F179" s="97" t="s">
        <v>453</v>
      </c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6">
        <f t="shared" si="1"/>
        <v>131</v>
      </c>
      <c r="B180" s="97" t="s">
        <v>135</v>
      </c>
      <c r="C180" s="102" t="s">
        <v>77</v>
      </c>
      <c r="D180" s="103">
        <v>45718.0</v>
      </c>
      <c r="E180" s="97" t="s">
        <v>454</v>
      </c>
      <c r="F180" s="97" t="s">
        <v>455</v>
      </c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6">
        <f t="shared" si="1"/>
        <v>132</v>
      </c>
      <c r="B181" s="97" t="s">
        <v>138</v>
      </c>
      <c r="C181" s="102" t="s">
        <v>78</v>
      </c>
      <c r="D181" s="103">
        <v>45758.0</v>
      </c>
      <c r="E181" s="97" t="s">
        <v>456</v>
      </c>
      <c r="F181" s="97" t="s">
        <v>457</v>
      </c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6">
        <f t="shared" si="1"/>
        <v>133</v>
      </c>
      <c r="B182" s="97" t="s">
        <v>141</v>
      </c>
      <c r="C182" s="102" t="s">
        <v>78</v>
      </c>
      <c r="D182" s="103">
        <v>45771.0</v>
      </c>
      <c r="E182" s="97" t="s">
        <v>458</v>
      </c>
      <c r="F182" s="97" t="s">
        <v>459</v>
      </c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6">
        <f t="shared" si="1"/>
        <v>134</v>
      </c>
      <c r="B183" s="97" t="s">
        <v>460</v>
      </c>
      <c r="C183" s="102" t="s">
        <v>78</v>
      </c>
      <c r="D183" s="103">
        <v>45774.0</v>
      </c>
      <c r="E183" s="97" t="s">
        <v>461</v>
      </c>
      <c r="F183" s="97" t="s">
        <v>462</v>
      </c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6">
        <f t="shared" si="1"/>
        <v>135</v>
      </c>
      <c r="B184" s="97" t="s">
        <v>463</v>
      </c>
      <c r="C184" s="102" t="s">
        <v>77</v>
      </c>
      <c r="D184" s="103">
        <v>45779.0</v>
      </c>
      <c r="E184" s="97" t="s">
        <v>304</v>
      </c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6">
        <f t="shared" si="1"/>
        <v>136</v>
      </c>
      <c r="B185" s="97" t="s">
        <v>464</v>
      </c>
      <c r="C185" s="102" t="s">
        <v>77</v>
      </c>
      <c r="D185" s="103">
        <v>45791.0</v>
      </c>
      <c r="E185" s="97" t="s">
        <v>465</v>
      </c>
      <c r="F185" s="97" t="s">
        <v>466</v>
      </c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6">
        <f t="shared" si="1"/>
        <v>137</v>
      </c>
      <c r="B186" s="97" t="s">
        <v>467</v>
      </c>
      <c r="C186" s="102" t="s">
        <v>78</v>
      </c>
      <c r="D186" s="103">
        <v>45808.0</v>
      </c>
      <c r="E186" s="97" t="s">
        <v>468</v>
      </c>
      <c r="F186" s="97" t="s">
        <v>469</v>
      </c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6">
        <f t="shared" si="1"/>
        <v>138</v>
      </c>
      <c r="B187" s="97" t="s">
        <v>470</v>
      </c>
      <c r="C187" s="102" t="s">
        <v>78</v>
      </c>
      <c r="D187" s="103">
        <v>45848.0</v>
      </c>
      <c r="E187" s="97" t="s">
        <v>471</v>
      </c>
      <c r="F187" s="97" t="s">
        <v>472</v>
      </c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6">
        <f t="shared" si="1"/>
        <v>139</v>
      </c>
      <c r="B188" s="97" t="s">
        <v>473</v>
      </c>
      <c r="C188" s="102" t="s">
        <v>78</v>
      </c>
      <c r="D188" s="103">
        <v>45875.0</v>
      </c>
      <c r="E188" s="97" t="s">
        <v>474</v>
      </c>
      <c r="F188" s="97" t="s">
        <v>475</v>
      </c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6">
        <f t="shared" si="1"/>
        <v>140</v>
      </c>
      <c r="B189" s="97" t="s">
        <v>476</v>
      </c>
      <c r="C189" s="102" t="s">
        <v>78</v>
      </c>
      <c r="D189" s="103">
        <v>45878.0</v>
      </c>
      <c r="E189" s="97" t="s">
        <v>477</v>
      </c>
      <c r="F189" s="97" t="s">
        <v>478</v>
      </c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6">
        <f t="shared" si="1"/>
        <v>141</v>
      </c>
      <c r="B190" s="97" t="s">
        <v>479</v>
      </c>
      <c r="C190" s="102" t="s">
        <v>77</v>
      </c>
      <c r="D190" s="103">
        <v>45878.0</v>
      </c>
      <c r="E190" s="97" t="s">
        <v>480</v>
      </c>
      <c r="F190" s="97" t="s">
        <v>481</v>
      </c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6">
        <f t="shared" si="1"/>
        <v>142</v>
      </c>
      <c r="B191" s="97" t="s">
        <v>482</v>
      </c>
      <c r="C191" s="102" t="s">
        <v>77</v>
      </c>
      <c r="D191" s="103">
        <v>45880.0</v>
      </c>
      <c r="E191" s="97" t="s">
        <v>483</v>
      </c>
      <c r="F191" s="97" t="s">
        <v>484</v>
      </c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6">
        <f t="shared" si="1"/>
        <v>143</v>
      </c>
      <c r="B192" s="97" t="s">
        <v>485</v>
      </c>
      <c r="C192" s="102" t="s">
        <v>77</v>
      </c>
      <c r="D192" s="103">
        <v>45884.0</v>
      </c>
      <c r="E192" s="97" t="s">
        <v>486</v>
      </c>
      <c r="F192" s="97" t="s">
        <v>487</v>
      </c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6">
        <f t="shared" si="1"/>
        <v>144</v>
      </c>
      <c r="B193" s="97" t="s">
        <v>488</v>
      </c>
      <c r="C193" s="102" t="s">
        <v>77</v>
      </c>
      <c r="D193" s="103">
        <v>45891.0</v>
      </c>
      <c r="E193" s="97" t="s">
        <v>489</v>
      </c>
      <c r="F193" s="97" t="s">
        <v>490</v>
      </c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6">
        <f t="shared" si="1"/>
        <v>145</v>
      </c>
      <c r="B194" s="97" t="s">
        <v>491</v>
      </c>
      <c r="C194" s="102" t="s">
        <v>77</v>
      </c>
      <c r="D194" s="103">
        <v>45899.0</v>
      </c>
      <c r="E194" s="97" t="s">
        <v>492</v>
      </c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6">
        <f t="shared" si="1"/>
        <v>146</v>
      </c>
      <c r="B195" s="97" t="s">
        <v>493</v>
      </c>
      <c r="C195" s="102" t="s">
        <v>77</v>
      </c>
      <c r="D195" s="103">
        <v>45935.0</v>
      </c>
      <c r="E195" s="97" t="s">
        <v>494</v>
      </c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6">
        <f t="shared" si="1"/>
        <v>147</v>
      </c>
      <c r="B196" s="97" t="s">
        <v>495</v>
      </c>
      <c r="C196" s="102" t="s">
        <v>77</v>
      </c>
      <c r="D196" s="103">
        <v>45942.0</v>
      </c>
      <c r="E196" s="97" t="s">
        <v>496</v>
      </c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6">
        <f t="shared" si="1"/>
        <v>148</v>
      </c>
      <c r="B197" s="97" t="s">
        <v>497</v>
      </c>
      <c r="C197" s="102" t="s">
        <v>77</v>
      </c>
      <c r="D197" s="103">
        <v>45953.0</v>
      </c>
      <c r="E197" s="97" t="s">
        <v>498</v>
      </c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6">
        <f t="shared" si="1"/>
        <v>149</v>
      </c>
      <c r="B198" s="97" t="s">
        <v>499</v>
      </c>
      <c r="C198" s="102" t="s">
        <v>78</v>
      </c>
      <c r="D198" s="103">
        <v>45974.0</v>
      </c>
      <c r="E198" s="97" t="s">
        <v>500</v>
      </c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6">
        <f t="shared" si="1"/>
        <v>150</v>
      </c>
      <c r="B199" s="97" t="s">
        <v>501</v>
      </c>
      <c r="C199" s="102" t="s">
        <v>77</v>
      </c>
      <c r="D199" s="103">
        <v>45982.0</v>
      </c>
      <c r="E199" s="97" t="s">
        <v>502</v>
      </c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6">
        <f t="shared" si="1"/>
        <v>151</v>
      </c>
      <c r="B200" s="97" t="s">
        <v>503</v>
      </c>
      <c r="C200" s="102" t="s">
        <v>77</v>
      </c>
      <c r="D200" s="103">
        <v>46028.0</v>
      </c>
      <c r="E200" s="97" t="s">
        <v>504</v>
      </c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6">
        <f t="shared" si="1"/>
        <v>152</v>
      </c>
      <c r="B201" s="97" t="s">
        <v>505</v>
      </c>
      <c r="C201" s="102" t="s">
        <v>77</v>
      </c>
      <c r="D201" s="103">
        <v>46037.0</v>
      </c>
      <c r="E201" s="97" t="s">
        <v>506</v>
      </c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6">
        <f t="shared" si="1"/>
        <v>153</v>
      </c>
      <c r="B202" s="97" t="s">
        <v>507</v>
      </c>
      <c r="C202" s="102" t="s">
        <v>78</v>
      </c>
      <c r="D202" s="103">
        <v>46044.0</v>
      </c>
      <c r="E202" s="97" t="s">
        <v>508</v>
      </c>
      <c r="F202" s="97" t="s">
        <v>509</v>
      </c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6">
        <f t="shared" si="1"/>
        <v>154</v>
      </c>
      <c r="B203" s="97" t="s">
        <v>510</v>
      </c>
      <c r="C203" s="102" t="s">
        <v>77</v>
      </c>
      <c r="D203" s="103">
        <v>46047.0</v>
      </c>
      <c r="E203" s="97" t="s">
        <v>511</v>
      </c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6">
        <f t="shared" si="1"/>
        <v>155</v>
      </c>
      <c r="B204" s="97" t="s">
        <v>512</v>
      </c>
      <c r="C204" s="102" t="s">
        <v>77</v>
      </c>
      <c r="D204" s="103">
        <v>46091.0</v>
      </c>
      <c r="E204" s="97" t="s">
        <v>513</v>
      </c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6">
        <f t="shared" si="1"/>
        <v>156</v>
      </c>
      <c r="B205" s="97" t="s">
        <v>514</v>
      </c>
      <c r="C205" s="102" t="s">
        <v>77</v>
      </c>
      <c r="D205" s="103">
        <v>46107.0</v>
      </c>
      <c r="E205" s="97" t="s">
        <v>515</v>
      </c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6">
        <f t="shared" si="1"/>
        <v>157</v>
      </c>
      <c r="B206" s="97" t="s">
        <v>516</v>
      </c>
      <c r="C206" s="102" t="s">
        <v>77</v>
      </c>
      <c r="D206" s="103">
        <v>46114.0</v>
      </c>
      <c r="E206" s="97" t="s">
        <v>517</v>
      </c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6">
        <f t="shared" si="1"/>
        <v>158</v>
      </c>
      <c r="B207" s="97" t="s">
        <v>518</v>
      </c>
      <c r="C207" s="102" t="s">
        <v>78</v>
      </c>
      <c r="D207" s="103">
        <v>46114.0</v>
      </c>
      <c r="E207" s="97" t="s">
        <v>519</v>
      </c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6">
        <f t="shared" si="1"/>
        <v>159</v>
      </c>
      <c r="B208" s="97" t="s">
        <v>520</v>
      </c>
      <c r="C208" s="102" t="s">
        <v>78</v>
      </c>
      <c r="D208" s="103">
        <v>46116.0</v>
      </c>
      <c r="E208" s="97" t="s">
        <v>521</v>
      </c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87" t="s">
        <v>522</v>
      </c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89" t="s">
        <v>3</v>
      </c>
      <c r="B214" s="89" t="s">
        <v>146</v>
      </c>
      <c r="C214" s="89" t="s">
        <v>144</v>
      </c>
      <c r="D214" s="89" t="s">
        <v>145</v>
      </c>
      <c r="E214" s="54" t="s">
        <v>146</v>
      </c>
      <c r="F214" s="9"/>
      <c r="G214" s="54" t="s">
        <v>523</v>
      </c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9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1"/>
      <c r="B215" s="11"/>
      <c r="C215" s="11"/>
      <c r="D215" s="11"/>
      <c r="E215" s="80" t="s">
        <v>64</v>
      </c>
      <c r="F215" s="80" t="s">
        <v>148</v>
      </c>
      <c r="G215" s="80" t="s">
        <v>100</v>
      </c>
      <c r="H215" s="80" t="s">
        <v>101</v>
      </c>
      <c r="I215" s="80" t="s">
        <v>102</v>
      </c>
      <c r="J215" s="80" t="s">
        <v>103</v>
      </c>
      <c r="K215" s="80" t="s">
        <v>83</v>
      </c>
      <c r="L215" s="80" t="s">
        <v>104</v>
      </c>
      <c r="M215" s="80" t="s">
        <v>105</v>
      </c>
      <c r="N215" s="80" t="s">
        <v>106</v>
      </c>
      <c r="O215" s="80" t="s">
        <v>107</v>
      </c>
      <c r="P215" s="80" t="s">
        <v>108</v>
      </c>
      <c r="Q215" s="80" t="s">
        <v>109</v>
      </c>
      <c r="R215" s="96" t="s">
        <v>110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2">
        <v>1.0</v>
      </c>
      <c r="B216" s="92">
        <v>2.0</v>
      </c>
      <c r="C216" s="92">
        <v>3.0</v>
      </c>
      <c r="D216" s="92">
        <v>4.0</v>
      </c>
      <c r="E216" s="92">
        <v>5.0</v>
      </c>
      <c r="F216" s="92">
        <v>6.0</v>
      </c>
      <c r="G216" s="92">
        <v>7.0</v>
      </c>
      <c r="H216" s="92">
        <v>8.0</v>
      </c>
      <c r="I216" s="92">
        <v>9.0</v>
      </c>
      <c r="J216" s="92">
        <v>10.0</v>
      </c>
      <c r="K216" s="92">
        <v>11.0</v>
      </c>
      <c r="L216" s="92">
        <v>12.0</v>
      </c>
      <c r="M216" s="92">
        <v>13.0</v>
      </c>
      <c r="N216" s="92">
        <v>14.0</v>
      </c>
      <c r="O216" s="92">
        <v>15.0</v>
      </c>
      <c r="P216" s="92">
        <v>16.0</v>
      </c>
      <c r="Q216" s="92">
        <v>17.0</v>
      </c>
      <c r="R216" s="92">
        <v>18.0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6">
        <v>1.0</v>
      </c>
      <c r="B217" s="104" t="s">
        <v>524</v>
      </c>
      <c r="C217" s="96" t="s">
        <v>77</v>
      </c>
      <c r="D217" s="105">
        <v>21724.0</v>
      </c>
      <c r="E217" s="98"/>
      <c r="F217" s="104" t="s">
        <v>525</v>
      </c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6">
        <f t="shared" ref="A218:A519" si="2">A217+1</f>
        <v>2</v>
      </c>
      <c r="B218" s="104" t="s">
        <v>526</v>
      </c>
      <c r="C218" s="96" t="s">
        <v>78</v>
      </c>
      <c r="D218" s="105">
        <v>23207.0</v>
      </c>
      <c r="E218" s="98"/>
      <c r="F218" s="104" t="s">
        <v>164</v>
      </c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6">
        <f t="shared" si="2"/>
        <v>3</v>
      </c>
      <c r="B219" s="104" t="s">
        <v>527</v>
      </c>
      <c r="C219" s="96" t="s">
        <v>77</v>
      </c>
      <c r="D219" s="105">
        <v>19724.0</v>
      </c>
      <c r="E219" s="98"/>
      <c r="F219" s="104" t="s">
        <v>528</v>
      </c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6">
        <f t="shared" si="2"/>
        <v>4</v>
      </c>
      <c r="B220" s="104" t="s">
        <v>529</v>
      </c>
      <c r="C220" s="96" t="s">
        <v>78</v>
      </c>
      <c r="D220" s="105">
        <v>23872.0</v>
      </c>
      <c r="E220" s="98"/>
      <c r="F220" s="104" t="s">
        <v>530</v>
      </c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6">
        <f t="shared" si="2"/>
        <v>5</v>
      </c>
      <c r="B221" s="104" t="s">
        <v>531</v>
      </c>
      <c r="C221" s="96" t="s">
        <v>77</v>
      </c>
      <c r="D221" s="105">
        <v>26054.0</v>
      </c>
      <c r="E221" s="104" t="s">
        <v>532</v>
      </c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6">
        <f t="shared" si="2"/>
        <v>6</v>
      </c>
      <c r="B222" s="104" t="s">
        <v>533</v>
      </c>
      <c r="C222" s="96" t="s">
        <v>78</v>
      </c>
      <c r="D222" s="105">
        <v>26644.0</v>
      </c>
      <c r="E222" s="104" t="s">
        <v>534</v>
      </c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6">
        <f t="shared" si="2"/>
        <v>7</v>
      </c>
      <c r="B223" s="104" t="s">
        <v>535</v>
      </c>
      <c r="C223" s="96" t="s">
        <v>77</v>
      </c>
      <c r="D223" s="105">
        <v>34036.0</v>
      </c>
      <c r="E223" s="104" t="s">
        <v>536</v>
      </c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6">
        <f t="shared" si="2"/>
        <v>8</v>
      </c>
      <c r="B224" s="104" t="s">
        <v>537</v>
      </c>
      <c r="C224" s="96" t="s">
        <v>78</v>
      </c>
      <c r="D224" s="105">
        <v>35024.0</v>
      </c>
      <c r="E224" s="104" t="s">
        <v>533</v>
      </c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6">
        <f t="shared" si="2"/>
        <v>9</v>
      </c>
      <c r="B225" s="104" t="s">
        <v>538</v>
      </c>
      <c r="C225" s="96" t="s">
        <v>77</v>
      </c>
      <c r="D225" s="105">
        <v>30425.0</v>
      </c>
      <c r="E225" s="98"/>
      <c r="F225" s="104" t="s">
        <v>539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6">
        <f t="shared" si="2"/>
        <v>10</v>
      </c>
      <c r="B226" s="104" t="s">
        <v>540</v>
      </c>
      <c r="C226" s="96" t="s">
        <v>78</v>
      </c>
      <c r="D226" s="105">
        <v>30893.0</v>
      </c>
      <c r="E226" s="98"/>
      <c r="F226" s="104" t="s">
        <v>174</v>
      </c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6">
        <f t="shared" si="2"/>
        <v>11</v>
      </c>
      <c r="B227" s="104" t="s">
        <v>541</v>
      </c>
      <c r="C227" s="96" t="s">
        <v>77</v>
      </c>
      <c r="D227" s="105">
        <v>28709.0</v>
      </c>
      <c r="E227" s="98"/>
      <c r="F227" s="104" t="s">
        <v>542</v>
      </c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6">
        <f t="shared" si="2"/>
        <v>12</v>
      </c>
      <c r="B228" s="104" t="s">
        <v>543</v>
      </c>
      <c r="C228" s="96" t="s">
        <v>78</v>
      </c>
      <c r="D228" s="105">
        <v>28525.0</v>
      </c>
      <c r="E228" s="98"/>
      <c r="F228" s="104" t="s">
        <v>544</v>
      </c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6">
        <f t="shared" si="2"/>
        <v>13</v>
      </c>
      <c r="B229" s="104" t="s">
        <v>545</v>
      </c>
      <c r="C229" s="96" t="s">
        <v>77</v>
      </c>
      <c r="D229" s="105">
        <v>20976.0</v>
      </c>
      <c r="E229" s="104" t="s">
        <v>546</v>
      </c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6">
        <f t="shared" si="2"/>
        <v>14</v>
      </c>
      <c r="B230" s="104" t="s">
        <v>547</v>
      </c>
      <c r="C230" s="96" t="s">
        <v>78</v>
      </c>
      <c r="D230" s="105">
        <v>24169.0</v>
      </c>
      <c r="E230" s="104" t="s">
        <v>548</v>
      </c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6">
        <f t="shared" si="2"/>
        <v>15</v>
      </c>
      <c r="B231" s="104" t="s">
        <v>549</v>
      </c>
      <c r="C231" s="96" t="s">
        <v>78</v>
      </c>
      <c r="D231" s="105">
        <v>33039.0</v>
      </c>
      <c r="E231" s="104" t="s">
        <v>547</v>
      </c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6">
        <f t="shared" si="2"/>
        <v>16</v>
      </c>
      <c r="B232" s="104" t="s">
        <v>550</v>
      </c>
      <c r="C232" s="96" t="s">
        <v>77</v>
      </c>
      <c r="D232" s="105">
        <v>25836.0</v>
      </c>
      <c r="E232" s="104" t="s">
        <v>551</v>
      </c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6">
        <f t="shared" si="2"/>
        <v>17</v>
      </c>
      <c r="B233" s="104" t="s">
        <v>552</v>
      </c>
      <c r="C233" s="96" t="s">
        <v>78</v>
      </c>
      <c r="D233" s="105">
        <v>25950.0</v>
      </c>
      <c r="E233" s="104" t="s">
        <v>553</v>
      </c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6">
        <f t="shared" si="2"/>
        <v>18</v>
      </c>
      <c r="B234" s="104" t="s">
        <v>554</v>
      </c>
      <c r="C234" s="96" t="s">
        <v>77</v>
      </c>
      <c r="D234" s="105">
        <v>35436.0</v>
      </c>
      <c r="E234" s="104" t="s">
        <v>552</v>
      </c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6">
        <f t="shared" si="2"/>
        <v>19</v>
      </c>
      <c r="B235" s="104" t="s">
        <v>555</v>
      </c>
      <c r="C235" s="96" t="s">
        <v>77</v>
      </c>
      <c r="D235" s="105">
        <v>36930.0</v>
      </c>
      <c r="E235" s="104" t="s">
        <v>552</v>
      </c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6">
        <f t="shared" si="2"/>
        <v>20</v>
      </c>
      <c r="B236" s="104" t="s">
        <v>556</v>
      </c>
      <c r="C236" s="96" t="s">
        <v>77</v>
      </c>
      <c r="D236" s="105">
        <v>31220.0</v>
      </c>
      <c r="E236" s="104" t="s">
        <v>557</v>
      </c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6">
        <f t="shared" si="2"/>
        <v>21</v>
      </c>
      <c r="B237" s="104" t="s">
        <v>558</v>
      </c>
      <c r="C237" s="96" t="s">
        <v>78</v>
      </c>
      <c r="D237" s="105">
        <v>34316.0</v>
      </c>
      <c r="E237" s="104" t="s">
        <v>559</v>
      </c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6">
        <f t="shared" si="2"/>
        <v>22</v>
      </c>
      <c r="B238" s="104" t="s">
        <v>560</v>
      </c>
      <c r="C238" s="96" t="s">
        <v>78</v>
      </c>
      <c r="D238" s="105">
        <v>18730.0</v>
      </c>
      <c r="E238" s="104" t="s">
        <v>561</v>
      </c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6">
        <f t="shared" si="2"/>
        <v>23</v>
      </c>
      <c r="B239" s="104" t="s">
        <v>562</v>
      </c>
      <c r="C239" s="96" t="s">
        <v>77</v>
      </c>
      <c r="D239" s="105">
        <v>33243.0</v>
      </c>
      <c r="E239" s="104" t="s">
        <v>563</v>
      </c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6">
        <f t="shared" si="2"/>
        <v>24</v>
      </c>
      <c r="B240" s="104" t="s">
        <v>564</v>
      </c>
      <c r="C240" s="96" t="s">
        <v>78</v>
      </c>
      <c r="D240" s="105">
        <v>31559.0</v>
      </c>
      <c r="E240" s="104" t="s">
        <v>565</v>
      </c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6">
        <f t="shared" si="2"/>
        <v>25</v>
      </c>
      <c r="B241" s="104" t="s">
        <v>566</v>
      </c>
      <c r="C241" s="96" t="s">
        <v>77</v>
      </c>
      <c r="D241" s="105">
        <v>23864.0</v>
      </c>
      <c r="E241" s="104" t="s">
        <v>567</v>
      </c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6">
        <f t="shared" si="2"/>
        <v>26</v>
      </c>
      <c r="B242" s="104" t="s">
        <v>568</v>
      </c>
      <c r="C242" s="96" t="s">
        <v>78</v>
      </c>
      <c r="D242" s="105">
        <v>26748.0</v>
      </c>
      <c r="E242" s="104" t="s">
        <v>569</v>
      </c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6">
        <f t="shared" si="2"/>
        <v>27</v>
      </c>
      <c r="B243" s="104" t="s">
        <v>570</v>
      </c>
      <c r="C243" s="96" t="s">
        <v>77</v>
      </c>
      <c r="D243" s="105">
        <v>35106.0</v>
      </c>
      <c r="E243" s="104" t="s">
        <v>571</v>
      </c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6">
        <f t="shared" si="2"/>
        <v>28</v>
      </c>
      <c r="B244" s="104" t="s">
        <v>572</v>
      </c>
      <c r="C244" s="96" t="s">
        <v>77</v>
      </c>
      <c r="D244" s="105">
        <v>37980.0</v>
      </c>
      <c r="E244" s="104" t="s">
        <v>571</v>
      </c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6">
        <f t="shared" si="2"/>
        <v>29</v>
      </c>
      <c r="B245" s="104" t="s">
        <v>573</v>
      </c>
      <c r="C245" s="96" t="s">
        <v>77</v>
      </c>
      <c r="D245" s="105">
        <v>28126.0</v>
      </c>
      <c r="E245" s="104" t="s">
        <v>574</v>
      </c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6">
        <f t="shared" si="2"/>
        <v>30</v>
      </c>
      <c r="B246" s="104" t="s">
        <v>575</v>
      </c>
      <c r="C246" s="96" t="s">
        <v>78</v>
      </c>
      <c r="D246" s="105">
        <v>30570.0</v>
      </c>
      <c r="E246" s="104" t="s">
        <v>576</v>
      </c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6">
        <f t="shared" si="2"/>
        <v>31</v>
      </c>
      <c r="B247" s="104" t="s">
        <v>577</v>
      </c>
      <c r="C247" s="96" t="s">
        <v>77</v>
      </c>
      <c r="D247" s="105">
        <v>29517.0</v>
      </c>
      <c r="E247" s="98"/>
      <c r="F247" s="104" t="s">
        <v>578</v>
      </c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6">
        <f t="shared" si="2"/>
        <v>32</v>
      </c>
      <c r="B248" s="104" t="s">
        <v>579</v>
      </c>
      <c r="C248" s="96" t="s">
        <v>78</v>
      </c>
      <c r="D248" s="105">
        <v>29749.0</v>
      </c>
      <c r="E248" s="98"/>
      <c r="F248" s="104" t="s">
        <v>580</v>
      </c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6">
        <f t="shared" si="2"/>
        <v>33</v>
      </c>
      <c r="B249" s="104" t="s">
        <v>574</v>
      </c>
      <c r="C249" s="96" t="s">
        <v>78</v>
      </c>
      <c r="D249" s="105">
        <v>18052.0</v>
      </c>
      <c r="E249" s="104" t="s">
        <v>581</v>
      </c>
      <c r="F249" s="104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6">
        <f t="shared" si="2"/>
        <v>34</v>
      </c>
      <c r="B250" s="104" t="s">
        <v>582</v>
      </c>
      <c r="C250" s="96" t="s">
        <v>77</v>
      </c>
      <c r="D250" s="105">
        <v>26736.0</v>
      </c>
      <c r="E250" s="104" t="s">
        <v>583</v>
      </c>
      <c r="F250" s="104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6">
        <f t="shared" si="2"/>
        <v>35</v>
      </c>
      <c r="B251" s="104" t="s">
        <v>584</v>
      </c>
      <c r="C251" s="96" t="s">
        <v>78</v>
      </c>
      <c r="D251" s="105">
        <v>28686.0</v>
      </c>
      <c r="E251" s="104" t="s">
        <v>585</v>
      </c>
      <c r="F251" s="104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6">
        <f t="shared" si="2"/>
        <v>36</v>
      </c>
      <c r="B252" s="104" t="s">
        <v>586</v>
      </c>
      <c r="C252" s="96" t="s">
        <v>77</v>
      </c>
      <c r="D252" s="105">
        <v>25630.0</v>
      </c>
      <c r="E252" s="104" t="s">
        <v>583</v>
      </c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6">
        <f t="shared" si="2"/>
        <v>37</v>
      </c>
      <c r="B253" s="104" t="s">
        <v>587</v>
      </c>
      <c r="C253" s="96" t="s">
        <v>78</v>
      </c>
      <c r="D253" s="105">
        <v>28181.0</v>
      </c>
      <c r="E253" s="104" t="s">
        <v>588</v>
      </c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6">
        <f t="shared" si="2"/>
        <v>38</v>
      </c>
      <c r="B254" s="104" t="s">
        <v>589</v>
      </c>
      <c r="C254" s="96" t="s">
        <v>78</v>
      </c>
      <c r="D254" s="105">
        <v>36399.0</v>
      </c>
      <c r="E254" s="104" t="s">
        <v>587</v>
      </c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6">
        <f t="shared" si="2"/>
        <v>39</v>
      </c>
      <c r="B255" s="104" t="s">
        <v>484</v>
      </c>
      <c r="C255" s="96" t="s">
        <v>77</v>
      </c>
      <c r="D255" s="105">
        <v>33459.0</v>
      </c>
      <c r="E255" s="98"/>
      <c r="F255" s="104" t="s">
        <v>590</v>
      </c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6">
        <f t="shared" si="2"/>
        <v>40</v>
      </c>
      <c r="B256" s="104" t="s">
        <v>483</v>
      </c>
      <c r="C256" s="96" t="s">
        <v>78</v>
      </c>
      <c r="D256" s="105">
        <v>34130.0</v>
      </c>
      <c r="E256" s="98"/>
      <c r="F256" s="104" t="s">
        <v>591</v>
      </c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6">
        <f t="shared" si="2"/>
        <v>41</v>
      </c>
      <c r="B257" s="104" t="s">
        <v>591</v>
      </c>
      <c r="C257" s="96" t="s">
        <v>77</v>
      </c>
      <c r="D257" s="105">
        <v>21424.0</v>
      </c>
      <c r="E257" s="104" t="s">
        <v>592</v>
      </c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6">
        <f t="shared" si="2"/>
        <v>42</v>
      </c>
      <c r="B258" s="104" t="s">
        <v>593</v>
      </c>
      <c r="C258" s="96" t="s">
        <v>78</v>
      </c>
      <c r="D258" s="105">
        <v>26300.0</v>
      </c>
      <c r="E258" s="104" t="s">
        <v>594</v>
      </c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6">
        <f t="shared" si="2"/>
        <v>43</v>
      </c>
      <c r="B259" s="104" t="s">
        <v>595</v>
      </c>
      <c r="C259" s="96" t="s">
        <v>77</v>
      </c>
      <c r="D259" s="105">
        <v>29082.0</v>
      </c>
      <c r="E259" s="104" t="s">
        <v>592</v>
      </c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6">
        <f t="shared" si="2"/>
        <v>44</v>
      </c>
      <c r="B260" s="104" t="s">
        <v>596</v>
      </c>
      <c r="C260" s="96" t="s">
        <v>78</v>
      </c>
      <c r="D260" s="105">
        <v>28992.0</v>
      </c>
      <c r="E260" s="104" t="s">
        <v>597</v>
      </c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6">
        <f t="shared" si="2"/>
        <v>45</v>
      </c>
      <c r="B261" s="104" t="s">
        <v>598</v>
      </c>
      <c r="C261" s="96" t="s">
        <v>77</v>
      </c>
      <c r="D261" s="105">
        <v>31732.0</v>
      </c>
      <c r="E261" s="104" t="s">
        <v>599</v>
      </c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6">
        <f t="shared" si="2"/>
        <v>46</v>
      </c>
      <c r="B262" s="104" t="s">
        <v>600</v>
      </c>
      <c r="C262" s="96" t="s">
        <v>78</v>
      </c>
      <c r="D262" s="105">
        <v>32997.0</v>
      </c>
      <c r="E262" s="104" t="s">
        <v>601</v>
      </c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6">
        <f t="shared" si="2"/>
        <v>47</v>
      </c>
      <c r="B263" s="104" t="s">
        <v>602</v>
      </c>
      <c r="C263" s="96" t="s">
        <v>77</v>
      </c>
      <c r="D263" s="105">
        <v>22543.0</v>
      </c>
      <c r="E263" s="98"/>
      <c r="F263" s="104" t="s">
        <v>603</v>
      </c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6">
        <f t="shared" si="2"/>
        <v>48</v>
      </c>
      <c r="B264" s="104" t="s">
        <v>599</v>
      </c>
      <c r="C264" s="96" t="s">
        <v>78</v>
      </c>
      <c r="D264" s="105">
        <v>24318.0</v>
      </c>
      <c r="E264" s="98"/>
      <c r="F264" s="104" t="s">
        <v>604</v>
      </c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6">
        <f t="shared" si="2"/>
        <v>49</v>
      </c>
      <c r="B265" s="104" t="s">
        <v>605</v>
      </c>
      <c r="C265" s="96" t="s">
        <v>77</v>
      </c>
      <c r="D265" s="105">
        <v>37165.0</v>
      </c>
      <c r="E265" s="98"/>
      <c r="F265" s="104" t="s">
        <v>602</v>
      </c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6">
        <f t="shared" si="2"/>
        <v>50</v>
      </c>
      <c r="B266" s="104" t="s">
        <v>606</v>
      </c>
      <c r="C266" s="96" t="s">
        <v>77</v>
      </c>
      <c r="D266" s="105">
        <v>28469.0</v>
      </c>
      <c r="E266" s="98"/>
      <c r="F266" s="104" t="s">
        <v>607</v>
      </c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6">
        <f t="shared" si="2"/>
        <v>51</v>
      </c>
      <c r="B267" s="104" t="s">
        <v>608</v>
      </c>
      <c r="C267" s="96" t="s">
        <v>78</v>
      </c>
      <c r="D267" s="105">
        <v>28374.0</v>
      </c>
      <c r="E267" s="98"/>
      <c r="F267" s="104" t="s">
        <v>609</v>
      </c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6">
        <f t="shared" si="2"/>
        <v>52</v>
      </c>
      <c r="B268" s="104" t="s">
        <v>610</v>
      </c>
      <c r="C268" s="96" t="s">
        <v>77</v>
      </c>
      <c r="D268" s="105">
        <v>25069.0</v>
      </c>
      <c r="E268" s="104" t="s">
        <v>611</v>
      </c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6">
        <f t="shared" si="2"/>
        <v>53</v>
      </c>
      <c r="B269" s="104" t="s">
        <v>559</v>
      </c>
      <c r="C269" s="96" t="s">
        <v>78</v>
      </c>
      <c r="D269" s="105">
        <v>25509.0</v>
      </c>
      <c r="E269" s="104" t="s">
        <v>612</v>
      </c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6">
        <f t="shared" si="2"/>
        <v>54</v>
      </c>
      <c r="B270" s="104" t="s">
        <v>613</v>
      </c>
      <c r="C270" s="96" t="s">
        <v>77</v>
      </c>
      <c r="D270" s="105">
        <v>37152.0</v>
      </c>
      <c r="E270" s="104" t="s">
        <v>559</v>
      </c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6">
        <f t="shared" si="2"/>
        <v>55</v>
      </c>
      <c r="B271" s="104" t="s">
        <v>614</v>
      </c>
      <c r="C271" s="96" t="s">
        <v>78</v>
      </c>
      <c r="D271" s="105">
        <v>24447.0</v>
      </c>
      <c r="E271" s="104" t="s">
        <v>612</v>
      </c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6">
        <f t="shared" si="2"/>
        <v>56</v>
      </c>
      <c r="B272" s="104" t="s">
        <v>615</v>
      </c>
      <c r="C272" s="96" t="s">
        <v>77</v>
      </c>
      <c r="D272" s="105">
        <v>26727.0</v>
      </c>
      <c r="E272" s="104" t="s">
        <v>616</v>
      </c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6">
        <f t="shared" si="2"/>
        <v>57</v>
      </c>
      <c r="B273" s="104" t="s">
        <v>617</v>
      </c>
      <c r="C273" s="96" t="s">
        <v>78</v>
      </c>
      <c r="D273" s="105">
        <v>28674.0</v>
      </c>
      <c r="E273" s="104" t="s">
        <v>584</v>
      </c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6">
        <f t="shared" si="2"/>
        <v>58</v>
      </c>
      <c r="B274" s="104" t="s">
        <v>618</v>
      </c>
      <c r="C274" s="96" t="s">
        <v>78</v>
      </c>
      <c r="D274" s="105">
        <v>37584.0</v>
      </c>
      <c r="E274" s="104" t="s">
        <v>617</v>
      </c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6">
        <f t="shared" si="2"/>
        <v>59</v>
      </c>
      <c r="B275" s="104" t="s">
        <v>619</v>
      </c>
      <c r="C275" s="96" t="s">
        <v>77</v>
      </c>
      <c r="D275" s="105">
        <v>25725.0</v>
      </c>
      <c r="E275" s="98"/>
      <c r="F275" s="104" t="s">
        <v>620</v>
      </c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6">
        <f t="shared" si="2"/>
        <v>60</v>
      </c>
      <c r="B276" s="104" t="s">
        <v>621</v>
      </c>
      <c r="C276" s="96" t="s">
        <v>78</v>
      </c>
      <c r="D276" s="105">
        <v>25769.0</v>
      </c>
      <c r="E276" s="98"/>
      <c r="F276" s="104" t="s">
        <v>199</v>
      </c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6">
        <f t="shared" si="2"/>
        <v>61</v>
      </c>
      <c r="B277" s="104" t="s">
        <v>622</v>
      </c>
      <c r="C277" s="96" t="s">
        <v>77</v>
      </c>
      <c r="D277" s="105">
        <v>34652.0</v>
      </c>
      <c r="E277" s="98"/>
      <c r="F277" s="104" t="s">
        <v>619</v>
      </c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6">
        <f t="shared" si="2"/>
        <v>62</v>
      </c>
      <c r="B278" s="104" t="s">
        <v>623</v>
      </c>
      <c r="C278" s="96" t="s">
        <v>77</v>
      </c>
      <c r="D278" s="105">
        <v>33167.0</v>
      </c>
      <c r="E278" s="98"/>
      <c r="F278" s="104" t="s">
        <v>619</v>
      </c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6">
        <f t="shared" si="2"/>
        <v>63</v>
      </c>
      <c r="B279" s="104" t="s">
        <v>624</v>
      </c>
      <c r="C279" s="96" t="s">
        <v>78</v>
      </c>
      <c r="D279" s="105">
        <v>33562.0</v>
      </c>
      <c r="E279" s="98"/>
      <c r="F279" s="104" t="s">
        <v>625</v>
      </c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6">
        <f t="shared" si="2"/>
        <v>64</v>
      </c>
      <c r="B280" s="104" t="s">
        <v>626</v>
      </c>
      <c r="C280" s="96" t="s">
        <v>78</v>
      </c>
      <c r="D280" s="105">
        <v>34550.0</v>
      </c>
      <c r="E280" s="98"/>
      <c r="F280" s="104" t="s">
        <v>610</v>
      </c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6">
        <f t="shared" si="2"/>
        <v>65</v>
      </c>
      <c r="B281" s="104" t="s">
        <v>627</v>
      </c>
      <c r="C281" s="96" t="s">
        <v>78</v>
      </c>
      <c r="D281" s="105">
        <v>34500.0</v>
      </c>
      <c r="E281" s="98"/>
      <c r="F281" s="104" t="s">
        <v>628</v>
      </c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6">
        <f t="shared" si="2"/>
        <v>66</v>
      </c>
      <c r="B282" s="104" t="s">
        <v>629</v>
      </c>
      <c r="C282" s="96" t="s">
        <v>78</v>
      </c>
      <c r="D282" s="105">
        <v>11936.0</v>
      </c>
      <c r="E282" s="98"/>
      <c r="F282" s="104" t="s">
        <v>630</v>
      </c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6">
        <f t="shared" si="2"/>
        <v>67</v>
      </c>
      <c r="B283" s="104" t="s">
        <v>631</v>
      </c>
      <c r="C283" s="96" t="s">
        <v>77</v>
      </c>
      <c r="D283" s="105">
        <v>26414.0</v>
      </c>
      <c r="E283" s="98"/>
      <c r="F283" s="104" t="s">
        <v>632</v>
      </c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6">
        <f t="shared" si="2"/>
        <v>68</v>
      </c>
      <c r="B284" s="104" t="s">
        <v>633</v>
      </c>
      <c r="C284" s="96" t="s">
        <v>78</v>
      </c>
      <c r="D284" s="105">
        <v>26428.0</v>
      </c>
      <c r="E284" s="98"/>
      <c r="F284" s="104" t="s">
        <v>634</v>
      </c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6">
        <f t="shared" si="2"/>
        <v>69</v>
      </c>
      <c r="B285" s="104" t="s">
        <v>635</v>
      </c>
      <c r="C285" s="96" t="s">
        <v>77</v>
      </c>
      <c r="D285" s="105">
        <v>36271.0</v>
      </c>
      <c r="E285" s="98"/>
      <c r="F285" s="104" t="s">
        <v>631</v>
      </c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6">
        <f t="shared" si="2"/>
        <v>70</v>
      </c>
      <c r="B286" s="104" t="s">
        <v>636</v>
      </c>
      <c r="C286" s="96" t="s">
        <v>78</v>
      </c>
      <c r="D286" s="105">
        <v>37476.0</v>
      </c>
      <c r="E286" s="98"/>
      <c r="F286" s="104" t="s">
        <v>631</v>
      </c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6">
        <f t="shared" si="2"/>
        <v>71</v>
      </c>
      <c r="B287" s="104" t="s">
        <v>637</v>
      </c>
      <c r="C287" s="96" t="s">
        <v>78</v>
      </c>
      <c r="D287" s="105">
        <v>19116.0</v>
      </c>
      <c r="E287" s="98"/>
      <c r="F287" s="104" t="s">
        <v>638</v>
      </c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6">
        <f t="shared" si="2"/>
        <v>72</v>
      </c>
      <c r="B288" s="104" t="s">
        <v>639</v>
      </c>
      <c r="C288" s="96" t="s">
        <v>77</v>
      </c>
      <c r="D288" s="105">
        <v>23933.0</v>
      </c>
      <c r="E288" s="98"/>
      <c r="F288" s="104" t="s">
        <v>199</v>
      </c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6">
        <f t="shared" si="2"/>
        <v>73</v>
      </c>
      <c r="B289" s="104" t="s">
        <v>640</v>
      </c>
      <c r="C289" s="96" t="s">
        <v>77</v>
      </c>
      <c r="D289" s="105">
        <v>21280.0</v>
      </c>
      <c r="E289" s="98"/>
      <c r="F289" s="104" t="s">
        <v>641</v>
      </c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6">
        <f t="shared" si="2"/>
        <v>74</v>
      </c>
      <c r="B290" s="104" t="s">
        <v>642</v>
      </c>
      <c r="C290" s="96" t="s">
        <v>78</v>
      </c>
      <c r="D290" s="105">
        <v>23392.0</v>
      </c>
      <c r="E290" s="98"/>
      <c r="F290" s="104" t="s">
        <v>643</v>
      </c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6">
        <f t="shared" si="2"/>
        <v>75</v>
      </c>
      <c r="B291" s="104" t="s">
        <v>644</v>
      </c>
      <c r="C291" s="96" t="s">
        <v>77</v>
      </c>
      <c r="D291" s="105">
        <v>30697.0</v>
      </c>
      <c r="E291" s="98"/>
      <c r="F291" s="104" t="s">
        <v>640</v>
      </c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6">
        <f t="shared" si="2"/>
        <v>76</v>
      </c>
      <c r="B292" s="104" t="s">
        <v>645</v>
      </c>
      <c r="C292" s="96" t="s">
        <v>77</v>
      </c>
      <c r="D292" s="105">
        <v>34555.0</v>
      </c>
      <c r="E292" s="98"/>
      <c r="F292" s="104" t="s">
        <v>640</v>
      </c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6">
        <f t="shared" si="2"/>
        <v>77</v>
      </c>
      <c r="B293" s="104" t="s">
        <v>646</v>
      </c>
      <c r="C293" s="96" t="s">
        <v>77</v>
      </c>
      <c r="D293" s="105">
        <v>22473.0</v>
      </c>
      <c r="E293" s="98"/>
      <c r="F293" s="104" t="s">
        <v>647</v>
      </c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6">
        <f t="shared" si="2"/>
        <v>78</v>
      </c>
      <c r="B294" s="104" t="s">
        <v>648</v>
      </c>
      <c r="C294" s="96" t="s">
        <v>77</v>
      </c>
      <c r="D294" s="105">
        <v>37099.0</v>
      </c>
      <c r="E294" s="98"/>
      <c r="F294" s="104" t="s">
        <v>646</v>
      </c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6">
        <f t="shared" si="2"/>
        <v>79</v>
      </c>
      <c r="B295" s="104" t="s">
        <v>434</v>
      </c>
      <c r="C295" s="96" t="s">
        <v>78</v>
      </c>
      <c r="D295" s="105">
        <v>37607.0</v>
      </c>
      <c r="E295" s="98"/>
      <c r="F295" s="104" t="s">
        <v>646</v>
      </c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6">
        <f t="shared" si="2"/>
        <v>80</v>
      </c>
      <c r="B296" s="104" t="s">
        <v>649</v>
      </c>
      <c r="C296" s="96" t="s">
        <v>77</v>
      </c>
      <c r="D296" s="105">
        <v>22808.0</v>
      </c>
      <c r="E296" s="98"/>
      <c r="F296" s="104" t="s">
        <v>607</v>
      </c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6">
        <f t="shared" si="2"/>
        <v>81</v>
      </c>
      <c r="B297" s="104" t="s">
        <v>650</v>
      </c>
      <c r="C297" s="96" t="s">
        <v>78</v>
      </c>
      <c r="D297" s="105">
        <v>32295.0</v>
      </c>
      <c r="E297" s="98"/>
      <c r="F297" s="104" t="s">
        <v>651</v>
      </c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6">
        <f t="shared" si="2"/>
        <v>82</v>
      </c>
      <c r="B298" s="104" t="s">
        <v>652</v>
      </c>
      <c r="C298" s="96" t="s">
        <v>78</v>
      </c>
      <c r="D298" s="105">
        <v>36591.0</v>
      </c>
      <c r="E298" s="98"/>
      <c r="F298" s="104" t="s">
        <v>649</v>
      </c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6">
        <f t="shared" si="2"/>
        <v>83</v>
      </c>
      <c r="B299" s="104" t="s">
        <v>203</v>
      </c>
      <c r="C299" s="96" t="s">
        <v>77</v>
      </c>
      <c r="D299" s="105">
        <v>32987.0</v>
      </c>
      <c r="E299" s="98"/>
      <c r="F299" s="104" t="s">
        <v>649</v>
      </c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6">
        <f t="shared" si="2"/>
        <v>84</v>
      </c>
      <c r="B300" s="104" t="s">
        <v>653</v>
      </c>
      <c r="C300" s="96" t="s">
        <v>78</v>
      </c>
      <c r="D300" s="105">
        <v>36235.0</v>
      </c>
      <c r="E300" s="98"/>
      <c r="F300" s="104" t="s">
        <v>649</v>
      </c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6">
        <f t="shared" si="2"/>
        <v>85</v>
      </c>
      <c r="B301" s="104" t="s">
        <v>654</v>
      </c>
      <c r="C301" s="96" t="s">
        <v>78</v>
      </c>
      <c r="D301" s="105">
        <v>12960.0</v>
      </c>
      <c r="E301" s="104" t="s">
        <v>655</v>
      </c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6">
        <f t="shared" si="2"/>
        <v>86</v>
      </c>
      <c r="B302" s="104" t="s">
        <v>656</v>
      </c>
      <c r="C302" s="96" t="s">
        <v>77</v>
      </c>
      <c r="D302" s="105">
        <v>34929.0</v>
      </c>
      <c r="E302" s="104" t="s">
        <v>657</v>
      </c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6">
        <f t="shared" si="2"/>
        <v>87</v>
      </c>
      <c r="B303" s="104" t="s">
        <v>658</v>
      </c>
      <c r="C303" s="96" t="s">
        <v>77</v>
      </c>
      <c r="D303" s="105">
        <v>25385.0</v>
      </c>
      <c r="E303" s="104" t="s">
        <v>654</v>
      </c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6">
        <f t="shared" si="2"/>
        <v>88</v>
      </c>
      <c r="B304" s="104" t="s">
        <v>659</v>
      </c>
      <c r="C304" s="96" t="s">
        <v>78</v>
      </c>
      <c r="D304" s="105">
        <v>26094.0</v>
      </c>
      <c r="E304" s="104" t="s">
        <v>660</v>
      </c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6">
        <f t="shared" si="2"/>
        <v>89</v>
      </c>
      <c r="B305" s="104" t="s">
        <v>661</v>
      </c>
      <c r="C305" s="96" t="s">
        <v>77</v>
      </c>
      <c r="D305" s="105">
        <v>34829.0</v>
      </c>
      <c r="E305" s="104" t="s">
        <v>659</v>
      </c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6">
        <f t="shared" si="2"/>
        <v>90</v>
      </c>
      <c r="B306" s="104" t="s">
        <v>662</v>
      </c>
      <c r="C306" s="96" t="s">
        <v>77</v>
      </c>
      <c r="D306" s="105">
        <v>23964.0</v>
      </c>
      <c r="E306" s="104" t="s">
        <v>663</v>
      </c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6">
        <f t="shared" si="2"/>
        <v>91</v>
      </c>
      <c r="B307" s="104" t="s">
        <v>664</v>
      </c>
      <c r="C307" s="96" t="s">
        <v>78</v>
      </c>
      <c r="D307" s="105">
        <v>25312.0</v>
      </c>
      <c r="E307" s="104" t="s">
        <v>583</v>
      </c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6">
        <f t="shared" si="2"/>
        <v>92</v>
      </c>
      <c r="B308" s="104" t="s">
        <v>665</v>
      </c>
      <c r="C308" s="96" t="s">
        <v>77</v>
      </c>
      <c r="D308" s="105">
        <v>38051.0</v>
      </c>
      <c r="E308" s="104" t="s">
        <v>664</v>
      </c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6">
        <f t="shared" si="2"/>
        <v>93</v>
      </c>
      <c r="B309" s="104" t="s">
        <v>666</v>
      </c>
      <c r="C309" s="96" t="s">
        <v>77</v>
      </c>
      <c r="D309" s="105">
        <v>35537.0</v>
      </c>
      <c r="E309" s="104" t="s">
        <v>664</v>
      </c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6">
        <f t="shared" si="2"/>
        <v>94</v>
      </c>
      <c r="B310" s="104" t="s">
        <v>667</v>
      </c>
      <c r="C310" s="96" t="s">
        <v>78</v>
      </c>
      <c r="D310" s="105">
        <v>36013.0</v>
      </c>
      <c r="E310" s="104" t="s">
        <v>668</v>
      </c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6">
        <f t="shared" si="2"/>
        <v>95</v>
      </c>
      <c r="B311" s="104" t="s">
        <v>669</v>
      </c>
      <c r="C311" s="96" t="s">
        <v>78</v>
      </c>
      <c r="D311" s="105">
        <v>26428.0</v>
      </c>
      <c r="E311" s="104" t="s">
        <v>670</v>
      </c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6">
        <f t="shared" si="2"/>
        <v>96</v>
      </c>
      <c r="B312" s="104" t="s">
        <v>671</v>
      </c>
      <c r="C312" s="96" t="s">
        <v>78</v>
      </c>
      <c r="D312" s="105">
        <v>35809.0</v>
      </c>
      <c r="E312" s="98"/>
      <c r="F312" s="104" t="s">
        <v>672</v>
      </c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6">
        <f t="shared" si="2"/>
        <v>97</v>
      </c>
      <c r="B313" s="104" t="s">
        <v>673</v>
      </c>
      <c r="C313" s="96" t="s">
        <v>78</v>
      </c>
      <c r="D313" s="105">
        <v>35578.0</v>
      </c>
      <c r="E313" s="98"/>
      <c r="F313" s="104" t="s">
        <v>674</v>
      </c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6">
        <f t="shared" si="2"/>
        <v>98</v>
      </c>
      <c r="B314" s="104" t="s">
        <v>674</v>
      </c>
      <c r="C314" s="96" t="s">
        <v>77</v>
      </c>
      <c r="D314" s="105">
        <v>27618.0</v>
      </c>
      <c r="E314" s="98"/>
      <c r="F314" s="104" t="s">
        <v>675</v>
      </c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6">
        <f t="shared" si="2"/>
        <v>99</v>
      </c>
      <c r="B315" s="104" t="s">
        <v>676</v>
      </c>
      <c r="C315" s="96" t="s">
        <v>77</v>
      </c>
      <c r="D315" s="105">
        <v>22027.0</v>
      </c>
      <c r="E315" s="98"/>
      <c r="F315" s="104" t="s">
        <v>677</v>
      </c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6">
        <f t="shared" si="2"/>
        <v>100</v>
      </c>
      <c r="B316" s="104" t="s">
        <v>678</v>
      </c>
      <c r="C316" s="96" t="s">
        <v>77</v>
      </c>
      <c r="D316" s="105">
        <v>30588.0</v>
      </c>
      <c r="E316" s="98"/>
      <c r="F316" s="104" t="s">
        <v>676</v>
      </c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6">
        <f t="shared" si="2"/>
        <v>101</v>
      </c>
      <c r="B317" s="104" t="s">
        <v>679</v>
      </c>
      <c r="C317" s="96" t="s">
        <v>77</v>
      </c>
      <c r="D317" s="105">
        <v>32994.0</v>
      </c>
      <c r="E317" s="98"/>
      <c r="F317" s="104" t="s">
        <v>680</v>
      </c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6">
        <f t="shared" si="2"/>
        <v>102</v>
      </c>
      <c r="B318" s="104" t="s">
        <v>681</v>
      </c>
      <c r="C318" s="96" t="s">
        <v>78</v>
      </c>
      <c r="D318" s="105">
        <v>33269.0</v>
      </c>
      <c r="E318" s="98"/>
      <c r="F318" s="104" t="s">
        <v>682</v>
      </c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6">
        <f t="shared" si="2"/>
        <v>103</v>
      </c>
      <c r="B319" s="104" t="s">
        <v>683</v>
      </c>
      <c r="C319" s="96" t="s">
        <v>78</v>
      </c>
      <c r="D319" s="105">
        <v>19343.0</v>
      </c>
      <c r="E319" s="104" t="s">
        <v>684</v>
      </c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6">
        <f t="shared" si="2"/>
        <v>104</v>
      </c>
      <c r="B320" s="104" t="s">
        <v>685</v>
      </c>
      <c r="C320" s="96" t="s">
        <v>77</v>
      </c>
      <c r="D320" s="105">
        <v>25791.0</v>
      </c>
      <c r="E320" s="104" t="s">
        <v>686</v>
      </c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6">
        <f t="shared" si="2"/>
        <v>105</v>
      </c>
      <c r="B321" s="104" t="s">
        <v>687</v>
      </c>
      <c r="C321" s="96" t="s">
        <v>78</v>
      </c>
      <c r="D321" s="105">
        <v>26483.0</v>
      </c>
      <c r="E321" s="104" t="s">
        <v>683</v>
      </c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6">
        <f t="shared" si="2"/>
        <v>106</v>
      </c>
      <c r="B322" s="104" t="s">
        <v>688</v>
      </c>
      <c r="C322" s="96" t="s">
        <v>78</v>
      </c>
      <c r="D322" s="105">
        <v>37502.0</v>
      </c>
      <c r="E322" s="104" t="s">
        <v>687</v>
      </c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6">
        <f t="shared" si="2"/>
        <v>107</v>
      </c>
      <c r="B323" s="104" t="s">
        <v>689</v>
      </c>
      <c r="C323" s="96" t="s">
        <v>77</v>
      </c>
      <c r="D323" s="105">
        <v>36246.0</v>
      </c>
      <c r="E323" s="104" t="s">
        <v>617</v>
      </c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6">
        <f t="shared" si="2"/>
        <v>108</v>
      </c>
      <c r="B324" s="104" t="s">
        <v>690</v>
      </c>
      <c r="C324" s="96" t="s">
        <v>78</v>
      </c>
      <c r="D324" s="105">
        <v>35981.0</v>
      </c>
      <c r="E324" s="104" t="s">
        <v>691</v>
      </c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6">
        <f t="shared" si="2"/>
        <v>109</v>
      </c>
      <c r="B325" s="104" t="s">
        <v>692</v>
      </c>
      <c r="C325" s="96" t="s">
        <v>78</v>
      </c>
      <c r="D325" s="105">
        <v>14567.0</v>
      </c>
      <c r="E325" s="104" t="s">
        <v>693</v>
      </c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6">
        <f t="shared" si="2"/>
        <v>110</v>
      </c>
      <c r="B326" s="104" t="s">
        <v>694</v>
      </c>
      <c r="C326" s="96" t="s">
        <v>77</v>
      </c>
      <c r="D326" s="105">
        <v>23630.0</v>
      </c>
      <c r="E326" s="104" t="s">
        <v>695</v>
      </c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6">
        <f t="shared" si="2"/>
        <v>111</v>
      </c>
      <c r="B327" s="104" t="s">
        <v>696</v>
      </c>
      <c r="C327" s="96" t="s">
        <v>78</v>
      </c>
      <c r="D327" s="105">
        <v>25943.0</v>
      </c>
      <c r="E327" s="104" t="s">
        <v>697</v>
      </c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6">
        <f t="shared" si="2"/>
        <v>112</v>
      </c>
      <c r="B328" s="104" t="s">
        <v>698</v>
      </c>
      <c r="C328" s="96" t="s">
        <v>77</v>
      </c>
      <c r="D328" s="105">
        <v>43767.0</v>
      </c>
      <c r="E328" s="98"/>
      <c r="F328" s="104" t="s">
        <v>699</v>
      </c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6">
        <f t="shared" si="2"/>
        <v>113</v>
      </c>
      <c r="B329" s="104" t="s">
        <v>700</v>
      </c>
      <c r="C329" s="96" t="s">
        <v>77</v>
      </c>
      <c r="D329" s="105">
        <v>22103.0</v>
      </c>
      <c r="E329" s="98"/>
      <c r="F329" s="104" t="s">
        <v>701</v>
      </c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6">
        <f t="shared" si="2"/>
        <v>114</v>
      </c>
      <c r="B330" s="104" t="s">
        <v>702</v>
      </c>
      <c r="C330" s="96" t="s">
        <v>78</v>
      </c>
      <c r="D330" s="105">
        <v>23207.0</v>
      </c>
      <c r="E330" s="98"/>
      <c r="F330" s="104" t="s">
        <v>634</v>
      </c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6">
        <f t="shared" si="2"/>
        <v>115</v>
      </c>
      <c r="B331" s="104" t="s">
        <v>703</v>
      </c>
      <c r="C331" s="96" t="s">
        <v>77</v>
      </c>
      <c r="D331" s="105">
        <v>30068.0</v>
      </c>
      <c r="E331" s="98"/>
      <c r="F331" s="104" t="s">
        <v>700</v>
      </c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6">
        <f t="shared" si="2"/>
        <v>116</v>
      </c>
      <c r="B332" s="104" t="s">
        <v>704</v>
      </c>
      <c r="C332" s="96" t="s">
        <v>77</v>
      </c>
      <c r="D332" s="105">
        <v>27123.0</v>
      </c>
      <c r="E332" s="98"/>
      <c r="F332" s="104" t="s">
        <v>701</v>
      </c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6">
        <f t="shared" si="2"/>
        <v>117</v>
      </c>
      <c r="B333" s="104" t="s">
        <v>705</v>
      </c>
      <c r="C333" s="96" t="s">
        <v>78</v>
      </c>
      <c r="D333" s="105">
        <v>30291.0</v>
      </c>
      <c r="E333" s="98"/>
      <c r="F333" s="104" t="s">
        <v>706</v>
      </c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6">
        <f t="shared" si="2"/>
        <v>118</v>
      </c>
      <c r="B334" s="104" t="s">
        <v>707</v>
      </c>
      <c r="C334" s="96" t="s">
        <v>77</v>
      </c>
      <c r="D334" s="105">
        <v>26168.0</v>
      </c>
      <c r="E334" s="104" t="s">
        <v>708</v>
      </c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6">
        <f t="shared" si="2"/>
        <v>119</v>
      </c>
      <c r="B335" s="104" t="s">
        <v>709</v>
      </c>
      <c r="C335" s="96" t="s">
        <v>78</v>
      </c>
      <c r="D335" s="105">
        <v>27226.0</v>
      </c>
      <c r="E335" s="104" t="s">
        <v>633</v>
      </c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6">
        <f t="shared" si="2"/>
        <v>120</v>
      </c>
      <c r="B336" s="104" t="s">
        <v>710</v>
      </c>
      <c r="C336" s="96" t="s">
        <v>78</v>
      </c>
      <c r="D336" s="105">
        <v>33434.0</v>
      </c>
      <c r="E336" s="104" t="s">
        <v>709</v>
      </c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6">
        <f t="shared" si="2"/>
        <v>121</v>
      </c>
      <c r="B337" s="104" t="s">
        <v>711</v>
      </c>
      <c r="C337" s="96" t="s">
        <v>77</v>
      </c>
      <c r="D337" s="105">
        <v>35110.0</v>
      </c>
      <c r="E337" s="104" t="s">
        <v>709</v>
      </c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6">
        <f t="shared" si="2"/>
        <v>122</v>
      </c>
      <c r="B338" s="104" t="s">
        <v>712</v>
      </c>
      <c r="C338" s="96" t="s">
        <v>78</v>
      </c>
      <c r="D338" s="105">
        <v>36605.0</v>
      </c>
      <c r="E338" s="104" t="s">
        <v>709</v>
      </c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6">
        <f t="shared" si="2"/>
        <v>123</v>
      </c>
      <c r="B339" s="104" t="s">
        <v>713</v>
      </c>
      <c r="C339" s="96" t="s">
        <v>77</v>
      </c>
      <c r="D339" s="105">
        <v>37064.0</v>
      </c>
      <c r="E339" s="104" t="s">
        <v>709</v>
      </c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6">
        <f t="shared" si="2"/>
        <v>124</v>
      </c>
      <c r="B340" s="104" t="s">
        <v>714</v>
      </c>
      <c r="C340" s="96" t="s">
        <v>77</v>
      </c>
      <c r="D340" s="105">
        <v>22296.0</v>
      </c>
      <c r="E340" s="104" t="s">
        <v>715</v>
      </c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6">
        <f t="shared" si="2"/>
        <v>125</v>
      </c>
      <c r="B341" s="104" t="s">
        <v>716</v>
      </c>
      <c r="C341" s="96" t="s">
        <v>78</v>
      </c>
      <c r="D341" s="105">
        <v>22838.0</v>
      </c>
      <c r="E341" s="104" t="s">
        <v>592</v>
      </c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6">
        <f t="shared" si="2"/>
        <v>126</v>
      </c>
      <c r="B342" s="104" t="s">
        <v>717</v>
      </c>
      <c r="C342" s="96" t="s">
        <v>77</v>
      </c>
      <c r="D342" s="105">
        <v>34413.0</v>
      </c>
      <c r="E342" s="104" t="s">
        <v>716</v>
      </c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6">
        <f t="shared" si="2"/>
        <v>127</v>
      </c>
      <c r="B343" s="104" t="s">
        <v>327</v>
      </c>
      <c r="C343" s="96" t="s">
        <v>77</v>
      </c>
      <c r="D343" s="105">
        <v>29354.0</v>
      </c>
      <c r="E343" s="104" t="s">
        <v>718</v>
      </c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6">
        <f t="shared" si="2"/>
        <v>128</v>
      </c>
      <c r="B344" s="104" t="s">
        <v>719</v>
      </c>
      <c r="C344" s="96" t="s">
        <v>78</v>
      </c>
      <c r="D344" s="105">
        <v>31213.0</v>
      </c>
      <c r="E344" s="104" t="s">
        <v>720</v>
      </c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6">
        <f t="shared" si="2"/>
        <v>129</v>
      </c>
      <c r="B345" s="104" t="s">
        <v>721</v>
      </c>
      <c r="C345" s="96" t="s">
        <v>77</v>
      </c>
      <c r="D345" s="105">
        <v>23439.0</v>
      </c>
      <c r="E345" s="98"/>
      <c r="F345" s="104" t="s">
        <v>722</v>
      </c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6">
        <f t="shared" si="2"/>
        <v>130</v>
      </c>
      <c r="B346" s="104" t="s">
        <v>715</v>
      </c>
      <c r="C346" s="96" t="s">
        <v>78</v>
      </c>
      <c r="D346" s="105">
        <v>25014.0</v>
      </c>
      <c r="E346" s="98"/>
      <c r="F346" s="104" t="s">
        <v>604</v>
      </c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6">
        <f t="shared" si="2"/>
        <v>131</v>
      </c>
      <c r="B347" s="104" t="s">
        <v>723</v>
      </c>
      <c r="C347" s="96" t="s">
        <v>78</v>
      </c>
      <c r="D347" s="105">
        <v>36671.0</v>
      </c>
      <c r="E347" s="98"/>
      <c r="F347" s="104" t="s">
        <v>721</v>
      </c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6">
        <f t="shared" si="2"/>
        <v>132</v>
      </c>
      <c r="B348" s="104" t="s">
        <v>724</v>
      </c>
      <c r="C348" s="96" t="s">
        <v>77</v>
      </c>
      <c r="D348" s="105">
        <v>23240.0</v>
      </c>
      <c r="E348" s="98"/>
      <c r="F348" s="104" t="s">
        <v>725</v>
      </c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6">
        <f t="shared" si="2"/>
        <v>133</v>
      </c>
      <c r="B349" s="104" t="s">
        <v>489</v>
      </c>
      <c r="C349" s="96" t="s">
        <v>78</v>
      </c>
      <c r="D349" s="105">
        <v>22948.0</v>
      </c>
      <c r="E349" s="98"/>
      <c r="F349" s="104" t="s">
        <v>726</v>
      </c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6">
        <f t="shared" si="2"/>
        <v>134</v>
      </c>
      <c r="B350" s="104" t="s">
        <v>727</v>
      </c>
      <c r="C350" s="96" t="s">
        <v>77</v>
      </c>
      <c r="D350" s="105">
        <v>34415.0</v>
      </c>
      <c r="E350" s="98"/>
      <c r="F350" s="104" t="s">
        <v>724</v>
      </c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6">
        <f t="shared" si="2"/>
        <v>135</v>
      </c>
      <c r="B351" s="104" t="s">
        <v>728</v>
      </c>
      <c r="C351" s="96" t="s">
        <v>78</v>
      </c>
      <c r="D351" s="105">
        <v>36802.0</v>
      </c>
      <c r="E351" s="98"/>
      <c r="F351" s="104" t="s">
        <v>724</v>
      </c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6">
        <f t="shared" si="2"/>
        <v>136</v>
      </c>
      <c r="B352" s="104" t="s">
        <v>729</v>
      </c>
      <c r="C352" s="96" t="s">
        <v>78</v>
      </c>
      <c r="D352" s="105">
        <v>33604.0</v>
      </c>
      <c r="E352" s="98"/>
      <c r="F352" s="104" t="s">
        <v>724</v>
      </c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6">
        <f t="shared" si="2"/>
        <v>137</v>
      </c>
      <c r="B353" s="104" t="s">
        <v>730</v>
      </c>
      <c r="C353" s="96" t="s">
        <v>78</v>
      </c>
      <c r="D353" s="105">
        <v>32892.0</v>
      </c>
      <c r="E353" s="98"/>
      <c r="F353" s="104" t="s">
        <v>731</v>
      </c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6">
        <f t="shared" si="2"/>
        <v>138</v>
      </c>
      <c r="B354" s="104" t="s">
        <v>732</v>
      </c>
      <c r="C354" s="96" t="s">
        <v>78</v>
      </c>
      <c r="D354" s="105">
        <v>28647.0</v>
      </c>
      <c r="E354" s="104" t="s">
        <v>565</v>
      </c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6">
        <f t="shared" si="2"/>
        <v>139</v>
      </c>
      <c r="B355" s="104" t="s">
        <v>733</v>
      </c>
      <c r="C355" s="96" t="s">
        <v>77</v>
      </c>
      <c r="D355" s="105">
        <v>37434.0</v>
      </c>
      <c r="E355" s="104" t="s">
        <v>732</v>
      </c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6">
        <f t="shared" si="2"/>
        <v>140</v>
      </c>
      <c r="B356" s="104" t="s">
        <v>734</v>
      </c>
      <c r="C356" s="96" t="s">
        <v>77</v>
      </c>
      <c r="D356" s="105">
        <v>39671.0</v>
      </c>
      <c r="E356" s="104" t="s">
        <v>732</v>
      </c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6">
        <f t="shared" si="2"/>
        <v>141</v>
      </c>
      <c r="B357" s="104" t="s">
        <v>735</v>
      </c>
      <c r="C357" s="96" t="s">
        <v>77</v>
      </c>
      <c r="D357" s="105">
        <v>31702.0</v>
      </c>
      <c r="E357" s="104" t="s">
        <v>736</v>
      </c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6">
        <f t="shared" si="2"/>
        <v>142</v>
      </c>
      <c r="B358" s="104" t="s">
        <v>737</v>
      </c>
      <c r="C358" s="96" t="s">
        <v>78</v>
      </c>
      <c r="D358" s="105">
        <v>29658.0</v>
      </c>
      <c r="E358" s="104" t="s">
        <v>738</v>
      </c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6">
        <f t="shared" si="2"/>
        <v>143</v>
      </c>
      <c r="B359" s="104" t="s">
        <v>739</v>
      </c>
      <c r="C359" s="96" t="s">
        <v>78</v>
      </c>
      <c r="D359" s="105">
        <v>39632.0</v>
      </c>
      <c r="E359" s="104" t="s">
        <v>737</v>
      </c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6">
        <f t="shared" si="2"/>
        <v>144</v>
      </c>
      <c r="B360" s="104" t="s">
        <v>740</v>
      </c>
      <c r="C360" s="96" t="s">
        <v>77</v>
      </c>
      <c r="D360" s="105">
        <v>31906.0</v>
      </c>
      <c r="E360" s="104" t="s">
        <v>738</v>
      </c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6">
        <f t="shared" si="2"/>
        <v>145</v>
      </c>
      <c r="B361" s="104" t="s">
        <v>741</v>
      </c>
      <c r="C361" s="96" t="s">
        <v>77</v>
      </c>
      <c r="D361" s="105">
        <v>33094.0</v>
      </c>
      <c r="E361" s="104" t="s">
        <v>702</v>
      </c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6">
        <f t="shared" si="2"/>
        <v>146</v>
      </c>
      <c r="B362" s="104" t="s">
        <v>356</v>
      </c>
      <c r="C362" s="96" t="s">
        <v>78</v>
      </c>
      <c r="D362" s="105">
        <v>33838.0</v>
      </c>
      <c r="E362" s="104" t="s">
        <v>742</v>
      </c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6">
        <f t="shared" si="2"/>
        <v>147</v>
      </c>
      <c r="B363" s="104" t="s">
        <v>743</v>
      </c>
      <c r="C363" s="96" t="s">
        <v>77</v>
      </c>
      <c r="D363" s="105">
        <v>31175.0</v>
      </c>
      <c r="E363" s="104"/>
      <c r="F363" s="104" t="s">
        <v>744</v>
      </c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6">
        <f t="shared" si="2"/>
        <v>148</v>
      </c>
      <c r="B364" s="104" t="s">
        <v>745</v>
      </c>
      <c r="C364" s="96" t="s">
        <v>78</v>
      </c>
      <c r="D364" s="105">
        <v>31882.0</v>
      </c>
      <c r="E364" s="104"/>
      <c r="F364" s="104" t="s">
        <v>746</v>
      </c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6">
        <f t="shared" si="2"/>
        <v>149</v>
      </c>
      <c r="B365" s="104" t="s">
        <v>747</v>
      </c>
      <c r="C365" s="96" t="s">
        <v>77</v>
      </c>
      <c r="D365" s="105">
        <v>25905.0</v>
      </c>
      <c r="E365" s="104"/>
      <c r="F365" s="104" t="s">
        <v>748</v>
      </c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6">
        <f t="shared" si="2"/>
        <v>150</v>
      </c>
      <c r="B366" s="104" t="s">
        <v>687</v>
      </c>
      <c r="C366" s="96" t="s">
        <v>78</v>
      </c>
      <c r="D366" s="105">
        <v>30114.0</v>
      </c>
      <c r="E366" s="104"/>
      <c r="F366" s="104" t="s">
        <v>749</v>
      </c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6">
        <f t="shared" si="2"/>
        <v>151</v>
      </c>
      <c r="B367" s="104" t="s">
        <v>750</v>
      </c>
      <c r="C367" s="96" t="s">
        <v>78</v>
      </c>
      <c r="D367" s="105">
        <v>38136.0</v>
      </c>
      <c r="E367" s="104"/>
      <c r="F367" s="104" t="s">
        <v>747</v>
      </c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6">
        <f t="shared" si="2"/>
        <v>152</v>
      </c>
      <c r="B368" s="104" t="s">
        <v>751</v>
      </c>
      <c r="C368" s="96" t="s">
        <v>78</v>
      </c>
      <c r="D368" s="105">
        <v>14946.0</v>
      </c>
      <c r="E368" s="98"/>
      <c r="F368" s="104" t="s">
        <v>752</v>
      </c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6">
        <f t="shared" si="2"/>
        <v>153</v>
      </c>
      <c r="B369" s="104" t="s">
        <v>744</v>
      </c>
      <c r="C369" s="96" t="s">
        <v>77</v>
      </c>
      <c r="D369" s="105">
        <v>21706.0</v>
      </c>
      <c r="E369" s="98"/>
      <c r="F369" s="104" t="s">
        <v>753</v>
      </c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96">
        <f t="shared" si="2"/>
        <v>154</v>
      </c>
      <c r="B370" s="104" t="s">
        <v>754</v>
      </c>
      <c r="C370" s="96" t="s">
        <v>78</v>
      </c>
      <c r="D370" s="105">
        <v>23998.0</v>
      </c>
      <c r="E370" s="98"/>
      <c r="F370" s="104" t="s">
        <v>755</v>
      </c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96">
        <f t="shared" si="2"/>
        <v>155</v>
      </c>
      <c r="B371" s="104" t="s">
        <v>756</v>
      </c>
      <c r="C371" s="96" t="s">
        <v>77</v>
      </c>
      <c r="D371" s="105">
        <v>34269.0</v>
      </c>
      <c r="E371" s="98"/>
      <c r="F371" s="104" t="s">
        <v>757</v>
      </c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96">
        <f t="shared" si="2"/>
        <v>156</v>
      </c>
      <c r="B372" s="104" t="s">
        <v>758</v>
      </c>
      <c r="C372" s="96" t="s">
        <v>78</v>
      </c>
      <c r="D372" s="105">
        <v>35111.0</v>
      </c>
      <c r="E372" s="98"/>
      <c r="F372" s="104" t="s">
        <v>602</v>
      </c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96">
        <f t="shared" si="2"/>
        <v>157</v>
      </c>
      <c r="B373" s="104" t="s">
        <v>759</v>
      </c>
      <c r="C373" s="96" t="s">
        <v>77</v>
      </c>
      <c r="D373" s="105">
        <v>23012.0</v>
      </c>
      <c r="E373" s="98"/>
      <c r="F373" s="104" t="s">
        <v>760</v>
      </c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96">
        <f t="shared" si="2"/>
        <v>158</v>
      </c>
      <c r="B374" s="104" t="s">
        <v>536</v>
      </c>
      <c r="C374" s="96" t="s">
        <v>78</v>
      </c>
      <c r="D374" s="105">
        <v>22892.0</v>
      </c>
      <c r="E374" s="98"/>
      <c r="F374" s="104" t="s">
        <v>761</v>
      </c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96">
        <f t="shared" si="2"/>
        <v>159</v>
      </c>
      <c r="B375" s="104" t="s">
        <v>762</v>
      </c>
      <c r="C375" s="96" t="s">
        <v>77</v>
      </c>
      <c r="D375" s="105">
        <v>22918.0</v>
      </c>
      <c r="E375" s="98"/>
      <c r="F375" s="104" t="s">
        <v>763</v>
      </c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6">
        <f t="shared" si="2"/>
        <v>160</v>
      </c>
      <c r="B376" s="104" t="s">
        <v>764</v>
      </c>
      <c r="C376" s="96" t="s">
        <v>78</v>
      </c>
      <c r="D376" s="105">
        <v>23299.0</v>
      </c>
      <c r="E376" s="98"/>
      <c r="F376" s="104" t="s">
        <v>765</v>
      </c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6">
        <f t="shared" si="2"/>
        <v>161</v>
      </c>
      <c r="B377" s="104" t="s">
        <v>766</v>
      </c>
      <c r="C377" s="96" t="s">
        <v>77</v>
      </c>
      <c r="D377" s="105">
        <v>35914.0</v>
      </c>
      <c r="E377" s="98"/>
      <c r="F377" s="104" t="s">
        <v>762</v>
      </c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6">
        <f t="shared" si="2"/>
        <v>162</v>
      </c>
      <c r="B378" s="104" t="s">
        <v>767</v>
      </c>
      <c r="C378" s="96" t="s">
        <v>77</v>
      </c>
      <c r="D378" s="105">
        <v>27489.0</v>
      </c>
      <c r="E378" s="98"/>
      <c r="F378" s="104" t="s">
        <v>768</v>
      </c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6">
        <f t="shared" si="2"/>
        <v>163</v>
      </c>
      <c r="B379" s="104" t="s">
        <v>769</v>
      </c>
      <c r="C379" s="96" t="s">
        <v>78</v>
      </c>
      <c r="D379" s="105">
        <v>29406.0</v>
      </c>
      <c r="E379" s="98"/>
      <c r="F379" s="104" t="s">
        <v>770</v>
      </c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6">
        <f t="shared" si="2"/>
        <v>164</v>
      </c>
      <c r="B380" s="104" t="s">
        <v>771</v>
      </c>
      <c r="C380" s="96" t="s">
        <v>78</v>
      </c>
      <c r="D380" s="105">
        <v>37445.0</v>
      </c>
      <c r="E380" s="98"/>
      <c r="F380" s="104" t="s">
        <v>767</v>
      </c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6">
        <f t="shared" si="2"/>
        <v>165</v>
      </c>
      <c r="B381" s="104" t="s">
        <v>772</v>
      </c>
      <c r="C381" s="96" t="s">
        <v>77</v>
      </c>
      <c r="D381" s="105">
        <v>32300.0</v>
      </c>
      <c r="E381" s="98"/>
      <c r="F381" s="104" t="s">
        <v>773</v>
      </c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6">
        <f t="shared" si="2"/>
        <v>166</v>
      </c>
      <c r="B382" s="104" t="s">
        <v>774</v>
      </c>
      <c r="C382" s="96" t="s">
        <v>77</v>
      </c>
      <c r="D382" s="105">
        <v>27251.0</v>
      </c>
      <c r="E382" s="98"/>
      <c r="F382" s="104" t="s">
        <v>775</v>
      </c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6">
        <f t="shared" si="2"/>
        <v>167</v>
      </c>
      <c r="B383" s="104" t="s">
        <v>776</v>
      </c>
      <c r="C383" s="96" t="s">
        <v>78</v>
      </c>
      <c r="D383" s="105">
        <v>30391.0</v>
      </c>
      <c r="E383" s="98"/>
      <c r="F383" s="104" t="s">
        <v>777</v>
      </c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6">
        <f t="shared" si="2"/>
        <v>168</v>
      </c>
      <c r="B384" s="104" t="s">
        <v>778</v>
      </c>
      <c r="C384" s="96" t="s">
        <v>78</v>
      </c>
      <c r="D384" s="105">
        <v>38501.0</v>
      </c>
      <c r="E384" s="98"/>
      <c r="F384" s="104" t="s">
        <v>774</v>
      </c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6">
        <f t="shared" si="2"/>
        <v>169</v>
      </c>
      <c r="B385" s="104" t="s">
        <v>779</v>
      </c>
      <c r="C385" s="96" t="s">
        <v>77</v>
      </c>
      <c r="D385" s="105">
        <v>41831.0</v>
      </c>
      <c r="E385" s="98"/>
      <c r="F385" s="104" t="s">
        <v>774</v>
      </c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6">
        <f t="shared" si="2"/>
        <v>170</v>
      </c>
      <c r="B386" s="104" t="s">
        <v>780</v>
      </c>
      <c r="C386" s="96" t="s">
        <v>77</v>
      </c>
      <c r="D386" s="105">
        <v>26190.0</v>
      </c>
      <c r="E386" s="98"/>
      <c r="F386" s="104" t="s">
        <v>781</v>
      </c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6">
        <f t="shared" si="2"/>
        <v>171</v>
      </c>
      <c r="B387" s="104" t="s">
        <v>782</v>
      </c>
      <c r="C387" s="96" t="s">
        <v>78</v>
      </c>
      <c r="D387" s="105">
        <v>29229.0</v>
      </c>
      <c r="E387" s="98"/>
      <c r="F387" s="104" t="s">
        <v>783</v>
      </c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6">
        <f t="shared" si="2"/>
        <v>172</v>
      </c>
      <c r="B388" s="104" t="s">
        <v>784</v>
      </c>
      <c r="C388" s="96" t="s">
        <v>77</v>
      </c>
      <c r="D388" s="105">
        <v>35431.0</v>
      </c>
      <c r="E388" s="98"/>
      <c r="F388" s="104" t="s">
        <v>785</v>
      </c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6">
        <f t="shared" si="2"/>
        <v>173</v>
      </c>
      <c r="B389" s="104" t="s">
        <v>786</v>
      </c>
      <c r="C389" s="96" t="s">
        <v>77</v>
      </c>
      <c r="D389" s="105">
        <v>37569.0</v>
      </c>
      <c r="E389" s="98"/>
      <c r="F389" s="104" t="s">
        <v>785</v>
      </c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6">
        <f t="shared" si="2"/>
        <v>174</v>
      </c>
      <c r="B390" s="104" t="s">
        <v>787</v>
      </c>
      <c r="C390" s="96" t="s">
        <v>77</v>
      </c>
      <c r="D390" s="105">
        <v>27576.0</v>
      </c>
      <c r="E390" s="98"/>
      <c r="F390" s="104" t="s">
        <v>788</v>
      </c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6">
        <f t="shared" si="2"/>
        <v>175</v>
      </c>
      <c r="B391" s="104" t="s">
        <v>789</v>
      </c>
      <c r="C391" s="96" t="s">
        <v>78</v>
      </c>
      <c r="D391" s="105">
        <v>31231.0</v>
      </c>
      <c r="E391" s="98"/>
      <c r="F391" s="104" t="s">
        <v>790</v>
      </c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6">
        <f t="shared" si="2"/>
        <v>176</v>
      </c>
      <c r="B392" s="104" t="s">
        <v>791</v>
      </c>
      <c r="C392" s="96" t="s">
        <v>78</v>
      </c>
      <c r="D392" s="105">
        <v>39007.0</v>
      </c>
      <c r="E392" s="98"/>
      <c r="F392" s="104" t="s">
        <v>787</v>
      </c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6">
        <f t="shared" si="2"/>
        <v>177</v>
      </c>
      <c r="B393" s="104" t="s">
        <v>792</v>
      </c>
      <c r="C393" s="96" t="s">
        <v>77</v>
      </c>
      <c r="D393" s="105">
        <v>26672.0</v>
      </c>
      <c r="E393" s="104" t="s">
        <v>716</v>
      </c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6">
        <f t="shared" si="2"/>
        <v>178</v>
      </c>
      <c r="B394" s="104" t="s">
        <v>793</v>
      </c>
      <c r="C394" s="96" t="s">
        <v>78</v>
      </c>
      <c r="D394" s="105">
        <v>27551.0</v>
      </c>
      <c r="E394" s="104" t="s">
        <v>794</v>
      </c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6">
        <f t="shared" si="2"/>
        <v>179</v>
      </c>
      <c r="B395" s="104" t="s">
        <v>795</v>
      </c>
      <c r="C395" s="96" t="s">
        <v>78</v>
      </c>
      <c r="D395" s="105">
        <v>39505.0</v>
      </c>
      <c r="E395" s="104" t="s">
        <v>793</v>
      </c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6">
        <f t="shared" si="2"/>
        <v>180</v>
      </c>
      <c r="B396" s="104" t="s">
        <v>796</v>
      </c>
      <c r="C396" s="96" t="s">
        <v>77</v>
      </c>
      <c r="D396" s="105">
        <v>22854.0</v>
      </c>
      <c r="E396" s="104" t="s">
        <v>797</v>
      </c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6">
        <f t="shared" si="2"/>
        <v>181</v>
      </c>
      <c r="B397" s="104" t="s">
        <v>798</v>
      </c>
      <c r="C397" s="96" t="s">
        <v>78</v>
      </c>
      <c r="D397" s="105">
        <v>25840.0</v>
      </c>
      <c r="E397" s="104" t="s">
        <v>799</v>
      </c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6">
        <f t="shared" si="2"/>
        <v>182</v>
      </c>
      <c r="B398" s="104" t="s">
        <v>800</v>
      </c>
      <c r="C398" s="96" t="s">
        <v>77</v>
      </c>
      <c r="D398" s="105">
        <v>36329.0</v>
      </c>
      <c r="E398" s="104" t="s">
        <v>798</v>
      </c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96">
        <f t="shared" si="2"/>
        <v>183</v>
      </c>
      <c r="B399" s="104" t="s">
        <v>801</v>
      </c>
      <c r="C399" s="96" t="s">
        <v>77</v>
      </c>
      <c r="D399" s="105">
        <v>38616.0</v>
      </c>
      <c r="E399" s="104" t="s">
        <v>798</v>
      </c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96">
        <f t="shared" si="2"/>
        <v>184</v>
      </c>
      <c r="B400" s="104" t="s">
        <v>802</v>
      </c>
      <c r="C400" s="96" t="s">
        <v>77</v>
      </c>
      <c r="D400" s="105">
        <v>25370.0</v>
      </c>
      <c r="E400" s="104" t="s">
        <v>803</v>
      </c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6">
        <f t="shared" si="2"/>
        <v>185</v>
      </c>
      <c r="B401" s="104" t="s">
        <v>584</v>
      </c>
      <c r="C401" s="96" t="s">
        <v>78</v>
      </c>
      <c r="D401" s="105">
        <v>31213.0</v>
      </c>
      <c r="E401" s="104" t="s">
        <v>804</v>
      </c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6">
        <f t="shared" si="2"/>
        <v>186</v>
      </c>
      <c r="B402" s="104" t="s">
        <v>805</v>
      </c>
      <c r="C402" s="96" t="s">
        <v>78</v>
      </c>
      <c r="D402" s="105">
        <v>38752.0</v>
      </c>
      <c r="E402" s="104" t="s">
        <v>584</v>
      </c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6">
        <f t="shared" si="2"/>
        <v>187</v>
      </c>
      <c r="B403" s="104" t="s">
        <v>806</v>
      </c>
      <c r="C403" s="96" t="s">
        <v>77</v>
      </c>
      <c r="D403" s="105">
        <v>20449.0</v>
      </c>
      <c r="E403" s="104" t="s">
        <v>807</v>
      </c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6">
        <f t="shared" si="2"/>
        <v>188</v>
      </c>
      <c r="B404" s="104" t="s">
        <v>808</v>
      </c>
      <c r="C404" s="96" t="s">
        <v>78</v>
      </c>
      <c r="D404" s="105">
        <v>26427.0</v>
      </c>
      <c r="E404" s="104" t="s">
        <v>809</v>
      </c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6">
        <f t="shared" si="2"/>
        <v>189</v>
      </c>
      <c r="B405" s="104" t="s">
        <v>810</v>
      </c>
      <c r="C405" s="96" t="s">
        <v>77</v>
      </c>
      <c r="D405" s="105">
        <v>36122.0</v>
      </c>
      <c r="E405" s="104" t="s">
        <v>808</v>
      </c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6">
        <f t="shared" si="2"/>
        <v>190</v>
      </c>
      <c r="B406" s="104" t="s">
        <v>811</v>
      </c>
      <c r="C406" s="96" t="s">
        <v>77</v>
      </c>
      <c r="D406" s="105">
        <v>33668.0</v>
      </c>
      <c r="E406" s="104" t="s">
        <v>812</v>
      </c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6">
        <f t="shared" si="2"/>
        <v>191</v>
      </c>
      <c r="B407" s="104" t="s">
        <v>813</v>
      </c>
      <c r="C407" s="96" t="s">
        <v>78</v>
      </c>
      <c r="D407" s="105">
        <v>33937.0</v>
      </c>
      <c r="E407" s="104" t="s">
        <v>814</v>
      </c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6">
        <f t="shared" si="2"/>
        <v>192</v>
      </c>
      <c r="B408" s="104" t="s">
        <v>815</v>
      </c>
      <c r="C408" s="96" t="s">
        <v>77</v>
      </c>
      <c r="D408" s="105">
        <v>22505.0</v>
      </c>
      <c r="E408" s="104" t="s">
        <v>816</v>
      </c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6">
        <f t="shared" si="2"/>
        <v>193</v>
      </c>
      <c r="B409" s="104" t="s">
        <v>776</v>
      </c>
      <c r="C409" s="37" t="s">
        <v>78</v>
      </c>
      <c r="D409" s="105">
        <v>23838.0</v>
      </c>
      <c r="E409" s="104" t="s">
        <v>817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6">
        <f t="shared" si="2"/>
        <v>194</v>
      </c>
      <c r="B410" s="104" t="s">
        <v>818</v>
      </c>
      <c r="C410" s="37" t="s">
        <v>77</v>
      </c>
      <c r="D410" s="105">
        <v>24313.0</v>
      </c>
      <c r="E410" s="104" t="s">
        <v>751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6">
        <f t="shared" si="2"/>
        <v>195</v>
      </c>
      <c r="B411" s="104" t="s">
        <v>819</v>
      </c>
      <c r="C411" s="37" t="s">
        <v>78</v>
      </c>
      <c r="D411" s="105">
        <v>25473.0</v>
      </c>
      <c r="E411" s="104" t="s">
        <v>820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6">
        <f t="shared" si="2"/>
        <v>196</v>
      </c>
      <c r="B412" s="104" t="s">
        <v>821</v>
      </c>
      <c r="C412" s="37" t="s">
        <v>77</v>
      </c>
      <c r="D412" s="105">
        <v>32900.0</v>
      </c>
      <c r="E412" s="104" t="s">
        <v>819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6">
        <f t="shared" si="2"/>
        <v>197</v>
      </c>
      <c r="B413" s="104" t="s">
        <v>822</v>
      </c>
      <c r="C413" s="37" t="s">
        <v>77</v>
      </c>
      <c r="D413" s="105">
        <v>36339.0</v>
      </c>
      <c r="E413" s="104" t="s">
        <v>819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6">
        <f t="shared" si="2"/>
        <v>198</v>
      </c>
      <c r="B414" s="104" t="s">
        <v>823</v>
      </c>
      <c r="C414" s="37" t="s">
        <v>77</v>
      </c>
      <c r="D414" s="105">
        <v>36538.0</v>
      </c>
      <c r="E414" s="104" t="s">
        <v>819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6">
        <f t="shared" si="2"/>
        <v>199</v>
      </c>
      <c r="B415" s="104" t="s">
        <v>824</v>
      </c>
      <c r="C415" s="37" t="s">
        <v>77</v>
      </c>
      <c r="D415" s="105">
        <v>17551.0</v>
      </c>
      <c r="E415" s="104" t="s">
        <v>825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6">
        <f t="shared" si="2"/>
        <v>200</v>
      </c>
      <c r="B416" s="104" t="s">
        <v>826</v>
      </c>
      <c r="C416" s="37" t="s">
        <v>78</v>
      </c>
      <c r="D416" s="105">
        <v>22406.0</v>
      </c>
      <c r="E416" s="104" t="s">
        <v>827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6">
        <f t="shared" si="2"/>
        <v>201</v>
      </c>
      <c r="B417" s="104" t="s">
        <v>828</v>
      </c>
      <c r="C417" s="37" t="s">
        <v>78</v>
      </c>
      <c r="D417" s="105">
        <v>32699.0</v>
      </c>
      <c r="E417" s="104" t="s">
        <v>826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6">
        <f t="shared" si="2"/>
        <v>202</v>
      </c>
      <c r="B418" s="104" t="s">
        <v>829</v>
      </c>
      <c r="C418" s="37" t="s">
        <v>77</v>
      </c>
      <c r="D418" s="105">
        <v>24599.0</v>
      </c>
      <c r="E418" s="104" t="s">
        <v>830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6">
        <f t="shared" si="2"/>
        <v>203</v>
      </c>
      <c r="B419" s="104" t="s">
        <v>831</v>
      </c>
      <c r="C419" s="37" t="s">
        <v>78</v>
      </c>
      <c r="D419" s="105">
        <v>27402.0</v>
      </c>
      <c r="E419" s="104" t="s">
        <v>832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6">
        <f t="shared" si="2"/>
        <v>204</v>
      </c>
      <c r="B420" s="104" t="s">
        <v>833</v>
      </c>
      <c r="C420" s="37" t="s">
        <v>77</v>
      </c>
      <c r="D420" s="105">
        <v>28189.0</v>
      </c>
      <c r="E420" s="104" t="s">
        <v>834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6">
        <f t="shared" si="2"/>
        <v>205</v>
      </c>
      <c r="B421" s="104" t="s">
        <v>835</v>
      </c>
      <c r="C421" s="37" t="s">
        <v>78</v>
      </c>
      <c r="D421" s="105">
        <v>28464.0</v>
      </c>
      <c r="E421" s="104" t="s">
        <v>836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6">
        <f t="shared" si="2"/>
        <v>206</v>
      </c>
      <c r="B422" s="104" t="s">
        <v>837</v>
      </c>
      <c r="C422" s="37" t="s">
        <v>77</v>
      </c>
      <c r="D422" s="105">
        <v>27490.0</v>
      </c>
      <c r="E422" s="104" t="s">
        <v>838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6">
        <f t="shared" si="2"/>
        <v>207</v>
      </c>
      <c r="B423" s="104" t="s">
        <v>839</v>
      </c>
      <c r="C423" s="37" t="s">
        <v>78</v>
      </c>
      <c r="D423" s="105">
        <v>27965.0</v>
      </c>
      <c r="E423" s="104" t="s">
        <v>840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6">
        <f t="shared" si="2"/>
        <v>208</v>
      </c>
      <c r="B424" s="104" t="s">
        <v>841</v>
      </c>
      <c r="C424" s="37" t="s">
        <v>77</v>
      </c>
      <c r="D424" s="105">
        <v>35511.0</v>
      </c>
      <c r="E424" s="104" t="s">
        <v>839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6">
        <f t="shared" si="2"/>
        <v>209</v>
      </c>
      <c r="B425" s="104" t="s">
        <v>842</v>
      </c>
      <c r="C425" s="37" t="s">
        <v>78</v>
      </c>
      <c r="D425" s="105">
        <v>39118.0</v>
      </c>
      <c r="E425" s="104" t="s">
        <v>839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6">
        <f t="shared" si="2"/>
        <v>210</v>
      </c>
      <c r="B426" s="104" t="s">
        <v>843</v>
      </c>
      <c r="C426" s="37" t="s">
        <v>77</v>
      </c>
      <c r="D426" s="105">
        <v>30545.0</v>
      </c>
      <c r="E426" s="104" t="s">
        <v>844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6">
        <f t="shared" si="2"/>
        <v>211</v>
      </c>
      <c r="B427" s="104" t="s">
        <v>845</v>
      </c>
      <c r="C427" s="37" t="s">
        <v>78</v>
      </c>
      <c r="D427" s="105">
        <v>33491.0</v>
      </c>
      <c r="E427" s="104" t="s">
        <v>808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6">
        <f t="shared" si="2"/>
        <v>212</v>
      </c>
      <c r="B428" s="104" t="s">
        <v>846</v>
      </c>
      <c r="C428" s="37" t="s">
        <v>77</v>
      </c>
      <c r="D428" s="105">
        <v>24242.0</v>
      </c>
      <c r="E428" s="2"/>
      <c r="F428" s="104" t="s">
        <v>847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6">
        <f t="shared" si="2"/>
        <v>213</v>
      </c>
      <c r="B429" s="104" t="s">
        <v>848</v>
      </c>
      <c r="C429" s="37" t="s">
        <v>78</v>
      </c>
      <c r="D429" s="105">
        <v>25740.0</v>
      </c>
      <c r="E429" s="2"/>
      <c r="F429" s="104" t="s">
        <v>849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6">
        <f t="shared" si="2"/>
        <v>214</v>
      </c>
      <c r="B430" s="104" t="s">
        <v>850</v>
      </c>
      <c r="C430" s="37" t="s">
        <v>78</v>
      </c>
      <c r="D430" s="105">
        <v>34608.0</v>
      </c>
      <c r="E430" s="2"/>
      <c r="F430" s="104" t="s">
        <v>851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6">
        <f t="shared" si="2"/>
        <v>215</v>
      </c>
      <c r="B431" s="104" t="s">
        <v>852</v>
      </c>
      <c r="C431" s="37" t="s">
        <v>77</v>
      </c>
      <c r="D431" s="105">
        <v>36247.0</v>
      </c>
      <c r="E431" s="2"/>
      <c r="F431" s="104" t="s">
        <v>851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6">
        <f t="shared" si="2"/>
        <v>216</v>
      </c>
      <c r="B432" s="104" t="s">
        <v>853</v>
      </c>
      <c r="C432" s="37" t="s">
        <v>77</v>
      </c>
      <c r="D432" s="105">
        <v>31417.0</v>
      </c>
      <c r="E432" s="2"/>
      <c r="F432" s="104" t="s">
        <v>854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6">
        <f t="shared" si="2"/>
        <v>217</v>
      </c>
      <c r="B433" s="104" t="s">
        <v>855</v>
      </c>
      <c r="C433" s="37" t="s">
        <v>78</v>
      </c>
      <c r="D433" s="105">
        <v>32458.0</v>
      </c>
      <c r="E433" s="2"/>
      <c r="F433" s="104" t="s">
        <v>856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6">
        <f t="shared" si="2"/>
        <v>218</v>
      </c>
      <c r="B434" s="104" t="s">
        <v>857</v>
      </c>
      <c r="C434" s="37" t="s">
        <v>77</v>
      </c>
      <c r="D434" s="105">
        <v>35099.0</v>
      </c>
      <c r="E434" s="104" t="s">
        <v>858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6">
        <f t="shared" si="2"/>
        <v>219</v>
      </c>
      <c r="B435" s="104" t="s">
        <v>859</v>
      </c>
      <c r="C435" s="37" t="s">
        <v>77</v>
      </c>
      <c r="D435" s="105">
        <v>32587.0</v>
      </c>
      <c r="E435" s="104" t="s">
        <v>860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6">
        <f t="shared" si="2"/>
        <v>220</v>
      </c>
      <c r="B436" s="104" t="s">
        <v>861</v>
      </c>
      <c r="C436" s="37" t="s">
        <v>78</v>
      </c>
      <c r="D436" s="105">
        <v>19856.0</v>
      </c>
      <c r="E436" s="10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6">
        <f t="shared" si="2"/>
        <v>221</v>
      </c>
      <c r="B437" s="104" t="s">
        <v>862</v>
      </c>
      <c r="C437" s="37" t="s">
        <v>77</v>
      </c>
      <c r="D437" s="105">
        <v>12973.0</v>
      </c>
      <c r="E437" s="10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6">
        <f t="shared" si="2"/>
        <v>222</v>
      </c>
      <c r="B438" s="104" t="s">
        <v>861</v>
      </c>
      <c r="C438" s="37" t="s">
        <v>78</v>
      </c>
      <c r="D438" s="105">
        <v>12702.0</v>
      </c>
      <c r="E438" s="10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6">
        <f t="shared" si="2"/>
        <v>223</v>
      </c>
      <c r="B439" s="104" t="s">
        <v>863</v>
      </c>
      <c r="C439" s="37" t="s">
        <v>77</v>
      </c>
      <c r="D439" s="105">
        <v>34793.0</v>
      </c>
      <c r="E439" s="104" t="s">
        <v>864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6">
        <f t="shared" si="2"/>
        <v>224</v>
      </c>
      <c r="B440" s="104" t="s">
        <v>865</v>
      </c>
      <c r="C440" s="37" t="s">
        <v>78</v>
      </c>
      <c r="D440" s="105">
        <v>34795.0</v>
      </c>
      <c r="E440" s="104" t="s">
        <v>866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6">
        <f t="shared" si="2"/>
        <v>225</v>
      </c>
      <c r="B441" s="104" t="s">
        <v>867</v>
      </c>
      <c r="C441" s="37" t="s">
        <v>77</v>
      </c>
      <c r="D441" s="105">
        <v>18337.0</v>
      </c>
      <c r="E441" s="2"/>
      <c r="F441" s="104" t="s">
        <v>761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6">
        <f t="shared" si="2"/>
        <v>226</v>
      </c>
      <c r="B442" s="104" t="s">
        <v>868</v>
      </c>
      <c r="C442" s="37" t="s">
        <v>78</v>
      </c>
      <c r="D442" s="105">
        <v>22357.0</v>
      </c>
      <c r="E442" s="2"/>
      <c r="F442" s="104" t="s">
        <v>869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6">
        <f t="shared" si="2"/>
        <v>227</v>
      </c>
      <c r="B443" s="104" t="s">
        <v>870</v>
      </c>
      <c r="C443" s="37" t="s">
        <v>78</v>
      </c>
      <c r="D443" s="105">
        <v>31322.0</v>
      </c>
      <c r="E443" s="2"/>
      <c r="F443" s="104" t="s">
        <v>867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6">
        <f t="shared" si="2"/>
        <v>228</v>
      </c>
      <c r="B444" s="104" t="s">
        <v>871</v>
      </c>
      <c r="C444" s="37" t="s">
        <v>77</v>
      </c>
      <c r="D444" s="105">
        <v>19557.0</v>
      </c>
      <c r="E444" s="2"/>
      <c r="F444" s="104" t="s">
        <v>872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6">
        <f t="shared" si="2"/>
        <v>229</v>
      </c>
      <c r="B445" s="104" t="s">
        <v>864</v>
      </c>
      <c r="C445" s="37" t="s">
        <v>78</v>
      </c>
      <c r="D445" s="105">
        <v>22462.0</v>
      </c>
      <c r="E445" s="2"/>
      <c r="F445" s="104" t="s">
        <v>748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6">
        <f t="shared" si="2"/>
        <v>230</v>
      </c>
      <c r="B446" s="104" t="s">
        <v>873</v>
      </c>
      <c r="C446" s="37" t="s">
        <v>77</v>
      </c>
      <c r="D446" s="105">
        <v>19456.0</v>
      </c>
      <c r="E446" s="2"/>
      <c r="F446" s="10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6">
        <f t="shared" si="2"/>
        <v>231</v>
      </c>
      <c r="B447" s="104" t="s">
        <v>874</v>
      </c>
      <c r="C447" s="37" t="s">
        <v>78</v>
      </c>
      <c r="D447" s="105">
        <v>21367.0</v>
      </c>
      <c r="E447" s="2"/>
      <c r="F447" s="10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6">
        <f t="shared" si="2"/>
        <v>232</v>
      </c>
      <c r="B448" s="104" t="s">
        <v>875</v>
      </c>
      <c r="C448" s="37" t="s">
        <v>77</v>
      </c>
      <c r="D448" s="105">
        <v>33155.0</v>
      </c>
      <c r="E448" s="2"/>
      <c r="F448" s="104" t="s">
        <v>615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6">
        <f t="shared" si="2"/>
        <v>233</v>
      </c>
      <c r="B449" s="104" t="s">
        <v>876</v>
      </c>
      <c r="C449" s="37" t="s">
        <v>78</v>
      </c>
      <c r="D449" s="105">
        <v>36749.0</v>
      </c>
      <c r="E449" s="2"/>
      <c r="F449" s="104" t="s">
        <v>877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6">
        <f t="shared" si="2"/>
        <v>234</v>
      </c>
      <c r="B450" s="104" t="s">
        <v>878</v>
      </c>
      <c r="C450" s="37" t="s">
        <v>77</v>
      </c>
      <c r="D450" s="105">
        <v>25088.0</v>
      </c>
      <c r="E450" s="2"/>
      <c r="F450" s="104" t="s">
        <v>879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6">
        <f t="shared" si="2"/>
        <v>235</v>
      </c>
      <c r="B451" s="104" t="s">
        <v>776</v>
      </c>
      <c r="C451" s="37" t="s">
        <v>78</v>
      </c>
      <c r="D451" s="105">
        <v>28680.0</v>
      </c>
      <c r="E451" s="2"/>
      <c r="F451" s="104" t="s">
        <v>880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6">
        <f t="shared" si="2"/>
        <v>236</v>
      </c>
      <c r="B452" s="104" t="s">
        <v>881</v>
      </c>
      <c r="C452" s="37" t="s">
        <v>78</v>
      </c>
      <c r="D452" s="105">
        <v>39568.0</v>
      </c>
      <c r="E452" s="2"/>
      <c r="F452" s="104" t="s">
        <v>878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6">
        <f t="shared" si="2"/>
        <v>237</v>
      </c>
      <c r="B453" s="104" t="s">
        <v>882</v>
      </c>
      <c r="C453" s="37" t="s">
        <v>77</v>
      </c>
      <c r="D453" s="105">
        <v>25662.0</v>
      </c>
      <c r="E453" s="2"/>
      <c r="F453" s="104" t="s">
        <v>781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6">
        <f t="shared" si="2"/>
        <v>238</v>
      </c>
      <c r="B454" s="104" t="s">
        <v>883</v>
      </c>
      <c r="C454" s="37" t="s">
        <v>78</v>
      </c>
      <c r="D454" s="105">
        <v>28044.0</v>
      </c>
      <c r="E454" s="2"/>
      <c r="F454" s="104" t="s">
        <v>884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6">
        <f t="shared" si="2"/>
        <v>239</v>
      </c>
      <c r="B455" s="104" t="s">
        <v>885</v>
      </c>
      <c r="C455" s="37" t="s">
        <v>77</v>
      </c>
      <c r="D455" s="105">
        <v>35836.0</v>
      </c>
      <c r="E455" s="2"/>
      <c r="F455" s="104" t="s">
        <v>882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6">
        <f t="shared" si="2"/>
        <v>240</v>
      </c>
      <c r="B456" s="104" t="s">
        <v>886</v>
      </c>
      <c r="C456" s="37" t="s">
        <v>78</v>
      </c>
      <c r="D456" s="105">
        <v>38781.0</v>
      </c>
      <c r="E456" s="2"/>
      <c r="F456" s="104" t="s">
        <v>882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6">
        <f t="shared" si="2"/>
        <v>241</v>
      </c>
      <c r="B457" s="104" t="s">
        <v>887</v>
      </c>
      <c r="C457" s="37" t="s">
        <v>77</v>
      </c>
      <c r="D457" s="105">
        <v>23811.0</v>
      </c>
      <c r="E457" s="2"/>
      <c r="F457" s="104" t="s">
        <v>888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6">
        <f t="shared" si="2"/>
        <v>242</v>
      </c>
      <c r="B458" s="104" t="s">
        <v>889</v>
      </c>
      <c r="C458" s="37" t="s">
        <v>78</v>
      </c>
      <c r="D458" s="105">
        <v>26527.0</v>
      </c>
      <c r="E458" s="2"/>
      <c r="F458" s="104" t="s">
        <v>880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6">
        <f t="shared" si="2"/>
        <v>243</v>
      </c>
      <c r="B459" s="104" t="s">
        <v>890</v>
      </c>
      <c r="C459" s="37" t="s">
        <v>77</v>
      </c>
      <c r="D459" s="105">
        <v>38012.0</v>
      </c>
      <c r="E459" s="2"/>
      <c r="F459" s="104" t="s">
        <v>887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6">
        <f t="shared" si="2"/>
        <v>244</v>
      </c>
      <c r="B460" s="104" t="s">
        <v>891</v>
      </c>
      <c r="C460" s="37" t="s">
        <v>77</v>
      </c>
      <c r="D460" s="105">
        <v>25488.0</v>
      </c>
      <c r="E460" s="2"/>
      <c r="F460" s="104" t="s">
        <v>892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6">
        <f t="shared" si="2"/>
        <v>245</v>
      </c>
      <c r="B461" s="104" t="s">
        <v>893</v>
      </c>
      <c r="C461" s="37" t="s">
        <v>77</v>
      </c>
      <c r="D461" s="105">
        <v>26526.0</v>
      </c>
      <c r="E461" s="2"/>
      <c r="F461" s="104" t="s">
        <v>892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6">
        <f t="shared" si="2"/>
        <v>246</v>
      </c>
      <c r="B462" s="104" t="s">
        <v>894</v>
      </c>
      <c r="C462" s="37" t="s">
        <v>77</v>
      </c>
      <c r="D462" s="105">
        <v>30208.0</v>
      </c>
      <c r="E462" s="2"/>
      <c r="F462" s="104" t="s">
        <v>895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6">
        <f t="shared" si="2"/>
        <v>247</v>
      </c>
      <c r="B463" s="104" t="s">
        <v>896</v>
      </c>
      <c r="C463" s="37" t="s">
        <v>77</v>
      </c>
      <c r="D463" s="105">
        <v>26284.0</v>
      </c>
      <c r="E463" s="2"/>
      <c r="F463" s="104" t="s">
        <v>897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6">
        <f t="shared" si="2"/>
        <v>248</v>
      </c>
      <c r="B464" s="104" t="s">
        <v>898</v>
      </c>
      <c r="C464" s="37" t="s">
        <v>78</v>
      </c>
      <c r="D464" s="105">
        <v>29388.0</v>
      </c>
      <c r="E464" s="2"/>
      <c r="F464" s="10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6">
        <f t="shared" si="2"/>
        <v>249</v>
      </c>
      <c r="B465" s="104" t="s">
        <v>899</v>
      </c>
      <c r="C465" s="37" t="s">
        <v>77</v>
      </c>
      <c r="D465" s="105">
        <v>16537.0</v>
      </c>
      <c r="E465" s="2"/>
      <c r="F465" s="104" t="s">
        <v>900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6">
        <f t="shared" si="2"/>
        <v>250</v>
      </c>
      <c r="B466" s="104" t="s">
        <v>901</v>
      </c>
      <c r="C466" s="37" t="s">
        <v>78</v>
      </c>
      <c r="D466" s="105">
        <v>18329.0</v>
      </c>
      <c r="E466" s="2"/>
      <c r="F466" s="104" t="s">
        <v>902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6">
        <f t="shared" si="2"/>
        <v>251</v>
      </c>
      <c r="B467" s="104" t="s">
        <v>312</v>
      </c>
      <c r="C467" s="37" t="s">
        <v>77</v>
      </c>
      <c r="D467" s="105">
        <v>30544.0</v>
      </c>
      <c r="E467" s="2"/>
      <c r="F467" s="104" t="s">
        <v>903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6">
        <f t="shared" si="2"/>
        <v>252</v>
      </c>
      <c r="B468" s="104" t="s">
        <v>904</v>
      </c>
      <c r="C468" s="37" t="s">
        <v>78</v>
      </c>
      <c r="D468" s="105">
        <v>30875.0</v>
      </c>
      <c r="E468" s="2"/>
      <c r="F468" s="104" t="s">
        <v>905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6">
        <f t="shared" si="2"/>
        <v>253</v>
      </c>
      <c r="B469" s="104" t="s">
        <v>906</v>
      </c>
      <c r="C469" s="37" t="s">
        <v>77</v>
      </c>
      <c r="D469" s="105">
        <v>39755.0</v>
      </c>
      <c r="E469" s="2"/>
      <c r="F469" s="104" t="s">
        <v>312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6">
        <f t="shared" si="2"/>
        <v>254</v>
      </c>
      <c r="B470" s="104" t="s">
        <v>907</v>
      </c>
      <c r="C470" s="37" t="s">
        <v>78</v>
      </c>
      <c r="D470" s="105">
        <v>41271.0</v>
      </c>
      <c r="E470" s="2"/>
      <c r="F470" s="104" t="s">
        <v>312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6">
        <f t="shared" si="2"/>
        <v>255</v>
      </c>
      <c r="B471" s="104" t="s">
        <v>908</v>
      </c>
      <c r="C471" s="37" t="s">
        <v>77</v>
      </c>
      <c r="D471" s="105">
        <v>25787.0</v>
      </c>
      <c r="E471" s="2"/>
      <c r="F471" s="104" t="s">
        <v>909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6">
        <f t="shared" si="2"/>
        <v>256</v>
      </c>
      <c r="B472" s="104" t="s">
        <v>910</v>
      </c>
      <c r="C472" s="37" t="s">
        <v>78</v>
      </c>
      <c r="D472" s="105">
        <v>28249.0</v>
      </c>
      <c r="E472" s="2"/>
      <c r="F472" s="104" t="s">
        <v>911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6">
        <f t="shared" si="2"/>
        <v>257</v>
      </c>
      <c r="B473" s="104" t="s">
        <v>912</v>
      </c>
      <c r="C473" s="37" t="s">
        <v>77</v>
      </c>
      <c r="D473" s="105">
        <v>38157.0</v>
      </c>
      <c r="E473" s="2"/>
      <c r="F473" s="104" t="s">
        <v>908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6">
        <f t="shared" si="2"/>
        <v>258</v>
      </c>
      <c r="B474" s="104" t="s">
        <v>213</v>
      </c>
      <c r="C474" s="37" t="s">
        <v>77</v>
      </c>
      <c r="D474" s="105">
        <v>32753.0</v>
      </c>
      <c r="E474" s="2"/>
      <c r="F474" s="104" t="s">
        <v>913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6">
        <f t="shared" si="2"/>
        <v>259</v>
      </c>
      <c r="B475" s="106" t="s">
        <v>914</v>
      </c>
      <c r="C475" s="37" t="s">
        <v>78</v>
      </c>
      <c r="D475" s="107">
        <v>32900.0</v>
      </c>
      <c r="E475" s="2"/>
      <c r="F475" s="106" t="s">
        <v>908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6">
        <f t="shared" si="2"/>
        <v>260</v>
      </c>
      <c r="B476" s="104" t="s">
        <v>915</v>
      </c>
      <c r="C476" s="37" t="s">
        <v>77</v>
      </c>
      <c r="D476" s="105">
        <v>11796.0</v>
      </c>
      <c r="E476" s="104" t="s">
        <v>916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6">
        <f t="shared" si="2"/>
        <v>261</v>
      </c>
      <c r="B477" s="104" t="s">
        <v>917</v>
      </c>
      <c r="C477" s="37" t="s">
        <v>77</v>
      </c>
      <c r="D477" s="105">
        <v>29313.0</v>
      </c>
      <c r="E477" s="104" t="s">
        <v>918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6">
        <f t="shared" si="2"/>
        <v>262</v>
      </c>
      <c r="B478" s="104" t="s">
        <v>808</v>
      </c>
      <c r="C478" s="37" t="s">
        <v>78</v>
      </c>
      <c r="D478" s="105">
        <v>30148.0</v>
      </c>
      <c r="E478" s="104" t="s">
        <v>546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6">
        <f t="shared" si="2"/>
        <v>263</v>
      </c>
      <c r="B479" s="104" t="s">
        <v>919</v>
      </c>
      <c r="C479" s="37" t="s">
        <v>77</v>
      </c>
      <c r="D479" s="105">
        <v>37539.0</v>
      </c>
      <c r="E479" s="104" t="s">
        <v>808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6">
        <f t="shared" si="2"/>
        <v>264</v>
      </c>
      <c r="B480" s="104" t="s">
        <v>920</v>
      </c>
      <c r="C480" s="37" t="s">
        <v>77</v>
      </c>
      <c r="D480" s="105">
        <v>27309.0</v>
      </c>
      <c r="E480" s="104"/>
      <c r="F480" s="104" t="s">
        <v>903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6">
        <f t="shared" si="2"/>
        <v>265</v>
      </c>
      <c r="B481" s="104" t="s">
        <v>921</v>
      </c>
      <c r="C481" s="37" t="s">
        <v>78</v>
      </c>
      <c r="D481" s="105">
        <v>27856.0</v>
      </c>
      <c r="E481" s="104"/>
      <c r="F481" s="104" t="s">
        <v>922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6">
        <f t="shared" si="2"/>
        <v>266</v>
      </c>
      <c r="B482" s="104" t="s">
        <v>923</v>
      </c>
      <c r="C482" s="37" t="s">
        <v>77</v>
      </c>
      <c r="D482" s="105">
        <v>38961.0</v>
      </c>
      <c r="E482" s="104"/>
      <c r="F482" s="104" t="s">
        <v>920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96">
        <f t="shared" si="2"/>
        <v>267</v>
      </c>
      <c r="B483" s="104" t="s">
        <v>924</v>
      </c>
      <c r="C483" s="37" t="s">
        <v>77</v>
      </c>
      <c r="D483" s="105">
        <v>27281.0</v>
      </c>
      <c r="E483" s="104"/>
      <c r="F483" s="104" t="s">
        <v>925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96">
        <f t="shared" si="2"/>
        <v>268</v>
      </c>
      <c r="B484" s="104" t="s">
        <v>926</v>
      </c>
      <c r="C484" s="37" t="s">
        <v>78</v>
      </c>
      <c r="D484" s="105">
        <v>28282.0</v>
      </c>
      <c r="E484" s="104"/>
      <c r="F484" s="104" t="s">
        <v>927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96">
        <f t="shared" si="2"/>
        <v>269</v>
      </c>
      <c r="B485" s="104" t="s">
        <v>928</v>
      </c>
      <c r="C485" s="37" t="s">
        <v>78</v>
      </c>
      <c r="D485" s="105">
        <v>37386.0</v>
      </c>
      <c r="E485" s="104"/>
      <c r="F485" s="104" t="s">
        <v>924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96">
        <f t="shared" si="2"/>
        <v>270</v>
      </c>
      <c r="B486" s="104" t="s">
        <v>453</v>
      </c>
      <c r="C486" s="37" t="s">
        <v>77</v>
      </c>
      <c r="D486" s="105">
        <v>32018.0</v>
      </c>
      <c r="E486" s="104"/>
      <c r="F486" s="104" t="s">
        <v>929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96">
        <f t="shared" si="2"/>
        <v>271</v>
      </c>
      <c r="B487" s="104" t="s">
        <v>452</v>
      </c>
      <c r="C487" s="37" t="s">
        <v>78</v>
      </c>
      <c r="D487" s="105">
        <v>34525.0</v>
      </c>
      <c r="E487" s="104"/>
      <c r="F487" s="104" t="s">
        <v>187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6">
        <f t="shared" si="2"/>
        <v>272</v>
      </c>
      <c r="B488" s="104" t="s">
        <v>930</v>
      </c>
      <c r="C488" s="37" t="s">
        <v>77</v>
      </c>
      <c r="D488" s="108">
        <v>24970.0</v>
      </c>
      <c r="E488" s="2"/>
      <c r="F488" s="104" t="s">
        <v>931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6">
        <f t="shared" si="2"/>
        <v>273</v>
      </c>
      <c r="B489" s="104" t="s">
        <v>932</v>
      </c>
      <c r="C489" s="37" t="s">
        <v>78</v>
      </c>
      <c r="D489" s="108">
        <v>26901.0</v>
      </c>
      <c r="E489" s="2"/>
      <c r="F489" s="104" t="s">
        <v>933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6">
        <f t="shared" si="2"/>
        <v>274</v>
      </c>
      <c r="B490" s="104" t="s">
        <v>934</v>
      </c>
      <c r="C490" s="37" t="s">
        <v>77</v>
      </c>
      <c r="D490" s="108">
        <v>34247.0</v>
      </c>
      <c r="E490" s="2"/>
      <c r="F490" s="104" t="s">
        <v>930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6">
        <f t="shared" si="2"/>
        <v>275</v>
      </c>
      <c r="B491" s="106" t="s">
        <v>935</v>
      </c>
      <c r="C491" s="37" t="s">
        <v>77</v>
      </c>
      <c r="D491" s="108">
        <v>34885.0</v>
      </c>
      <c r="E491" s="2"/>
      <c r="F491" s="104" t="s">
        <v>936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96">
        <f t="shared" si="2"/>
        <v>276</v>
      </c>
      <c r="B492" s="104" t="s">
        <v>375</v>
      </c>
      <c r="C492" s="37" t="s">
        <v>78</v>
      </c>
      <c r="D492" s="108">
        <v>36649.0</v>
      </c>
      <c r="E492" s="2"/>
      <c r="F492" s="104" t="s">
        <v>930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96">
        <f t="shared" si="2"/>
        <v>277</v>
      </c>
      <c r="B493" s="104" t="s">
        <v>937</v>
      </c>
      <c r="C493" s="37" t="s">
        <v>78</v>
      </c>
      <c r="D493" s="108">
        <v>26522.0</v>
      </c>
      <c r="E493" s="2"/>
      <c r="F493" s="104" t="s">
        <v>933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96">
        <f t="shared" si="2"/>
        <v>278</v>
      </c>
      <c r="B494" s="104" t="s">
        <v>938</v>
      </c>
      <c r="C494" s="37" t="s">
        <v>77</v>
      </c>
      <c r="D494" s="108">
        <v>35544.0</v>
      </c>
      <c r="E494" s="2"/>
      <c r="F494" s="104" t="s">
        <v>939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96">
        <f t="shared" si="2"/>
        <v>279</v>
      </c>
      <c r="B495" s="104" t="s">
        <v>940</v>
      </c>
      <c r="C495" s="37" t="s">
        <v>77</v>
      </c>
      <c r="D495" s="108">
        <v>37723.0</v>
      </c>
      <c r="E495" s="2"/>
      <c r="F495" s="104" t="s">
        <v>939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96">
        <f t="shared" si="2"/>
        <v>280</v>
      </c>
      <c r="B496" s="104" t="s">
        <v>933</v>
      </c>
      <c r="C496" s="37" t="s">
        <v>77</v>
      </c>
      <c r="D496" s="105">
        <v>16294.0</v>
      </c>
      <c r="E496" s="2"/>
      <c r="F496" s="104" t="s">
        <v>941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96">
        <f t="shared" si="2"/>
        <v>281</v>
      </c>
      <c r="B497" s="104" t="s">
        <v>354</v>
      </c>
      <c r="C497" s="37" t="s">
        <v>77</v>
      </c>
      <c r="D497" s="105">
        <v>31360.0</v>
      </c>
      <c r="E497" s="2"/>
      <c r="F497" s="104" t="s">
        <v>933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96">
        <f t="shared" si="2"/>
        <v>282</v>
      </c>
      <c r="B498" s="104" t="s">
        <v>353</v>
      </c>
      <c r="C498" s="37" t="s">
        <v>78</v>
      </c>
      <c r="D498" s="105">
        <v>31151.0</v>
      </c>
      <c r="E498" s="2"/>
      <c r="F498" s="104" t="s">
        <v>942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96">
        <f t="shared" si="2"/>
        <v>283</v>
      </c>
      <c r="B499" s="106" t="s">
        <v>943</v>
      </c>
      <c r="C499" s="37" t="s">
        <v>77</v>
      </c>
      <c r="D499" s="108">
        <v>18053.0</v>
      </c>
      <c r="E499" s="2"/>
      <c r="F499" s="106" t="s">
        <v>944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96">
        <f t="shared" si="2"/>
        <v>284</v>
      </c>
      <c r="B500" s="106" t="s">
        <v>945</v>
      </c>
      <c r="C500" s="37" t="s">
        <v>78</v>
      </c>
      <c r="D500" s="108">
        <v>19303.0</v>
      </c>
      <c r="E500" s="2"/>
      <c r="F500" s="106" t="s">
        <v>946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96">
        <f t="shared" si="2"/>
        <v>285</v>
      </c>
      <c r="B501" s="104" t="s">
        <v>947</v>
      </c>
      <c r="C501" s="37" t="s">
        <v>77</v>
      </c>
      <c r="D501" s="108">
        <v>27504.0</v>
      </c>
      <c r="E501" s="2"/>
      <c r="F501" s="106" t="s">
        <v>943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96">
        <f t="shared" si="2"/>
        <v>286</v>
      </c>
      <c r="B502" s="104" t="s">
        <v>948</v>
      </c>
      <c r="C502" s="37" t="s">
        <v>77</v>
      </c>
      <c r="D502" s="108">
        <v>30635.0</v>
      </c>
      <c r="E502" s="2"/>
      <c r="F502" s="106" t="s">
        <v>943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96">
        <f t="shared" si="2"/>
        <v>287</v>
      </c>
      <c r="B503" s="104" t="s">
        <v>949</v>
      </c>
      <c r="C503" s="37" t="s">
        <v>78</v>
      </c>
      <c r="D503" s="108">
        <v>32734.0</v>
      </c>
      <c r="E503" s="2"/>
      <c r="F503" s="104" t="s">
        <v>950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96">
        <f t="shared" si="2"/>
        <v>288</v>
      </c>
      <c r="B504" s="104" t="s">
        <v>951</v>
      </c>
      <c r="C504" s="37" t="s">
        <v>77</v>
      </c>
      <c r="D504" s="108">
        <v>22372.0</v>
      </c>
      <c r="E504" s="2"/>
      <c r="F504" s="104" t="s">
        <v>952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6">
        <f t="shared" si="2"/>
        <v>289</v>
      </c>
      <c r="B505" s="104" t="s">
        <v>953</v>
      </c>
      <c r="C505" s="37" t="s">
        <v>78</v>
      </c>
      <c r="D505" s="108">
        <v>23995.0</v>
      </c>
      <c r="E505" s="2"/>
      <c r="F505" s="104" t="s">
        <v>954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96">
        <f t="shared" si="2"/>
        <v>290</v>
      </c>
      <c r="B506" s="104" t="s">
        <v>955</v>
      </c>
      <c r="C506" s="37" t="s">
        <v>77</v>
      </c>
      <c r="D506" s="108">
        <v>31940.0</v>
      </c>
      <c r="E506" s="2"/>
      <c r="F506" s="104" t="s">
        <v>951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96">
        <f t="shared" si="2"/>
        <v>291</v>
      </c>
      <c r="B507" s="104" t="s">
        <v>440</v>
      </c>
      <c r="C507" s="37" t="s">
        <v>78</v>
      </c>
      <c r="D507" s="108">
        <v>35546.0</v>
      </c>
      <c r="E507" s="2"/>
      <c r="F507" s="104" t="s">
        <v>956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96">
        <f t="shared" si="2"/>
        <v>292</v>
      </c>
      <c r="B508" s="104" t="s">
        <v>957</v>
      </c>
      <c r="C508" s="37" t="s">
        <v>77</v>
      </c>
      <c r="D508" s="108">
        <v>19885.0</v>
      </c>
      <c r="E508" s="2"/>
      <c r="F508" s="109" t="s">
        <v>958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96">
        <f t="shared" si="2"/>
        <v>293</v>
      </c>
      <c r="B509" s="109" t="s">
        <v>959</v>
      </c>
      <c r="C509" s="37" t="s">
        <v>78</v>
      </c>
      <c r="D509" s="108">
        <v>23190.0</v>
      </c>
      <c r="E509" s="2"/>
      <c r="F509" s="109" t="s">
        <v>960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96">
        <f t="shared" si="2"/>
        <v>294</v>
      </c>
      <c r="B510" s="109" t="s">
        <v>961</v>
      </c>
      <c r="C510" s="37" t="s">
        <v>77</v>
      </c>
      <c r="D510" s="110">
        <v>28666.0</v>
      </c>
      <c r="E510" s="2"/>
      <c r="F510" s="109" t="s">
        <v>962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96">
        <f t="shared" si="2"/>
        <v>295</v>
      </c>
      <c r="B511" s="109" t="s">
        <v>963</v>
      </c>
      <c r="C511" s="37" t="s">
        <v>78</v>
      </c>
      <c r="D511" s="111">
        <v>30299.0</v>
      </c>
      <c r="E511" s="2"/>
      <c r="F511" s="109" t="s">
        <v>615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96">
        <f t="shared" si="2"/>
        <v>296</v>
      </c>
      <c r="B512" s="109" t="s">
        <v>964</v>
      </c>
      <c r="C512" s="37" t="s">
        <v>77</v>
      </c>
      <c r="D512" s="110">
        <v>37376.0</v>
      </c>
      <c r="E512" s="2"/>
      <c r="F512" s="109" t="s">
        <v>961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6">
        <f t="shared" si="2"/>
        <v>297</v>
      </c>
      <c r="B513" s="109" t="s">
        <v>965</v>
      </c>
      <c r="C513" s="37" t="s">
        <v>77</v>
      </c>
      <c r="D513" s="110">
        <v>34894.0</v>
      </c>
      <c r="E513" s="2"/>
      <c r="F513" s="109" t="s">
        <v>744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6">
        <f t="shared" si="2"/>
        <v>298</v>
      </c>
      <c r="B514" s="109" t="s">
        <v>966</v>
      </c>
      <c r="C514" s="37" t="s">
        <v>78</v>
      </c>
      <c r="D514" s="110">
        <v>35222.0</v>
      </c>
      <c r="E514" s="2"/>
      <c r="F514" s="109" t="s">
        <v>796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6">
        <f t="shared" si="2"/>
        <v>299</v>
      </c>
      <c r="B515" s="109" t="s">
        <v>967</v>
      </c>
      <c r="C515" s="37" t="s">
        <v>78</v>
      </c>
      <c r="D515" s="111">
        <v>41588.0</v>
      </c>
      <c r="E515" s="2"/>
      <c r="F515" s="109" t="s">
        <v>965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6">
        <f t="shared" si="2"/>
        <v>300</v>
      </c>
      <c r="B516" s="109" t="s">
        <v>744</v>
      </c>
      <c r="C516" s="37" t="s">
        <v>77</v>
      </c>
      <c r="D516" s="110">
        <v>21249.0</v>
      </c>
      <c r="E516" s="2"/>
      <c r="F516" s="109" t="s">
        <v>968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6">
        <f t="shared" si="2"/>
        <v>301</v>
      </c>
      <c r="B517" s="109" t="s">
        <v>959</v>
      </c>
      <c r="C517" s="37" t="s">
        <v>78</v>
      </c>
      <c r="D517" s="110">
        <v>22443.0</v>
      </c>
      <c r="E517" s="2"/>
      <c r="F517" s="109" t="s">
        <v>969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6">
        <f t="shared" si="2"/>
        <v>302</v>
      </c>
      <c r="B518" s="109" t="s">
        <v>970</v>
      </c>
      <c r="C518" s="37" t="s">
        <v>77</v>
      </c>
      <c r="D518" s="110">
        <v>33743.0</v>
      </c>
      <c r="E518" s="2"/>
      <c r="F518" s="109" t="s">
        <v>971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6">
        <f t="shared" si="2"/>
        <v>303</v>
      </c>
      <c r="B519" s="109" t="s">
        <v>972</v>
      </c>
      <c r="C519" s="37" t="s">
        <v>78</v>
      </c>
      <c r="D519" s="110">
        <v>35170.0</v>
      </c>
      <c r="E519" s="2"/>
      <c r="F519" s="109" t="s">
        <v>973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</sheetData>
  <mergeCells count="52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213:C213"/>
    <mergeCell ref="A214:A215"/>
    <mergeCell ref="B214:B215"/>
    <mergeCell ref="C214:C215"/>
    <mergeCell ref="D214:D215"/>
    <mergeCell ref="E214:F214"/>
    <mergeCell ref="G214:R2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974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54</v>
      </c>
      <c r="C4" s="55" t="s">
        <v>975</v>
      </c>
      <c r="D4" s="34"/>
      <c r="E4" s="9"/>
      <c r="F4" s="112" t="s">
        <v>976</v>
      </c>
      <c r="G4" s="55" t="s">
        <v>977</v>
      </c>
      <c r="H4" s="34"/>
      <c r="I4" s="34"/>
      <c r="J4" s="34"/>
      <c r="K4" s="34"/>
      <c r="L4" s="34"/>
      <c r="M4" s="34"/>
      <c r="N4" s="9"/>
      <c r="O4" s="55" t="s">
        <v>978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9"/>
      <c r="AA4" s="113" t="s">
        <v>979</v>
      </c>
      <c r="AB4" s="114" t="s">
        <v>980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981</v>
      </c>
      <c r="BA4" s="34"/>
      <c r="BB4" s="34"/>
      <c r="BC4" s="9"/>
      <c r="BD4" s="56" t="s">
        <v>982</v>
      </c>
    </row>
    <row r="5">
      <c r="A5" s="65"/>
      <c r="B5" s="65"/>
      <c r="C5" s="115" t="s">
        <v>31</v>
      </c>
      <c r="D5" s="115" t="s">
        <v>983</v>
      </c>
      <c r="E5" s="115" t="s">
        <v>984</v>
      </c>
      <c r="F5" s="65"/>
      <c r="G5" s="115" t="s">
        <v>985</v>
      </c>
      <c r="H5" s="115" t="s">
        <v>986</v>
      </c>
      <c r="I5" s="115" t="s">
        <v>987</v>
      </c>
      <c r="J5" s="115" t="s">
        <v>988</v>
      </c>
      <c r="K5" s="115" t="s">
        <v>989</v>
      </c>
      <c r="L5" s="115" t="s">
        <v>990</v>
      </c>
      <c r="M5" s="115" t="s">
        <v>991</v>
      </c>
      <c r="N5" s="115" t="s">
        <v>992</v>
      </c>
      <c r="O5" s="116" t="s">
        <v>993</v>
      </c>
      <c r="P5" s="61"/>
      <c r="Q5" s="116" t="s">
        <v>994</v>
      </c>
      <c r="R5" s="61"/>
      <c r="S5" s="116" t="s">
        <v>995</v>
      </c>
      <c r="T5" s="61"/>
      <c r="U5" s="116" t="s">
        <v>996</v>
      </c>
      <c r="V5" s="61"/>
      <c r="W5" s="116" t="s">
        <v>997</v>
      </c>
      <c r="X5" s="61"/>
      <c r="Y5" s="116" t="s">
        <v>998</v>
      </c>
      <c r="Z5" s="61"/>
      <c r="AA5" s="65"/>
      <c r="AB5" s="116" t="s">
        <v>999</v>
      </c>
      <c r="AC5" s="61"/>
      <c r="AD5" s="116" t="s">
        <v>1000</v>
      </c>
      <c r="AE5" s="60"/>
      <c r="AF5" s="60"/>
      <c r="AG5" s="60"/>
      <c r="AH5" s="60"/>
      <c r="AI5" s="61"/>
      <c r="AJ5" s="116" t="s">
        <v>1001</v>
      </c>
      <c r="AK5" s="60"/>
      <c r="AL5" s="60"/>
      <c r="AM5" s="60"/>
      <c r="AN5" s="60"/>
      <c r="AO5" s="60"/>
      <c r="AP5" s="60"/>
      <c r="AQ5" s="61"/>
      <c r="AR5" s="116" t="s">
        <v>1002</v>
      </c>
      <c r="AS5" s="61"/>
      <c r="AT5" s="116" t="s">
        <v>1003</v>
      </c>
      <c r="AU5" s="60"/>
      <c r="AV5" s="60"/>
      <c r="AW5" s="60"/>
      <c r="AX5" s="60"/>
      <c r="AY5" s="61"/>
      <c r="AZ5" s="116" t="s">
        <v>31</v>
      </c>
      <c r="BA5" s="61"/>
      <c r="BB5" s="116" t="s">
        <v>1004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16" t="s">
        <v>1005</v>
      </c>
      <c r="AE7" s="61"/>
      <c r="AF7" s="116" t="s">
        <v>1006</v>
      </c>
      <c r="AG7" s="61"/>
      <c r="AH7" s="116" t="s">
        <v>1007</v>
      </c>
      <c r="AI7" s="61"/>
      <c r="AJ7" s="116" t="s">
        <v>1005</v>
      </c>
      <c r="AK7" s="61"/>
      <c r="AL7" s="116" t="s">
        <v>1006</v>
      </c>
      <c r="AM7" s="61"/>
      <c r="AN7" s="116" t="s">
        <v>1007</v>
      </c>
      <c r="AO7" s="61"/>
      <c r="AP7" s="116" t="s">
        <v>1008</v>
      </c>
      <c r="AQ7" s="61"/>
      <c r="AR7" s="57"/>
      <c r="AS7" s="63"/>
      <c r="AT7" s="116" t="s">
        <v>1005</v>
      </c>
      <c r="AU7" s="61"/>
      <c r="AV7" s="116" t="s">
        <v>1006</v>
      </c>
      <c r="AW7" s="61"/>
      <c r="AX7" s="116" t="s">
        <v>1007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1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7" t="s">
        <v>77</v>
      </c>
      <c r="P9" s="117" t="s">
        <v>78</v>
      </c>
      <c r="Q9" s="118" t="s">
        <v>77</v>
      </c>
      <c r="R9" s="118" t="s">
        <v>78</v>
      </c>
      <c r="S9" s="118" t="s">
        <v>77</v>
      </c>
      <c r="T9" s="118" t="s">
        <v>78</v>
      </c>
      <c r="U9" s="118" t="s">
        <v>77</v>
      </c>
      <c r="V9" s="118" t="s">
        <v>78</v>
      </c>
      <c r="W9" s="118" t="s">
        <v>77</v>
      </c>
      <c r="X9" s="118" t="s">
        <v>78</v>
      </c>
      <c r="Y9" s="118" t="s">
        <v>77</v>
      </c>
      <c r="Z9" s="118" t="s">
        <v>78</v>
      </c>
      <c r="AA9" s="25"/>
      <c r="AB9" s="118" t="s">
        <v>77</v>
      </c>
      <c r="AC9" s="118" t="s">
        <v>78</v>
      </c>
      <c r="AD9" s="118" t="s">
        <v>77</v>
      </c>
      <c r="AE9" s="118" t="s">
        <v>78</v>
      </c>
      <c r="AF9" s="118" t="s">
        <v>77</v>
      </c>
      <c r="AG9" s="118" t="s">
        <v>78</v>
      </c>
      <c r="AH9" s="118" t="s">
        <v>77</v>
      </c>
      <c r="AI9" s="118" t="s">
        <v>78</v>
      </c>
      <c r="AJ9" s="118" t="s">
        <v>77</v>
      </c>
      <c r="AK9" s="118" t="s">
        <v>78</v>
      </c>
      <c r="AL9" s="118" t="s">
        <v>77</v>
      </c>
      <c r="AM9" s="118" t="s">
        <v>78</v>
      </c>
      <c r="AN9" s="118" t="s">
        <v>77</v>
      </c>
      <c r="AO9" s="118" t="s">
        <v>78</v>
      </c>
      <c r="AP9" s="118" t="s">
        <v>77</v>
      </c>
      <c r="AQ9" s="118" t="s">
        <v>78</v>
      </c>
      <c r="AR9" s="118" t="s">
        <v>77</v>
      </c>
      <c r="AS9" s="118" t="s">
        <v>78</v>
      </c>
      <c r="AT9" s="118" t="s">
        <v>77</v>
      </c>
      <c r="AU9" s="118" t="s">
        <v>78</v>
      </c>
      <c r="AV9" s="118" t="s">
        <v>77</v>
      </c>
      <c r="AW9" s="118" t="s">
        <v>78</v>
      </c>
      <c r="AX9" s="118" t="s">
        <v>77</v>
      </c>
      <c r="AY9" s="118" t="s">
        <v>78</v>
      </c>
      <c r="AZ9" s="118" t="s">
        <v>77</v>
      </c>
      <c r="BA9" s="118" t="s">
        <v>78</v>
      </c>
      <c r="BB9" s="118" t="s">
        <v>77</v>
      </c>
      <c r="BC9" s="118" t="s">
        <v>78</v>
      </c>
      <c r="BD9" s="25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19" t="s">
        <v>79</v>
      </c>
      <c r="C11" s="79">
        <v>14.0</v>
      </c>
      <c r="D11" s="79">
        <v>14.0</v>
      </c>
      <c r="E11" s="79">
        <v>14.0</v>
      </c>
      <c r="F11" s="79">
        <v>33.0</v>
      </c>
      <c r="G11" s="78">
        <v>15.0</v>
      </c>
      <c r="H11" s="78">
        <v>30.0</v>
      </c>
      <c r="I11" s="78">
        <v>54.0</v>
      </c>
      <c r="J11" s="79">
        <v>2.0</v>
      </c>
      <c r="K11" s="79">
        <v>19.0</v>
      </c>
      <c r="L11" s="79">
        <v>16.0</v>
      </c>
      <c r="M11" s="79">
        <v>140.0</v>
      </c>
      <c r="N11" s="79">
        <v>0.0</v>
      </c>
      <c r="O11" s="79">
        <v>80.0</v>
      </c>
      <c r="P11" s="79">
        <v>74.0</v>
      </c>
      <c r="Q11" s="79">
        <v>80.0</v>
      </c>
      <c r="R11" s="79">
        <v>74.0</v>
      </c>
      <c r="S11" s="79">
        <v>49.0</v>
      </c>
      <c r="T11" s="79">
        <v>55.0</v>
      </c>
      <c r="U11" s="79">
        <v>28.0</v>
      </c>
      <c r="V11" s="79">
        <v>31.0</v>
      </c>
      <c r="W11" s="79">
        <v>0.0</v>
      </c>
      <c r="X11" s="79">
        <v>0.0</v>
      </c>
      <c r="Y11" s="79">
        <v>0.0</v>
      </c>
      <c r="Z11" s="79">
        <v>0.0</v>
      </c>
      <c r="AA11" s="79">
        <v>3.0</v>
      </c>
      <c r="AB11" s="19">
        <v>0.0</v>
      </c>
      <c r="AC11" s="19">
        <v>5.0</v>
      </c>
      <c r="AD11" s="19">
        <v>1.0</v>
      </c>
      <c r="AE11" s="19">
        <v>1.0</v>
      </c>
      <c r="AF11" s="19">
        <v>0.0</v>
      </c>
      <c r="AG11" s="19">
        <v>1.0</v>
      </c>
      <c r="AH11" s="19">
        <v>1.0</v>
      </c>
      <c r="AI11" s="19">
        <v>0.0</v>
      </c>
      <c r="AJ11" s="19">
        <v>0.0</v>
      </c>
      <c r="AK11" s="19">
        <v>5.0</v>
      </c>
      <c r="AL11" s="19">
        <v>0.0</v>
      </c>
      <c r="AM11" s="19">
        <v>1.0</v>
      </c>
      <c r="AN11" s="19">
        <v>0.0</v>
      </c>
      <c r="AO11" s="19">
        <v>1.0</v>
      </c>
      <c r="AP11" s="19">
        <v>1.0</v>
      </c>
      <c r="AQ11" s="19">
        <v>0.0</v>
      </c>
      <c r="AR11" s="19">
        <v>1.0</v>
      </c>
      <c r="AS11" s="19">
        <v>1.0</v>
      </c>
      <c r="AT11" s="19">
        <v>1.0</v>
      </c>
      <c r="AU11" s="19">
        <v>1.0</v>
      </c>
      <c r="AV11" s="19">
        <v>0.0</v>
      </c>
      <c r="AW11" s="19">
        <v>1.0</v>
      </c>
      <c r="AX11" s="19">
        <v>1.0</v>
      </c>
      <c r="AY11" s="19">
        <v>0.0</v>
      </c>
      <c r="AZ11" s="19">
        <v>1.0</v>
      </c>
      <c r="BA11" s="19">
        <v>0.0</v>
      </c>
      <c r="BB11" s="19">
        <v>1.0</v>
      </c>
      <c r="BC11" s="19">
        <v>0.0</v>
      </c>
      <c r="BD11" s="25"/>
    </row>
    <row r="12">
      <c r="A12" s="70">
        <v>2.0</v>
      </c>
      <c r="B12" s="119" t="s">
        <v>80</v>
      </c>
      <c r="C12" s="79">
        <v>12.0</v>
      </c>
      <c r="D12" s="79">
        <v>12.0</v>
      </c>
      <c r="E12" s="79">
        <v>12.0</v>
      </c>
      <c r="F12" s="79">
        <v>40.0</v>
      </c>
      <c r="G12" s="78">
        <v>12.0</v>
      </c>
      <c r="H12" s="78">
        <v>30.0</v>
      </c>
      <c r="I12" s="78">
        <v>54.0</v>
      </c>
      <c r="J12" s="79">
        <v>2.0</v>
      </c>
      <c r="K12" s="79">
        <v>21.0</v>
      </c>
      <c r="L12" s="79">
        <v>16.0</v>
      </c>
      <c r="M12" s="79">
        <v>140.0</v>
      </c>
      <c r="N12" s="79">
        <v>0.0</v>
      </c>
      <c r="O12" s="79">
        <v>83.0</v>
      </c>
      <c r="P12" s="79">
        <v>75.0</v>
      </c>
      <c r="Q12" s="79">
        <v>83.0</v>
      </c>
      <c r="R12" s="79">
        <v>75.0</v>
      </c>
      <c r="S12" s="79">
        <v>52.0</v>
      </c>
      <c r="T12" s="79">
        <v>57.0</v>
      </c>
      <c r="U12" s="79">
        <v>29.0</v>
      </c>
      <c r="V12" s="79">
        <v>26.0</v>
      </c>
      <c r="W12" s="79">
        <v>62.0</v>
      </c>
      <c r="X12" s="79">
        <v>59.0</v>
      </c>
      <c r="Y12" s="79">
        <v>0.0</v>
      </c>
      <c r="Z12" s="79">
        <v>0.0</v>
      </c>
      <c r="AA12" s="79">
        <v>4.0</v>
      </c>
      <c r="AB12" s="19">
        <v>1.0</v>
      </c>
      <c r="AC12" s="19">
        <v>1.0</v>
      </c>
      <c r="AD12" s="19">
        <v>0.0</v>
      </c>
      <c r="AE12" s="19">
        <v>2.0</v>
      </c>
      <c r="AF12" s="19">
        <v>0.0</v>
      </c>
      <c r="AG12" s="19">
        <v>1.0</v>
      </c>
      <c r="AH12" s="19">
        <v>1.0</v>
      </c>
      <c r="AI12" s="19">
        <v>0.0</v>
      </c>
      <c r="AJ12" s="19">
        <v>1.0</v>
      </c>
      <c r="AK12" s="19">
        <v>1.0</v>
      </c>
      <c r="AL12" s="19">
        <v>0.0</v>
      </c>
      <c r="AM12" s="19">
        <v>1.0</v>
      </c>
      <c r="AN12" s="19">
        <v>0.0</v>
      </c>
      <c r="AO12" s="19">
        <v>1.0</v>
      </c>
      <c r="AP12" s="19">
        <v>1.0</v>
      </c>
      <c r="AQ12" s="19">
        <v>0.0</v>
      </c>
      <c r="AR12" s="19">
        <v>2.0</v>
      </c>
      <c r="AS12" s="19">
        <v>1.0</v>
      </c>
      <c r="AT12" s="19">
        <v>0.0</v>
      </c>
      <c r="AU12" s="19">
        <v>2.0</v>
      </c>
      <c r="AV12" s="19">
        <v>0.0</v>
      </c>
      <c r="AW12" s="19">
        <v>1.0</v>
      </c>
      <c r="AX12" s="19">
        <v>1.0</v>
      </c>
      <c r="AY12" s="19">
        <v>0.0</v>
      </c>
      <c r="AZ12" s="19">
        <v>0.0</v>
      </c>
      <c r="BA12" s="19">
        <v>0.0</v>
      </c>
      <c r="BB12" s="19">
        <v>0.0</v>
      </c>
      <c r="BC12" s="19">
        <v>0.0</v>
      </c>
      <c r="BD12" s="25"/>
    </row>
    <row r="13">
      <c r="A13" s="70">
        <v>3.0</v>
      </c>
      <c r="B13" s="119" t="s">
        <v>81</v>
      </c>
      <c r="C13" s="79">
        <v>11.0</v>
      </c>
      <c r="D13" s="79">
        <v>11.0</v>
      </c>
      <c r="E13" s="79">
        <v>11.0</v>
      </c>
      <c r="F13" s="78">
        <v>29.0</v>
      </c>
      <c r="G13" s="78">
        <v>12.0</v>
      </c>
      <c r="H13" s="78">
        <v>30.0</v>
      </c>
      <c r="I13" s="78">
        <v>54.0</v>
      </c>
      <c r="J13" s="79">
        <v>2.0</v>
      </c>
      <c r="K13" s="79">
        <v>19.0</v>
      </c>
      <c r="L13" s="79">
        <v>16.0</v>
      </c>
      <c r="M13" s="79">
        <v>140.0</v>
      </c>
      <c r="N13" s="79">
        <v>0.0</v>
      </c>
      <c r="O13" s="79">
        <v>82.0</v>
      </c>
      <c r="P13" s="79">
        <v>75.0</v>
      </c>
      <c r="Q13" s="79">
        <v>82.0</v>
      </c>
      <c r="R13" s="79">
        <v>75.0</v>
      </c>
      <c r="S13" s="79">
        <v>43.0</v>
      </c>
      <c r="T13" s="79">
        <v>51.0</v>
      </c>
      <c r="U13" s="79">
        <v>16.0</v>
      </c>
      <c r="V13" s="79">
        <v>25.0</v>
      </c>
      <c r="W13" s="79">
        <v>0.0</v>
      </c>
      <c r="X13" s="79">
        <v>0.0</v>
      </c>
      <c r="Y13" s="79">
        <v>0.0</v>
      </c>
      <c r="Z13" s="79">
        <v>0.0</v>
      </c>
      <c r="AA13" s="79">
        <v>2.0</v>
      </c>
      <c r="AB13" s="19">
        <v>1.0</v>
      </c>
      <c r="AC13" s="19">
        <v>0.0</v>
      </c>
      <c r="AD13" s="19">
        <v>1.0</v>
      </c>
      <c r="AE13" s="19">
        <v>1.0</v>
      </c>
      <c r="AF13" s="19">
        <v>0.0</v>
      </c>
      <c r="AG13" s="19">
        <v>2.0</v>
      </c>
      <c r="AH13" s="19">
        <v>0.0</v>
      </c>
      <c r="AI13" s="19">
        <v>1.0</v>
      </c>
      <c r="AJ13" s="19">
        <v>1.0</v>
      </c>
      <c r="AK13" s="19">
        <v>0.0</v>
      </c>
      <c r="AL13" s="19">
        <v>0.0</v>
      </c>
      <c r="AM13" s="19">
        <v>2.0</v>
      </c>
      <c r="AN13" s="19">
        <v>0.0</v>
      </c>
      <c r="AO13" s="19">
        <v>2.0</v>
      </c>
      <c r="AP13" s="19">
        <v>0.0</v>
      </c>
      <c r="AQ13" s="19">
        <v>1.0</v>
      </c>
      <c r="AR13" s="19">
        <v>0.0</v>
      </c>
      <c r="AS13" s="19">
        <v>3.0</v>
      </c>
      <c r="AT13" s="19">
        <v>1.0</v>
      </c>
      <c r="AU13" s="19">
        <v>1.0</v>
      </c>
      <c r="AV13" s="19">
        <v>0.0</v>
      </c>
      <c r="AW13" s="19">
        <v>2.0</v>
      </c>
      <c r="AX13" s="19">
        <v>0.0</v>
      </c>
      <c r="AY13" s="19">
        <v>1.0</v>
      </c>
      <c r="AZ13" s="19">
        <v>0.0</v>
      </c>
      <c r="BA13" s="19">
        <v>0.0</v>
      </c>
      <c r="BB13" s="19">
        <v>0.0</v>
      </c>
      <c r="BC13" s="19">
        <v>0.0</v>
      </c>
      <c r="BD13" s="25"/>
    </row>
    <row r="14">
      <c r="A14" s="70">
        <v>4.0</v>
      </c>
      <c r="B14" s="119" t="s">
        <v>82</v>
      </c>
      <c r="C14" s="79">
        <v>13.0</v>
      </c>
      <c r="D14" s="79">
        <v>13.0</v>
      </c>
      <c r="E14" s="79">
        <v>13.0</v>
      </c>
      <c r="F14" s="78">
        <v>24.0</v>
      </c>
      <c r="G14" s="78">
        <v>12.0</v>
      </c>
      <c r="H14" s="78">
        <v>30.0</v>
      </c>
      <c r="I14" s="78">
        <v>53.0</v>
      </c>
      <c r="J14" s="79">
        <v>2.0</v>
      </c>
      <c r="K14" s="79">
        <v>19.0</v>
      </c>
      <c r="L14" s="79">
        <v>15.0</v>
      </c>
      <c r="M14" s="79">
        <v>142.0</v>
      </c>
      <c r="N14" s="79">
        <v>0.0</v>
      </c>
      <c r="O14" s="79">
        <v>81.0</v>
      </c>
      <c r="P14" s="79">
        <v>73.0</v>
      </c>
      <c r="Q14" s="79">
        <v>81.0</v>
      </c>
      <c r="R14" s="79">
        <v>73.0</v>
      </c>
      <c r="S14" s="79">
        <v>44.0</v>
      </c>
      <c r="T14" s="79">
        <v>52.0</v>
      </c>
      <c r="U14" s="79">
        <v>16.0</v>
      </c>
      <c r="V14" s="79">
        <v>29.0</v>
      </c>
      <c r="W14" s="79">
        <v>0.0</v>
      </c>
      <c r="X14" s="79">
        <v>0.0</v>
      </c>
      <c r="Y14" s="79">
        <v>0.0</v>
      </c>
      <c r="Z14" s="79">
        <v>0.0</v>
      </c>
      <c r="AA14" s="79">
        <v>2.0</v>
      </c>
      <c r="AB14" s="19">
        <v>1.0</v>
      </c>
      <c r="AC14" s="19">
        <v>2.0</v>
      </c>
      <c r="AD14" s="19">
        <v>1.0</v>
      </c>
      <c r="AE14" s="19">
        <v>0.0</v>
      </c>
      <c r="AF14" s="19">
        <v>1.0</v>
      </c>
      <c r="AG14" s="19">
        <v>1.0</v>
      </c>
      <c r="AH14" s="19">
        <v>0.0</v>
      </c>
      <c r="AI14" s="19">
        <v>2.0</v>
      </c>
      <c r="AJ14" s="19">
        <v>1.0</v>
      </c>
      <c r="AK14" s="19">
        <v>2.0</v>
      </c>
      <c r="AL14" s="19">
        <v>1.0</v>
      </c>
      <c r="AM14" s="19">
        <v>1.0</v>
      </c>
      <c r="AN14" s="19">
        <v>1.0</v>
      </c>
      <c r="AO14" s="19">
        <v>1.0</v>
      </c>
      <c r="AP14" s="19">
        <v>0.0</v>
      </c>
      <c r="AQ14" s="19">
        <v>2.0</v>
      </c>
      <c r="AR14" s="19">
        <v>2.0</v>
      </c>
      <c r="AS14" s="19">
        <v>1.0</v>
      </c>
      <c r="AT14" s="19">
        <v>1.0</v>
      </c>
      <c r="AU14" s="19">
        <v>0.0</v>
      </c>
      <c r="AV14" s="19">
        <v>1.0</v>
      </c>
      <c r="AW14" s="19">
        <v>1.0</v>
      </c>
      <c r="AX14" s="19">
        <v>0.0</v>
      </c>
      <c r="AY14" s="19">
        <v>2.0</v>
      </c>
      <c r="AZ14" s="19">
        <v>1.0</v>
      </c>
      <c r="BA14" s="19">
        <v>1.0</v>
      </c>
      <c r="BB14" s="19">
        <v>1.0</v>
      </c>
      <c r="BC14" s="19">
        <v>1.0</v>
      </c>
      <c r="BD14" s="25"/>
    </row>
    <row r="15">
      <c r="A15" s="70">
        <v>5.0</v>
      </c>
      <c r="B15" s="119" t="s">
        <v>83</v>
      </c>
      <c r="C15" s="79">
        <v>16.0</v>
      </c>
      <c r="D15" s="79">
        <v>16.0</v>
      </c>
      <c r="E15" s="79">
        <v>16.0</v>
      </c>
      <c r="F15" s="78">
        <v>29.0</v>
      </c>
      <c r="G15" s="79">
        <v>12.0</v>
      </c>
      <c r="H15" s="78">
        <v>31.0</v>
      </c>
      <c r="I15" s="78">
        <v>52.0</v>
      </c>
      <c r="J15" s="79">
        <v>2.0</v>
      </c>
      <c r="K15" s="79">
        <v>19.0</v>
      </c>
      <c r="L15" s="79">
        <v>14.0</v>
      </c>
      <c r="M15" s="79">
        <v>144.0</v>
      </c>
      <c r="N15" s="79">
        <v>0.0</v>
      </c>
      <c r="O15" s="79">
        <v>76.0</v>
      </c>
      <c r="P15" s="79">
        <v>75.0</v>
      </c>
      <c r="Q15" s="79">
        <v>76.0</v>
      </c>
      <c r="R15" s="79">
        <v>75.0</v>
      </c>
      <c r="S15" s="79">
        <v>36.0</v>
      </c>
      <c r="T15" s="79">
        <v>53.0</v>
      </c>
      <c r="U15" s="79">
        <v>15.0</v>
      </c>
      <c r="V15" s="79">
        <v>16.0</v>
      </c>
      <c r="W15" s="79">
        <v>0.0</v>
      </c>
      <c r="X15" s="79">
        <v>0.0</v>
      </c>
      <c r="Y15" s="79">
        <v>0.0</v>
      </c>
      <c r="Z15" s="79">
        <v>0.0</v>
      </c>
      <c r="AA15" s="79">
        <v>1.0</v>
      </c>
      <c r="AB15" s="19">
        <v>1.0</v>
      </c>
      <c r="AC15" s="19">
        <v>1.0</v>
      </c>
      <c r="AD15" s="19">
        <v>1.0</v>
      </c>
      <c r="AE15" s="19">
        <v>2.0</v>
      </c>
      <c r="AF15" s="19">
        <v>1.0</v>
      </c>
      <c r="AG15" s="19">
        <v>0.0</v>
      </c>
      <c r="AH15" s="19">
        <v>1.0</v>
      </c>
      <c r="AI15" s="19">
        <v>1.0</v>
      </c>
      <c r="AJ15" s="19">
        <v>1.0</v>
      </c>
      <c r="AK15" s="19">
        <v>1.0</v>
      </c>
      <c r="AL15" s="19">
        <v>1.0</v>
      </c>
      <c r="AM15" s="19">
        <v>0.0</v>
      </c>
      <c r="AN15" s="19">
        <v>1.0</v>
      </c>
      <c r="AO15" s="19">
        <v>0.0</v>
      </c>
      <c r="AP15" s="19">
        <v>1.0</v>
      </c>
      <c r="AQ15" s="19">
        <v>1.0</v>
      </c>
      <c r="AR15" s="19">
        <v>1.0</v>
      </c>
      <c r="AS15" s="19">
        <v>0.0</v>
      </c>
      <c r="AT15" s="19">
        <v>1.0</v>
      </c>
      <c r="AU15" s="19">
        <v>2.0</v>
      </c>
      <c r="AV15" s="19">
        <v>1.0</v>
      </c>
      <c r="AW15" s="19">
        <v>0.0</v>
      </c>
      <c r="AX15" s="19">
        <v>1.0</v>
      </c>
      <c r="AY15" s="19">
        <v>1.0</v>
      </c>
      <c r="AZ15" s="19">
        <v>0.0</v>
      </c>
      <c r="BA15" s="19">
        <v>1.0</v>
      </c>
      <c r="BB15" s="19">
        <v>0.0</v>
      </c>
      <c r="BC15" s="19">
        <v>1.0</v>
      </c>
      <c r="BD15" s="25"/>
    </row>
    <row r="16">
      <c r="A16" s="70">
        <v>6.0</v>
      </c>
      <c r="B16" s="119" t="s">
        <v>84</v>
      </c>
      <c r="C16" s="79">
        <v>18.0</v>
      </c>
      <c r="D16" s="79">
        <v>18.0</v>
      </c>
      <c r="E16" s="79">
        <v>18.0</v>
      </c>
      <c r="F16" s="78">
        <v>30.0</v>
      </c>
      <c r="G16" s="79">
        <v>12.0</v>
      </c>
      <c r="H16" s="78">
        <v>33.0</v>
      </c>
      <c r="I16" s="78">
        <v>52.0</v>
      </c>
      <c r="J16" s="79">
        <v>2.0</v>
      </c>
      <c r="K16" s="79">
        <v>19.0</v>
      </c>
      <c r="L16" s="79">
        <v>14.0</v>
      </c>
      <c r="M16" s="79">
        <v>144.0</v>
      </c>
      <c r="N16" s="79">
        <v>0.0</v>
      </c>
      <c r="O16" s="79">
        <v>75.0</v>
      </c>
      <c r="P16" s="79">
        <v>74.0</v>
      </c>
      <c r="Q16" s="79">
        <v>75.0</v>
      </c>
      <c r="R16" s="79">
        <v>74.0</v>
      </c>
      <c r="S16" s="79">
        <v>46.0</v>
      </c>
      <c r="T16" s="79">
        <v>57.0</v>
      </c>
      <c r="U16" s="79">
        <v>13.0</v>
      </c>
      <c r="V16" s="79">
        <v>23.0</v>
      </c>
      <c r="W16" s="79">
        <v>0.0</v>
      </c>
      <c r="X16" s="79">
        <v>0.0</v>
      </c>
      <c r="Y16" s="79">
        <v>68.0</v>
      </c>
      <c r="Z16" s="79">
        <v>69.0</v>
      </c>
      <c r="AA16" s="79">
        <v>3.0</v>
      </c>
      <c r="AB16" s="19">
        <v>0.0</v>
      </c>
      <c r="AC16" s="19">
        <v>1.0</v>
      </c>
      <c r="AD16" s="19">
        <v>1.0</v>
      </c>
      <c r="AE16" s="19">
        <v>1.0</v>
      </c>
      <c r="AF16" s="19">
        <v>1.0</v>
      </c>
      <c r="AG16" s="19">
        <v>2.0</v>
      </c>
      <c r="AH16" s="19">
        <v>1.0</v>
      </c>
      <c r="AI16" s="19">
        <v>0.0</v>
      </c>
      <c r="AJ16" s="19">
        <v>0.0</v>
      </c>
      <c r="AK16" s="19">
        <v>1.0</v>
      </c>
      <c r="AL16" s="19">
        <v>1.0</v>
      </c>
      <c r="AM16" s="19">
        <v>2.0</v>
      </c>
      <c r="AN16" s="19">
        <v>1.0</v>
      </c>
      <c r="AO16" s="19">
        <v>2.0</v>
      </c>
      <c r="AP16" s="19">
        <v>1.0</v>
      </c>
      <c r="AQ16" s="19">
        <v>0.0</v>
      </c>
      <c r="AR16" s="19">
        <v>2.0</v>
      </c>
      <c r="AS16" s="19">
        <v>1.0</v>
      </c>
      <c r="AT16" s="19">
        <v>1.0</v>
      </c>
      <c r="AU16" s="19">
        <v>1.0</v>
      </c>
      <c r="AV16" s="19">
        <v>1.0</v>
      </c>
      <c r="AW16" s="19">
        <v>2.0</v>
      </c>
      <c r="AX16" s="19">
        <v>1.0</v>
      </c>
      <c r="AY16" s="19">
        <v>2.0</v>
      </c>
      <c r="AZ16" s="19">
        <v>0.0</v>
      </c>
      <c r="BA16" s="19">
        <v>0.0</v>
      </c>
      <c r="BB16" s="19">
        <v>0.0</v>
      </c>
      <c r="BC16" s="19">
        <v>0.0</v>
      </c>
      <c r="BD16" s="25"/>
    </row>
    <row r="17">
      <c r="A17" s="70">
        <v>7.0</v>
      </c>
      <c r="B17" s="119" t="s">
        <v>85</v>
      </c>
      <c r="C17" s="79">
        <v>17.0</v>
      </c>
      <c r="D17" s="79">
        <v>17.0</v>
      </c>
      <c r="E17" s="79">
        <v>17.0</v>
      </c>
      <c r="F17" s="78">
        <v>36.0</v>
      </c>
      <c r="G17" s="78">
        <v>12.0</v>
      </c>
      <c r="H17" s="78">
        <v>33.0</v>
      </c>
      <c r="I17" s="78">
        <v>52.0</v>
      </c>
      <c r="J17" s="79">
        <v>2.0</v>
      </c>
      <c r="K17" s="79">
        <v>19.0</v>
      </c>
      <c r="L17" s="79">
        <v>11.0</v>
      </c>
      <c r="M17" s="79">
        <v>145.0</v>
      </c>
      <c r="N17" s="79">
        <v>0.0</v>
      </c>
      <c r="O17" s="79">
        <v>72.0</v>
      </c>
      <c r="P17" s="79">
        <v>76.0</v>
      </c>
      <c r="Q17" s="79">
        <v>72.0</v>
      </c>
      <c r="R17" s="79">
        <v>76.0</v>
      </c>
      <c r="S17" s="79">
        <v>46.0</v>
      </c>
      <c r="T17" s="79">
        <v>52.0</v>
      </c>
      <c r="U17" s="79">
        <v>23.0</v>
      </c>
      <c r="V17" s="79">
        <v>26.0</v>
      </c>
      <c r="W17" s="79">
        <v>0.0</v>
      </c>
      <c r="X17" s="79">
        <v>0.0</v>
      </c>
      <c r="Y17" s="79">
        <v>2.0</v>
      </c>
      <c r="Z17" s="79">
        <v>1.0</v>
      </c>
      <c r="AA17" s="79">
        <v>3.0</v>
      </c>
      <c r="AB17" s="19">
        <v>0.0</v>
      </c>
      <c r="AC17" s="19">
        <v>1.0</v>
      </c>
      <c r="AD17" s="19">
        <v>0.0</v>
      </c>
      <c r="AE17" s="19">
        <v>1.0</v>
      </c>
      <c r="AF17" s="19">
        <v>1.0</v>
      </c>
      <c r="AG17" s="19">
        <v>1.0</v>
      </c>
      <c r="AH17" s="19">
        <v>1.0</v>
      </c>
      <c r="AI17" s="19">
        <v>2.0</v>
      </c>
      <c r="AJ17" s="19">
        <v>0.0</v>
      </c>
      <c r="AK17" s="19">
        <v>1.0</v>
      </c>
      <c r="AL17" s="19">
        <v>1.0</v>
      </c>
      <c r="AM17" s="19">
        <v>1.0</v>
      </c>
      <c r="AN17" s="19">
        <v>1.0</v>
      </c>
      <c r="AO17" s="19">
        <v>1.0</v>
      </c>
      <c r="AP17" s="19">
        <v>1.0</v>
      </c>
      <c r="AQ17" s="19">
        <v>2.0</v>
      </c>
      <c r="AR17" s="19">
        <v>1.0</v>
      </c>
      <c r="AS17" s="19">
        <v>2.0</v>
      </c>
      <c r="AT17" s="19">
        <v>0.0</v>
      </c>
      <c r="AU17" s="19">
        <v>1.0</v>
      </c>
      <c r="AV17" s="19">
        <v>1.0</v>
      </c>
      <c r="AW17" s="19">
        <v>1.0</v>
      </c>
      <c r="AX17" s="19">
        <v>1.0</v>
      </c>
      <c r="AY17" s="19">
        <v>1.0</v>
      </c>
      <c r="AZ17" s="19">
        <v>0.0</v>
      </c>
      <c r="BA17" s="19">
        <v>0.0</v>
      </c>
      <c r="BB17" s="19">
        <v>0.0</v>
      </c>
      <c r="BC17" s="19">
        <v>0.0</v>
      </c>
      <c r="BD17" s="25"/>
    </row>
    <row r="18">
      <c r="A18" s="70">
        <v>8.0</v>
      </c>
      <c r="B18" s="119" t="s">
        <v>86</v>
      </c>
      <c r="C18" s="19">
        <v>18.0</v>
      </c>
      <c r="D18" s="19">
        <v>18.0</v>
      </c>
      <c r="E18" s="19">
        <v>18.0</v>
      </c>
      <c r="F18" s="78">
        <v>42.0</v>
      </c>
      <c r="G18" s="78">
        <v>12.0</v>
      </c>
      <c r="H18" s="78">
        <v>44.0</v>
      </c>
      <c r="I18" s="78">
        <v>51.0</v>
      </c>
      <c r="J18" s="19">
        <v>2.0</v>
      </c>
      <c r="K18" s="19">
        <v>19.0</v>
      </c>
      <c r="L18" s="19">
        <v>14.0</v>
      </c>
      <c r="M18" s="19">
        <v>147.0</v>
      </c>
      <c r="N18" s="19">
        <v>0.0</v>
      </c>
      <c r="O18" s="19">
        <v>72.0</v>
      </c>
      <c r="P18" s="19">
        <v>78.0</v>
      </c>
      <c r="Q18" s="19">
        <v>72.0</v>
      </c>
      <c r="R18" s="19">
        <v>78.0</v>
      </c>
      <c r="S18" s="19">
        <v>46.0</v>
      </c>
      <c r="T18" s="19">
        <v>62.0</v>
      </c>
      <c r="U18" s="19">
        <v>25.0</v>
      </c>
      <c r="V18" s="19">
        <v>25.0</v>
      </c>
      <c r="W18" s="19">
        <v>43.0</v>
      </c>
      <c r="X18" s="19">
        <v>57.0</v>
      </c>
      <c r="Y18" s="19">
        <v>2.0</v>
      </c>
      <c r="Z18" s="19">
        <v>1.0</v>
      </c>
      <c r="AA18" s="19">
        <v>1.0</v>
      </c>
      <c r="AB18" s="19">
        <v>4.0</v>
      </c>
      <c r="AC18" s="19">
        <v>2.0</v>
      </c>
      <c r="AD18" s="19">
        <v>0.0</v>
      </c>
      <c r="AE18" s="19">
        <v>1.0</v>
      </c>
      <c r="AF18" s="19">
        <v>0.0</v>
      </c>
      <c r="AG18" s="19">
        <v>1.0</v>
      </c>
      <c r="AH18" s="19">
        <v>1.0</v>
      </c>
      <c r="AI18" s="19">
        <v>1.0</v>
      </c>
      <c r="AJ18" s="19">
        <v>4.0</v>
      </c>
      <c r="AK18" s="19">
        <v>2.0</v>
      </c>
      <c r="AL18" s="19">
        <v>0.0</v>
      </c>
      <c r="AM18" s="19">
        <v>1.0</v>
      </c>
      <c r="AN18" s="19">
        <v>0.0</v>
      </c>
      <c r="AO18" s="19">
        <v>1.0</v>
      </c>
      <c r="AP18" s="19">
        <v>0.0</v>
      </c>
      <c r="AQ18" s="19">
        <v>1.0</v>
      </c>
      <c r="AR18" s="19">
        <v>0.0</v>
      </c>
      <c r="AS18" s="19">
        <v>2.0</v>
      </c>
      <c r="AT18" s="19">
        <v>0.0</v>
      </c>
      <c r="AU18" s="19">
        <v>1.0</v>
      </c>
      <c r="AV18" s="19">
        <v>0.0</v>
      </c>
      <c r="AW18" s="19">
        <v>1.0</v>
      </c>
      <c r="AX18" s="19">
        <v>1.0</v>
      </c>
      <c r="AY18" s="19">
        <v>1.0</v>
      </c>
      <c r="AZ18" s="19">
        <v>0.0</v>
      </c>
      <c r="BA18" s="19">
        <v>0.0</v>
      </c>
      <c r="BB18" s="19">
        <v>0.0</v>
      </c>
      <c r="BC18" s="19">
        <v>0.0</v>
      </c>
      <c r="BD18" s="25"/>
    </row>
    <row r="19">
      <c r="A19" s="70">
        <v>9.0</v>
      </c>
      <c r="B19" s="119" t="s">
        <v>87</v>
      </c>
      <c r="C19" s="79">
        <v>17.0</v>
      </c>
      <c r="D19" s="79">
        <v>17.0</v>
      </c>
      <c r="E19" s="79">
        <v>17.0</v>
      </c>
      <c r="F19" s="78">
        <v>42.0</v>
      </c>
      <c r="G19" s="78">
        <v>12.0</v>
      </c>
      <c r="H19" s="78">
        <v>33.0</v>
      </c>
      <c r="I19" s="78">
        <v>51.0</v>
      </c>
      <c r="J19" s="79">
        <v>2.0</v>
      </c>
      <c r="K19" s="79">
        <v>19.0</v>
      </c>
      <c r="L19" s="79">
        <v>14.0</v>
      </c>
      <c r="M19" s="79">
        <v>147.0</v>
      </c>
      <c r="N19" s="79">
        <v>0.0</v>
      </c>
      <c r="O19" s="79">
        <v>74.0</v>
      </c>
      <c r="P19" s="79">
        <v>77.0</v>
      </c>
      <c r="Q19" s="79">
        <v>74.0</v>
      </c>
      <c r="R19" s="79">
        <v>77.0</v>
      </c>
      <c r="S19" s="79">
        <v>46.0</v>
      </c>
      <c r="T19" s="79">
        <v>55.0</v>
      </c>
      <c r="U19" s="79">
        <v>15.0</v>
      </c>
      <c r="V19" s="79">
        <v>20.0</v>
      </c>
      <c r="W19" s="79">
        <v>0.0</v>
      </c>
      <c r="X19" s="79">
        <v>0.0</v>
      </c>
      <c r="Y19" s="79">
        <v>1.0</v>
      </c>
      <c r="Z19" s="79">
        <v>2.0</v>
      </c>
      <c r="AA19" s="79">
        <v>1.0</v>
      </c>
      <c r="AB19" s="79">
        <v>0.0</v>
      </c>
      <c r="AC19" s="79">
        <v>0.0</v>
      </c>
      <c r="AD19" s="79">
        <v>3.0</v>
      </c>
      <c r="AE19" s="79">
        <v>2.0</v>
      </c>
      <c r="AF19" s="79">
        <v>0.0</v>
      </c>
      <c r="AG19" s="79">
        <v>1.0</v>
      </c>
      <c r="AH19" s="79">
        <v>0.0</v>
      </c>
      <c r="AI19" s="79">
        <v>1.0</v>
      </c>
      <c r="AJ19" s="19">
        <v>0.0</v>
      </c>
      <c r="AK19" s="19">
        <v>0.0</v>
      </c>
      <c r="AL19" s="19">
        <v>0.0</v>
      </c>
      <c r="AM19" s="19">
        <v>1.0</v>
      </c>
      <c r="AN19" s="79">
        <v>0.0</v>
      </c>
      <c r="AO19" s="19">
        <v>1.0</v>
      </c>
      <c r="AP19" s="19">
        <v>1.0</v>
      </c>
      <c r="AQ19" s="19">
        <v>1.0</v>
      </c>
      <c r="AR19" s="19">
        <v>1.0</v>
      </c>
      <c r="AS19" s="79">
        <v>1.0</v>
      </c>
      <c r="AT19" s="79">
        <v>3.0</v>
      </c>
      <c r="AU19" s="79">
        <v>2.0</v>
      </c>
      <c r="AV19" s="79">
        <v>0.0</v>
      </c>
      <c r="AW19" s="79">
        <v>1.0</v>
      </c>
      <c r="AX19" s="79">
        <v>0.0</v>
      </c>
      <c r="AY19" s="79">
        <v>1.0</v>
      </c>
      <c r="AZ19" s="79">
        <v>0.0</v>
      </c>
      <c r="BA19" s="79">
        <v>0.0</v>
      </c>
      <c r="BB19" s="79">
        <v>0.0</v>
      </c>
      <c r="BC19" s="79">
        <v>0.0</v>
      </c>
      <c r="BD19" s="25"/>
    </row>
    <row r="20">
      <c r="A20" s="70">
        <v>10.0</v>
      </c>
      <c r="B20" s="119" t="s">
        <v>88</v>
      </c>
      <c r="C20" s="26">
        <v>17.0</v>
      </c>
      <c r="D20" s="26">
        <v>17.0</v>
      </c>
      <c r="E20" s="26">
        <v>17.0</v>
      </c>
      <c r="F20" s="26">
        <v>41.0</v>
      </c>
      <c r="G20" s="26">
        <v>13.0</v>
      </c>
      <c r="H20" s="26">
        <v>33.0</v>
      </c>
      <c r="I20" s="26">
        <v>52.0</v>
      </c>
      <c r="J20" s="26">
        <v>2.0</v>
      </c>
      <c r="K20" s="26">
        <v>20.0</v>
      </c>
      <c r="L20" s="26">
        <v>14.0</v>
      </c>
      <c r="M20" s="26">
        <v>148.0</v>
      </c>
      <c r="N20" s="26">
        <v>0.0</v>
      </c>
      <c r="O20" s="26">
        <v>74.0</v>
      </c>
      <c r="P20" s="26">
        <v>78.0</v>
      </c>
      <c r="Q20" s="26">
        <v>74.0</v>
      </c>
      <c r="R20" s="26">
        <v>78.0</v>
      </c>
      <c r="S20" s="26">
        <v>53.0</v>
      </c>
      <c r="T20" s="26">
        <v>63.0</v>
      </c>
      <c r="U20" s="26">
        <v>27.0</v>
      </c>
      <c r="V20" s="26">
        <v>30.0</v>
      </c>
      <c r="W20" s="26">
        <v>0.0</v>
      </c>
      <c r="X20" s="26">
        <v>0.0</v>
      </c>
      <c r="Y20" s="26">
        <v>59.0</v>
      </c>
      <c r="Z20" s="26">
        <v>53.0</v>
      </c>
      <c r="AA20" s="26">
        <v>2.0</v>
      </c>
      <c r="AB20" s="26">
        <v>1.0</v>
      </c>
      <c r="AC20" s="26">
        <v>1.0</v>
      </c>
      <c r="AD20" s="26">
        <v>1.0</v>
      </c>
      <c r="AE20" s="26">
        <v>1.0</v>
      </c>
      <c r="AF20" s="26">
        <v>2.0</v>
      </c>
      <c r="AG20" s="26">
        <v>2.0</v>
      </c>
      <c r="AH20" s="26">
        <v>0.0</v>
      </c>
      <c r="AI20" s="26">
        <v>1.0</v>
      </c>
      <c r="AJ20" s="26">
        <v>1.0</v>
      </c>
      <c r="AK20" s="26">
        <v>1.0</v>
      </c>
      <c r="AL20" s="26">
        <v>2.0</v>
      </c>
      <c r="AM20" s="26">
        <v>2.0</v>
      </c>
      <c r="AN20" s="26">
        <v>2.0</v>
      </c>
      <c r="AO20" s="26">
        <v>2.0</v>
      </c>
      <c r="AP20" s="26">
        <v>0.0</v>
      </c>
      <c r="AQ20" s="26">
        <v>1.0</v>
      </c>
      <c r="AR20" s="26">
        <v>2.0</v>
      </c>
      <c r="AS20" s="26">
        <v>1.0</v>
      </c>
      <c r="AT20" s="26">
        <v>1.0</v>
      </c>
      <c r="AU20" s="26">
        <v>1.0</v>
      </c>
      <c r="AV20" s="26">
        <v>2.0</v>
      </c>
      <c r="AW20" s="26">
        <v>2.0</v>
      </c>
      <c r="AX20" s="26">
        <v>0.0</v>
      </c>
      <c r="AY20" s="26">
        <v>1.0</v>
      </c>
      <c r="AZ20" s="26">
        <v>1.0</v>
      </c>
      <c r="BA20" s="26">
        <v>0.0</v>
      </c>
      <c r="BB20" s="26">
        <v>1.0</v>
      </c>
      <c r="BC20" s="26">
        <v>0.0</v>
      </c>
      <c r="BD20" s="25"/>
    </row>
    <row r="21">
      <c r="A21" s="70">
        <v>11.0</v>
      </c>
      <c r="B21" s="119" t="s">
        <v>89</v>
      </c>
      <c r="C21" s="26">
        <v>15.0</v>
      </c>
      <c r="D21" s="26">
        <v>15.0</v>
      </c>
      <c r="E21" s="26">
        <v>15.0</v>
      </c>
      <c r="F21" s="26">
        <v>39.0</v>
      </c>
      <c r="G21" s="26">
        <v>13.0</v>
      </c>
      <c r="H21" s="26">
        <v>33.0</v>
      </c>
      <c r="I21" s="26">
        <v>52.0</v>
      </c>
      <c r="J21" s="26">
        <v>2.0</v>
      </c>
      <c r="K21" s="26">
        <v>21.0</v>
      </c>
      <c r="L21" s="26">
        <v>14.0</v>
      </c>
      <c r="M21" s="26">
        <v>148.0</v>
      </c>
      <c r="N21" s="26">
        <v>0.0</v>
      </c>
      <c r="O21" s="26">
        <v>74.0</v>
      </c>
      <c r="P21" s="26">
        <v>78.0</v>
      </c>
      <c r="Q21" s="26">
        <v>74.0</v>
      </c>
      <c r="R21" s="26">
        <v>78.0</v>
      </c>
      <c r="S21" s="26">
        <v>47.0</v>
      </c>
      <c r="T21" s="26">
        <v>62.0</v>
      </c>
      <c r="U21" s="26">
        <v>19.0</v>
      </c>
      <c r="V21" s="26">
        <v>13.0</v>
      </c>
      <c r="W21" s="26">
        <v>0.0</v>
      </c>
      <c r="X21" s="26">
        <v>0.0</v>
      </c>
      <c r="Y21" s="26">
        <v>56.0</v>
      </c>
      <c r="Z21" s="26">
        <v>68.0</v>
      </c>
      <c r="AA21" s="26">
        <v>1.0</v>
      </c>
      <c r="AB21" s="26">
        <v>2.0</v>
      </c>
      <c r="AC21" s="26">
        <v>1.0</v>
      </c>
      <c r="AD21" s="26">
        <v>1.0</v>
      </c>
      <c r="AE21" s="26">
        <v>1.0</v>
      </c>
      <c r="AF21" s="26">
        <v>1.0</v>
      </c>
      <c r="AG21" s="26">
        <v>1.0</v>
      </c>
      <c r="AH21" s="26">
        <v>2.0</v>
      </c>
      <c r="AI21" s="26">
        <v>1.0</v>
      </c>
      <c r="AJ21" s="26">
        <v>2.0</v>
      </c>
      <c r="AK21" s="26">
        <v>0.0</v>
      </c>
      <c r="AL21" s="26">
        <v>1.0</v>
      </c>
      <c r="AM21" s="26">
        <v>1.0</v>
      </c>
      <c r="AN21" s="26">
        <v>1.0</v>
      </c>
      <c r="AO21" s="26">
        <v>1.0</v>
      </c>
      <c r="AP21" s="26">
        <v>2.0</v>
      </c>
      <c r="AQ21" s="26">
        <v>1.0</v>
      </c>
      <c r="AR21" s="26">
        <v>0.0</v>
      </c>
      <c r="AS21" s="26">
        <v>2.0</v>
      </c>
      <c r="AT21" s="26">
        <v>1.0</v>
      </c>
      <c r="AU21" s="26">
        <v>1.0</v>
      </c>
      <c r="AV21" s="26">
        <v>1.0</v>
      </c>
      <c r="AW21" s="26">
        <v>1.0</v>
      </c>
      <c r="AX21" s="26">
        <v>2.0</v>
      </c>
      <c r="AY21" s="26">
        <v>1.0</v>
      </c>
      <c r="AZ21" s="26">
        <v>0.0</v>
      </c>
      <c r="BA21" s="26">
        <v>0.0</v>
      </c>
      <c r="BB21" s="26">
        <v>0.0</v>
      </c>
      <c r="BC21" s="26">
        <v>0.0</v>
      </c>
      <c r="BD21" s="25"/>
    </row>
    <row r="22">
      <c r="A22" s="70">
        <v>12.0</v>
      </c>
      <c r="B22" s="119" t="s">
        <v>90</v>
      </c>
      <c r="C22" s="26">
        <v>14.0</v>
      </c>
      <c r="D22" s="26">
        <v>14.0</v>
      </c>
      <c r="E22" s="26">
        <v>14.0</v>
      </c>
      <c r="F22" s="26">
        <v>42.0</v>
      </c>
      <c r="G22" s="26">
        <v>13.0</v>
      </c>
      <c r="H22" s="26">
        <v>33.0</v>
      </c>
      <c r="I22" s="26">
        <v>52.0</v>
      </c>
      <c r="J22" s="26">
        <v>2.0</v>
      </c>
      <c r="K22" s="26">
        <v>21.0</v>
      </c>
      <c r="L22" s="26">
        <v>14.0</v>
      </c>
      <c r="M22" s="26">
        <v>148.0</v>
      </c>
      <c r="N22" s="26">
        <v>0.0</v>
      </c>
      <c r="O22" s="26">
        <v>76.0</v>
      </c>
      <c r="P22" s="26">
        <v>78.0</v>
      </c>
      <c r="Q22" s="26">
        <v>76.0</v>
      </c>
      <c r="R22" s="26">
        <v>78.0</v>
      </c>
      <c r="S22" s="26">
        <v>52.0</v>
      </c>
      <c r="T22" s="26">
        <v>59.0</v>
      </c>
      <c r="U22" s="26">
        <v>15.0</v>
      </c>
      <c r="V22" s="26">
        <v>19.0</v>
      </c>
      <c r="W22" s="26">
        <v>0.0</v>
      </c>
      <c r="X22" s="26">
        <v>0.0</v>
      </c>
      <c r="Y22" s="26">
        <v>1.0</v>
      </c>
      <c r="Z22" s="26">
        <v>1.0</v>
      </c>
      <c r="AA22" s="26">
        <v>1.0</v>
      </c>
      <c r="AB22" s="26">
        <v>0.0</v>
      </c>
      <c r="AC22" s="26">
        <v>0.0</v>
      </c>
      <c r="AD22" s="26">
        <v>1.0</v>
      </c>
      <c r="AE22" s="26">
        <v>1.0</v>
      </c>
      <c r="AF22" s="26">
        <v>1.0</v>
      </c>
      <c r="AG22" s="26">
        <v>1.0</v>
      </c>
      <c r="AH22" s="26">
        <v>1.0</v>
      </c>
      <c r="AI22" s="26">
        <v>1.0</v>
      </c>
      <c r="AJ22" s="26">
        <v>0.0</v>
      </c>
      <c r="AK22" s="25"/>
      <c r="AL22" s="26">
        <v>1.0</v>
      </c>
      <c r="AM22" s="26">
        <v>1.0</v>
      </c>
      <c r="AN22" s="26">
        <v>1.0</v>
      </c>
      <c r="AO22" s="26">
        <v>1.0</v>
      </c>
      <c r="AP22" s="26">
        <v>1.0</v>
      </c>
      <c r="AQ22" s="26">
        <v>1.0</v>
      </c>
      <c r="AR22" s="26">
        <v>2.0</v>
      </c>
      <c r="AS22" s="26">
        <v>1.0</v>
      </c>
      <c r="AT22" s="26">
        <v>1.0</v>
      </c>
      <c r="AU22" s="26">
        <v>1.0</v>
      </c>
      <c r="AV22" s="26">
        <v>1.0</v>
      </c>
      <c r="AW22" s="26">
        <v>1.0</v>
      </c>
      <c r="AX22" s="26">
        <v>1.0</v>
      </c>
      <c r="AY22" s="26">
        <v>1.0</v>
      </c>
      <c r="AZ22" s="26">
        <v>0.0</v>
      </c>
      <c r="BA22" s="26">
        <v>0.0</v>
      </c>
      <c r="BB22" s="26">
        <v>0.0</v>
      </c>
      <c r="BC22" s="26">
        <v>0.0</v>
      </c>
      <c r="BD22" s="25"/>
    </row>
    <row r="23">
      <c r="A23" s="2"/>
      <c r="B23" s="2"/>
      <c r="C23" s="2"/>
      <c r="D23" s="2"/>
      <c r="E23" s="2"/>
      <c r="F23" s="2"/>
      <c r="G23" s="2"/>
      <c r="H23" s="2"/>
      <c r="I23" s="3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7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3">
        <f t="shared" ref="C24:H24" si="1">SUM(C11:C22)</f>
        <v>182</v>
      </c>
      <c r="D24" s="83">
        <f t="shared" si="1"/>
        <v>182</v>
      </c>
      <c r="E24" s="83">
        <f t="shared" si="1"/>
        <v>182</v>
      </c>
      <c r="F24" s="83">
        <f t="shared" si="1"/>
        <v>427</v>
      </c>
      <c r="G24" s="83">
        <f t="shared" si="1"/>
        <v>150</v>
      </c>
      <c r="H24" s="83">
        <f t="shared" si="1"/>
        <v>393</v>
      </c>
      <c r="I24" s="83">
        <f>SUM(I11:I23)</f>
        <v>629</v>
      </c>
      <c r="J24" s="83">
        <f t="shared" ref="J24:AA24" si="2">SUM(J11:J22)</f>
        <v>24</v>
      </c>
      <c r="K24" s="83">
        <f t="shared" si="2"/>
        <v>235</v>
      </c>
      <c r="L24" s="83">
        <f t="shared" si="2"/>
        <v>172</v>
      </c>
      <c r="M24" s="83">
        <f t="shared" si="2"/>
        <v>1733</v>
      </c>
      <c r="N24" s="83">
        <f t="shared" si="2"/>
        <v>0</v>
      </c>
      <c r="O24" s="83">
        <f t="shared" si="2"/>
        <v>919</v>
      </c>
      <c r="P24" s="83">
        <f t="shared" si="2"/>
        <v>911</v>
      </c>
      <c r="Q24" s="83">
        <f t="shared" si="2"/>
        <v>919</v>
      </c>
      <c r="R24" s="83">
        <f t="shared" si="2"/>
        <v>911</v>
      </c>
      <c r="S24" s="83">
        <f t="shared" si="2"/>
        <v>560</v>
      </c>
      <c r="T24" s="83">
        <f t="shared" si="2"/>
        <v>678</v>
      </c>
      <c r="U24" s="83">
        <f t="shared" si="2"/>
        <v>241</v>
      </c>
      <c r="V24" s="83">
        <f t="shared" si="2"/>
        <v>283</v>
      </c>
      <c r="W24" s="83">
        <f t="shared" si="2"/>
        <v>105</v>
      </c>
      <c r="X24" s="83">
        <f t="shared" si="2"/>
        <v>116</v>
      </c>
      <c r="Y24" s="83">
        <f t="shared" si="2"/>
        <v>189</v>
      </c>
      <c r="Z24" s="83">
        <f t="shared" si="2"/>
        <v>195</v>
      </c>
      <c r="AA24" s="83">
        <f t="shared" si="2"/>
        <v>24</v>
      </c>
      <c r="AB24" s="83">
        <f>SUM(AB11:AB23)</f>
        <v>11</v>
      </c>
      <c r="AC24" s="83">
        <f t="shared" ref="AC24:BD24" si="3">SUM(AC11:AC22)</f>
        <v>15</v>
      </c>
      <c r="AD24" s="83">
        <f t="shared" si="3"/>
        <v>11</v>
      </c>
      <c r="AE24" s="83">
        <f t="shared" si="3"/>
        <v>14</v>
      </c>
      <c r="AF24" s="83">
        <f t="shared" si="3"/>
        <v>8</v>
      </c>
      <c r="AG24" s="83">
        <f t="shared" si="3"/>
        <v>14</v>
      </c>
      <c r="AH24" s="83">
        <f t="shared" si="3"/>
        <v>9</v>
      </c>
      <c r="AI24" s="83">
        <f t="shared" si="3"/>
        <v>11</v>
      </c>
      <c r="AJ24" s="83">
        <f t="shared" si="3"/>
        <v>11</v>
      </c>
      <c r="AK24" s="83">
        <f t="shared" si="3"/>
        <v>14</v>
      </c>
      <c r="AL24" s="83">
        <f t="shared" si="3"/>
        <v>8</v>
      </c>
      <c r="AM24" s="83">
        <f t="shared" si="3"/>
        <v>14</v>
      </c>
      <c r="AN24" s="83">
        <f t="shared" si="3"/>
        <v>8</v>
      </c>
      <c r="AO24" s="83">
        <f t="shared" si="3"/>
        <v>14</v>
      </c>
      <c r="AP24" s="83">
        <f t="shared" si="3"/>
        <v>9</v>
      </c>
      <c r="AQ24" s="83">
        <f t="shared" si="3"/>
        <v>11</v>
      </c>
      <c r="AR24" s="83">
        <f t="shared" si="3"/>
        <v>14</v>
      </c>
      <c r="AS24" s="83">
        <f t="shared" si="3"/>
        <v>16</v>
      </c>
      <c r="AT24" s="83">
        <f t="shared" si="3"/>
        <v>11</v>
      </c>
      <c r="AU24" s="83">
        <f t="shared" si="3"/>
        <v>14</v>
      </c>
      <c r="AV24" s="83">
        <f t="shared" si="3"/>
        <v>8</v>
      </c>
      <c r="AW24" s="83">
        <f t="shared" si="3"/>
        <v>14</v>
      </c>
      <c r="AX24" s="83">
        <f t="shared" si="3"/>
        <v>9</v>
      </c>
      <c r="AY24" s="83">
        <f t="shared" si="3"/>
        <v>12</v>
      </c>
      <c r="AZ24" s="83">
        <f t="shared" si="3"/>
        <v>3</v>
      </c>
      <c r="BA24" s="83">
        <f t="shared" si="3"/>
        <v>2</v>
      </c>
      <c r="BB24" s="83">
        <f t="shared" si="3"/>
        <v>3</v>
      </c>
      <c r="BC24" s="83">
        <f t="shared" si="3"/>
        <v>2</v>
      </c>
      <c r="BD24" s="83">
        <f t="shared" si="3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0" t="s">
        <v>1009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1" t="s">
        <v>1010</v>
      </c>
      <c r="B30" s="88"/>
      <c r="C30" s="88"/>
      <c r="D30" s="88"/>
      <c r="E30" s="88"/>
      <c r="F30" s="88"/>
      <c r="G30" s="88"/>
      <c r="H30" s="8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9" t="s">
        <v>1011</v>
      </c>
      <c r="B31" s="122" t="s">
        <v>1012</v>
      </c>
      <c r="C31" s="122" t="s">
        <v>1013</v>
      </c>
      <c r="D31" s="54" t="s">
        <v>1014</v>
      </c>
      <c r="E31" s="34"/>
      <c r="F31" s="34"/>
      <c r="G31" s="9"/>
      <c r="H31" s="54" t="s">
        <v>1015</v>
      </c>
      <c r="I31" s="34"/>
      <c r="J31" s="34"/>
      <c r="K31" s="34"/>
      <c r="L31" s="34"/>
      <c r="M31" s="34"/>
      <c r="N31" s="9"/>
      <c r="O31" s="54" t="s">
        <v>1016</v>
      </c>
      <c r="P31" s="34"/>
      <c r="Q31" s="9"/>
      <c r="R31" s="54" t="s">
        <v>1017</v>
      </c>
      <c r="S31" s="34"/>
      <c r="T31" s="9"/>
      <c r="U31" s="90" t="s">
        <v>1018</v>
      </c>
      <c r="V31" s="61"/>
      <c r="W31" s="90" t="s">
        <v>1019</v>
      </c>
      <c r="X31" s="61"/>
      <c r="Y31" s="123" t="s">
        <v>1020</v>
      </c>
      <c r="Z31" s="61"/>
      <c r="AA31" s="124" t="s">
        <v>1021</v>
      </c>
      <c r="AB31" s="125" t="s">
        <v>1022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1023</v>
      </c>
      <c r="E32" s="9"/>
      <c r="F32" s="54" t="s">
        <v>1024</v>
      </c>
      <c r="G32" s="9"/>
      <c r="H32" s="54" t="s">
        <v>1025</v>
      </c>
      <c r="I32" s="9"/>
      <c r="J32" s="54" t="s">
        <v>1026</v>
      </c>
      <c r="K32" s="9"/>
      <c r="L32" s="54" t="s">
        <v>1027</v>
      </c>
      <c r="M32" s="9"/>
      <c r="N32" s="89" t="s">
        <v>1028</v>
      </c>
      <c r="O32" s="124" t="s">
        <v>1029</v>
      </c>
      <c r="P32" s="54" t="s">
        <v>1030</v>
      </c>
      <c r="Q32" s="9"/>
      <c r="R32" s="124" t="s">
        <v>1029</v>
      </c>
      <c r="S32" s="54" t="s">
        <v>1031</v>
      </c>
      <c r="T32" s="9"/>
      <c r="U32" s="66"/>
      <c r="V32" s="68"/>
      <c r="W32" s="66"/>
      <c r="X32" s="68"/>
      <c r="Y32" s="126" t="s">
        <v>1032</v>
      </c>
      <c r="Z32" s="127"/>
      <c r="AA32" s="128" t="s">
        <v>1033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0" t="s">
        <v>1012</v>
      </c>
      <c r="E33" s="80" t="s">
        <v>1013</v>
      </c>
      <c r="F33" s="80" t="s">
        <v>1012</v>
      </c>
      <c r="G33" s="80" t="s">
        <v>1013</v>
      </c>
      <c r="H33" s="80" t="s">
        <v>1034</v>
      </c>
      <c r="I33" s="80" t="s">
        <v>1035</v>
      </c>
      <c r="J33" s="80" t="s">
        <v>1034</v>
      </c>
      <c r="K33" s="80" t="s">
        <v>1036</v>
      </c>
      <c r="L33" s="80" t="s">
        <v>1034</v>
      </c>
      <c r="M33" s="80" t="s">
        <v>1035</v>
      </c>
      <c r="N33" s="11"/>
      <c r="O33" s="129" t="s">
        <v>1037</v>
      </c>
      <c r="P33" s="80" t="s">
        <v>1038</v>
      </c>
      <c r="Q33" s="80" t="s">
        <v>1039</v>
      </c>
      <c r="R33" s="129" t="s">
        <v>1040</v>
      </c>
      <c r="S33" s="80" t="s">
        <v>1038</v>
      </c>
      <c r="T33" s="80" t="s">
        <v>1039</v>
      </c>
      <c r="U33" s="80" t="s">
        <v>1041</v>
      </c>
      <c r="V33" s="80" t="s">
        <v>1039</v>
      </c>
      <c r="W33" s="80" t="s">
        <v>1041</v>
      </c>
      <c r="X33" s="80" t="s">
        <v>1039</v>
      </c>
      <c r="Y33" s="80" t="s">
        <v>1041</v>
      </c>
      <c r="Z33" s="54" t="s">
        <v>1039</v>
      </c>
      <c r="AA33" s="130"/>
      <c r="AB33" s="131" t="s">
        <v>1012</v>
      </c>
      <c r="AC33" s="80" t="s">
        <v>1042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2">
        <v>1.0</v>
      </c>
      <c r="B34" s="132">
        <v>2.0</v>
      </c>
      <c r="C34" s="133">
        <v>3.0</v>
      </c>
      <c r="D34" s="132">
        <v>4.0</v>
      </c>
      <c r="E34" s="132">
        <v>5.0</v>
      </c>
      <c r="F34" s="132">
        <v>6.0</v>
      </c>
      <c r="G34" s="132">
        <v>7.0</v>
      </c>
      <c r="H34" s="132">
        <v>8.0</v>
      </c>
      <c r="I34" s="134">
        <v>9.0</v>
      </c>
      <c r="J34" s="134">
        <v>10.0</v>
      </c>
      <c r="K34" s="134">
        <v>11.0</v>
      </c>
      <c r="L34" s="134">
        <v>12.0</v>
      </c>
      <c r="M34" s="134">
        <v>13.0</v>
      </c>
      <c r="N34" s="134">
        <v>14.0</v>
      </c>
      <c r="O34" s="135">
        <v>15.0</v>
      </c>
      <c r="P34" s="134">
        <v>16.0</v>
      </c>
      <c r="Q34" s="134">
        <v>17.0</v>
      </c>
      <c r="R34" s="135">
        <v>18.0</v>
      </c>
      <c r="S34" s="134">
        <v>19.0</v>
      </c>
      <c r="T34" s="134">
        <v>20.0</v>
      </c>
      <c r="U34" s="132">
        <v>21.0</v>
      </c>
      <c r="V34" s="132">
        <v>22.0</v>
      </c>
      <c r="W34" s="132">
        <v>23.0</v>
      </c>
      <c r="X34" s="132">
        <v>24.0</v>
      </c>
      <c r="Y34" s="132">
        <v>25.0</v>
      </c>
      <c r="Z34" s="136">
        <v>26.0</v>
      </c>
      <c r="AA34" s="137">
        <v>27.0</v>
      </c>
      <c r="AB34" s="138">
        <v>28.0</v>
      </c>
      <c r="AC34" s="13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9">
        <v>45658.0</v>
      </c>
      <c r="B35" s="140">
        <v>14.0</v>
      </c>
      <c r="C35" s="141">
        <v>33.0</v>
      </c>
      <c r="D35" s="140">
        <v>9.0</v>
      </c>
      <c r="E35" s="140">
        <v>30.0</v>
      </c>
      <c r="F35" s="140">
        <v>5.0</v>
      </c>
      <c r="G35" s="140">
        <v>3.0</v>
      </c>
      <c r="H35" s="94">
        <v>9.0</v>
      </c>
      <c r="I35" s="142">
        <v>0.0</v>
      </c>
      <c r="J35" s="142">
        <v>9.0</v>
      </c>
      <c r="K35" s="142">
        <v>0.0</v>
      </c>
      <c r="L35" s="142">
        <v>9.0</v>
      </c>
      <c r="M35" s="142">
        <v>0.0</v>
      </c>
      <c r="N35" s="142">
        <v>0.0</v>
      </c>
      <c r="O35" s="96">
        <v>14.0</v>
      </c>
      <c r="P35" s="96">
        <v>14.0</v>
      </c>
      <c r="Q35" s="96">
        <v>0.0</v>
      </c>
      <c r="R35" s="96">
        <v>0.0</v>
      </c>
      <c r="S35" s="96">
        <v>0.0</v>
      </c>
      <c r="T35" s="96">
        <v>0.0</v>
      </c>
      <c r="U35" s="140">
        <v>9.0</v>
      </c>
      <c r="V35" s="140">
        <v>5.0</v>
      </c>
      <c r="W35" s="140">
        <v>6.0</v>
      </c>
      <c r="X35" s="140">
        <v>0.0</v>
      </c>
      <c r="Y35" s="140">
        <v>2.0</v>
      </c>
      <c r="Z35" s="140">
        <v>4.0</v>
      </c>
      <c r="AA35" s="140">
        <v>6.0</v>
      </c>
      <c r="AB35" s="143"/>
      <c r="AC35" s="14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9">
        <v>45689.0</v>
      </c>
      <c r="B36" s="96">
        <v>12.0</v>
      </c>
      <c r="C36" s="96">
        <v>48.0</v>
      </c>
      <c r="D36" s="96">
        <v>10.0</v>
      </c>
      <c r="E36" s="96">
        <v>44.0</v>
      </c>
      <c r="F36" s="96">
        <v>2.0</v>
      </c>
      <c r="G36" s="96">
        <v>4.0</v>
      </c>
      <c r="H36" s="96">
        <v>10.0</v>
      </c>
      <c r="I36" s="96">
        <v>0.0</v>
      </c>
      <c r="J36" s="96">
        <v>10.0</v>
      </c>
      <c r="K36" s="96">
        <v>0.0</v>
      </c>
      <c r="L36" s="96">
        <v>10.0</v>
      </c>
      <c r="M36" s="96">
        <v>0.0</v>
      </c>
      <c r="N36" s="96">
        <v>0.0</v>
      </c>
      <c r="O36" s="96">
        <v>12.0</v>
      </c>
      <c r="P36" s="96">
        <v>12.0</v>
      </c>
      <c r="Q36" s="96">
        <v>0.0</v>
      </c>
      <c r="R36" s="96">
        <v>0.0</v>
      </c>
      <c r="S36" s="96">
        <v>0.0</v>
      </c>
      <c r="T36" s="96">
        <v>0.0</v>
      </c>
      <c r="U36" s="96">
        <v>10.0</v>
      </c>
      <c r="V36" s="96">
        <v>2.0</v>
      </c>
      <c r="W36" s="96">
        <v>2.0</v>
      </c>
      <c r="X36" s="96">
        <v>0.0</v>
      </c>
      <c r="Y36" s="96">
        <v>0.0</v>
      </c>
      <c r="Z36" s="96">
        <v>2.0</v>
      </c>
      <c r="AA36" s="96">
        <v>2.0</v>
      </c>
      <c r="AB36" s="98"/>
      <c r="AC36" s="98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9">
        <v>45717.0</v>
      </c>
      <c r="B37" s="96">
        <v>11.0</v>
      </c>
      <c r="C37" s="96">
        <v>29.0</v>
      </c>
      <c r="D37" s="96">
        <v>9.0</v>
      </c>
      <c r="E37" s="96">
        <v>25.0</v>
      </c>
      <c r="F37" s="96">
        <v>2.0</v>
      </c>
      <c r="G37" s="96">
        <v>4.0</v>
      </c>
      <c r="H37" s="96">
        <v>9.0</v>
      </c>
      <c r="I37" s="96">
        <v>0.0</v>
      </c>
      <c r="J37" s="96">
        <v>8.0</v>
      </c>
      <c r="K37" s="96">
        <v>1.0</v>
      </c>
      <c r="L37" s="96">
        <v>9.0</v>
      </c>
      <c r="M37" s="96">
        <v>0.0</v>
      </c>
      <c r="N37" s="96">
        <v>0.0</v>
      </c>
      <c r="O37" s="96">
        <v>11.0</v>
      </c>
      <c r="P37" s="96">
        <v>11.0</v>
      </c>
      <c r="Q37" s="96">
        <v>0.0</v>
      </c>
      <c r="R37" s="96">
        <v>0.0</v>
      </c>
      <c r="S37" s="96">
        <v>0.0</v>
      </c>
      <c r="T37" s="96">
        <v>0.0</v>
      </c>
      <c r="U37" s="96">
        <v>9.0</v>
      </c>
      <c r="V37" s="96">
        <v>2.0</v>
      </c>
      <c r="W37" s="96">
        <v>1.0</v>
      </c>
      <c r="X37" s="96">
        <v>0.0</v>
      </c>
      <c r="Y37" s="96">
        <v>1.0</v>
      </c>
      <c r="Z37" s="96">
        <v>0.0</v>
      </c>
      <c r="AA37" s="96">
        <v>1.0</v>
      </c>
      <c r="AB37" s="98"/>
      <c r="AC37" s="9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9">
        <v>45748.0</v>
      </c>
      <c r="B38" s="96">
        <v>13.0</v>
      </c>
      <c r="C38" s="96">
        <v>24.0</v>
      </c>
      <c r="D38" s="96">
        <v>11.0</v>
      </c>
      <c r="E38" s="96">
        <v>24.0</v>
      </c>
      <c r="F38" s="96">
        <v>2.0</v>
      </c>
      <c r="G38" s="96">
        <v>0.0</v>
      </c>
      <c r="H38" s="96">
        <v>11.0</v>
      </c>
      <c r="I38" s="96">
        <v>0.0</v>
      </c>
      <c r="J38" s="96">
        <v>11.0</v>
      </c>
      <c r="K38" s="96">
        <v>0.0</v>
      </c>
      <c r="L38" s="96">
        <v>11.0</v>
      </c>
      <c r="M38" s="96">
        <v>0.0</v>
      </c>
      <c r="N38" s="96">
        <v>0.0</v>
      </c>
      <c r="O38" s="96">
        <v>13.0</v>
      </c>
      <c r="P38" s="96">
        <v>13.0</v>
      </c>
      <c r="Q38" s="96">
        <v>0.0</v>
      </c>
      <c r="R38" s="96">
        <v>0.0</v>
      </c>
      <c r="S38" s="96">
        <v>0.0</v>
      </c>
      <c r="T38" s="96">
        <v>0.0</v>
      </c>
      <c r="U38" s="96">
        <v>11.0</v>
      </c>
      <c r="V38" s="96">
        <v>2.0</v>
      </c>
      <c r="W38" s="96">
        <v>3.0</v>
      </c>
      <c r="X38" s="96">
        <v>0.0</v>
      </c>
      <c r="Y38" s="96">
        <v>1.0</v>
      </c>
      <c r="Z38" s="96">
        <v>2.0</v>
      </c>
      <c r="AA38" s="96">
        <v>3.0</v>
      </c>
      <c r="AB38" s="98"/>
      <c r="AC38" s="98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9">
        <v>45778.0</v>
      </c>
      <c r="B39" s="96">
        <v>16.0</v>
      </c>
      <c r="C39" s="96">
        <v>29.0</v>
      </c>
      <c r="D39" s="96">
        <v>13.0</v>
      </c>
      <c r="E39" s="96">
        <v>26.0</v>
      </c>
      <c r="F39" s="96">
        <v>3.0</v>
      </c>
      <c r="G39" s="96">
        <v>3.0</v>
      </c>
      <c r="H39" s="96">
        <v>13.0</v>
      </c>
      <c r="I39" s="96">
        <v>0.0</v>
      </c>
      <c r="J39" s="96">
        <v>12.0</v>
      </c>
      <c r="K39" s="96">
        <v>1.0</v>
      </c>
      <c r="L39" s="96">
        <v>13.0</v>
      </c>
      <c r="M39" s="96">
        <v>0.0</v>
      </c>
      <c r="N39" s="96">
        <v>0.0</v>
      </c>
      <c r="O39" s="96">
        <v>16.0</v>
      </c>
      <c r="P39" s="96">
        <v>16.0</v>
      </c>
      <c r="Q39" s="96">
        <v>0.0</v>
      </c>
      <c r="R39" s="96">
        <v>0.0</v>
      </c>
      <c r="S39" s="96">
        <v>0.0</v>
      </c>
      <c r="T39" s="96">
        <v>0.0</v>
      </c>
      <c r="U39" s="96">
        <v>13.0</v>
      </c>
      <c r="V39" s="96">
        <v>3.0</v>
      </c>
      <c r="W39" s="96">
        <v>2.0</v>
      </c>
      <c r="X39" s="96">
        <v>0.0</v>
      </c>
      <c r="Y39" s="96">
        <v>2.0</v>
      </c>
      <c r="Z39" s="96">
        <v>0.0</v>
      </c>
      <c r="AA39" s="96">
        <v>2.0</v>
      </c>
      <c r="AB39" s="98"/>
      <c r="AC39" s="98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9">
        <v>45809.0</v>
      </c>
      <c r="B40" s="96">
        <v>18.0</v>
      </c>
      <c r="C40" s="96">
        <v>30.0</v>
      </c>
      <c r="D40" s="96">
        <v>16.0</v>
      </c>
      <c r="E40" s="96">
        <v>26.0</v>
      </c>
      <c r="F40" s="96">
        <v>2.0</v>
      </c>
      <c r="G40" s="96">
        <v>4.0</v>
      </c>
      <c r="H40" s="96">
        <v>16.0</v>
      </c>
      <c r="I40" s="96">
        <v>0.0</v>
      </c>
      <c r="J40" s="96">
        <v>16.0</v>
      </c>
      <c r="K40" s="96">
        <v>0.0</v>
      </c>
      <c r="L40" s="96">
        <v>16.0</v>
      </c>
      <c r="M40" s="96">
        <v>0.0</v>
      </c>
      <c r="N40" s="96">
        <v>0.0</v>
      </c>
      <c r="O40" s="96">
        <v>18.0</v>
      </c>
      <c r="P40" s="96">
        <v>18.0</v>
      </c>
      <c r="Q40" s="96">
        <v>0.0</v>
      </c>
      <c r="R40" s="96">
        <v>0.0</v>
      </c>
      <c r="S40" s="96">
        <v>0.0</v>
      </c>
      <c r="T40" s="96">
        <v>0.0</v>
      </c>
      <c r="U40" s="96">
        <v>16.0</v>
      </c>
      <c r="V40" s="96">
        <v>2.0</v>
      </c>
      <c r="W40" s="96">
        <v>1.0</v>
      </c>
      <c r="X40" s="96">
        <v>0.0</v>
      </c>
      <c r="Y40" s="96">
        <v>1.0</v>
      </c>
      <c r="Z40" s="96">
        <v>0.0</v>
      </c>
      <c r="AA40" s="96">
        <v>1.0</v>
      </c>
      <c r="AB40" s="96">
        <v>1.0</v>
      </c>
      <c r="AC40" s="9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9">
        <v>45839.0</v>
      </c>
      <c r="B41" s="96">
        <v>17.0</v>
      </c>
      <c r="C41" s="96">
        <v>36.0</v>
      </c>
      <c r="D41" s="96">
        <v>15.0</v>
      </c>
      <c r="E41" s="96">
        <v>31.0</v>
      </c>
      <c r="F41" s="96">
        <v>2.0</v>
      </c>
      <c r="G41" s="96">
        <v>5.0</v>
      </c>
      <c r="H41" s="96">
        <v>15.0</v>
      </c>
      <c r="I41" s="96">
        <v>0.0</v>
      </c>
      <c r="J41" s="96">
        <v>15.0</v>
      </c>
      <c r="K41" s="96">
        <v>0.0</v>
      </c>
      <c r="L41" s="96">
        <v>15.0</v>
      </c>
      <c r="M41" s="96">
        <v>0.0</v>
      </c>
      <c r="N41" s="96">
        <v>0.0</v>
      </c>
      <c r="O41" s="96">
        <v>17.0</v>
      </c>
      <c r="P41" s="96">
        <v>17.0</v>
      </c>
      <c r="Q41" s="96">
        <v>0.0</v>
      </c>
      <c r="R41" s="96">
        <v>0.0</v>
      </c>
      <c r="S41" s="96">
        <v>0.0</v>
      </c>
      <c r="T41" s="96">
        <v>0.0</v>
      </c>
      <c r="U41" s="96">
        <v>15.0</v>
      </c>
      <c r="V41" s="96">
        <v>2.0</v>
      </c>
      <c r="W41" s="96">
        <v>1.0</v>
      </c>
      <c r="X41" s="96">
        <v>0.0</v>
      </c>
      <c r="Y41" s="96">
        <v>0.0</v>
      </c>
      <c r="Z41" s="96">
        <v>1.0</v>
      </c>
      <c r="AA41" s="96">
        <v>1.0</v>
      </c>
      <c r="AB41" s="98"/>
      <c r="AC41" s="9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9">
        <v>45870.0</v>
      </c>
      <c r="B42" s="96">
        <v>18.0</v>
      </c>
      <c r="C42" s="96">
        <v>42.0</v>
      </c>
      <c r="D42" s="96">
        <v>14.0</v>
      </c>
      <c r="E42" s="96">
        <v>40.0</v>
      </c>
      <c r="F42" s="96">
        <v>4.0</v>
      </c>
      <c r="G42" s="96">
        <v>2.0</v>
      </c>
      <c r="H42" s="96">
        <v>14.0</v>
      </c>
      <c r="I42" s="96">
        <v>0.0</v>
      </c>
      <c r="J42" s="96">
        <v>14.0</v>
      </c>
      <c r="K42" s="96">
        <v>0.0</v>
      </c>
      <c r="L42" s="96">
        <v>14.0</v>
      </c>
      <c r="M42" s="96">
        <v>0.0</v>
      </c>
      <c r="N42" s="96">
        <v>0.0</v>
      </c>
      <c r="O42" s="96">
        <v>18.0</v>
      </c>
      <c r="P42" s="96">
        <v>18.0</v>
      </c>
      <c r="Q42" s="96">
        <v>0.0</v>
      </c>
      <c r="R42" s="96">
        <v>0.0</v>
      </c>
      <c r="S42" s="96">
        <v>0.0</v>
      </c>
      <c r="T42" s="96">
        <v>0.0</v>
      </c>
      <c r="U42" s="96">
        <v>14.0</v>
      </c>
      <c r="V42" s="96">
        <v>4.0</v>
      </c>
      <c r="W42" s="96">
        <v>6.0</v>
      </c>
      <c r="X42" s="96">
        <v>0.0</v>
      </c>
      <c r="Y42" s="96">
        <v>3.0</v>
      </c>
      <c r="Z42" s="96">
        <v>3.0</v>
      </c>
      <c r="AA42" s="96">
        <v>6.0</v>
      </c>
      <c r="AB42" s="98"/>
      <c r="AC42" s="9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9">
        <v>45901.0</v>
      </c>
      <c r="B43" s="96">
        <v>17.0</v>
      </c>
      <c r="C43" s="19">
        <v>42.0</v>
      </c>
      <c r="D43" s="96">
        <v>15.0</v>
      </c>
      <c r="E43" s="96">
        <v>39.0</v>
      </c>
      <c r="F43" s="96">
        <v>2.0</v>
      </c>
      <c r="G43" s="96">
        <v>3.0</v>
      </c>
      <c r="H43" s="96">
        <v>15.0</v>
      </c>
      <c r="I43" s="96">
        <v>0.0</v>
      </c>
      <c r="J43" s="96">
        <v>15.0</v>
      </c>
      <c r="K43" s="96">
        <v>0.0</v>
      </c>
      <c r="L43" s="96">
        <v>15.0</v>
      </c>
      <c r="M43" s="96">
        <v>0.0</v>
      </c>
      <c r="N43" s="96">
        <v>0.0</v>
      </c>
      <c r="O43" s="96">
        <v>17.0</v>
      </c>
      <c r="P43" s="96">
        <v>17.0</v>
      </c>
      <c r="Q43" s="96">
        <v>0.0</v>
      </c>
      <c r="R43" s="96">
        <v>0.0</v>
      </c>
      <c r="S43" s="96">
        <v>0.0</v>
      </c>
      <c r="T43" s="96">
        <v>0.0</v>
      </c>
      <c r="U43" s="96">
        <v>15.0</v>
      </c>
      <c r="V43" s="96">
        <v>2.0</v>
      </c>
      <c r="W43" s="96">
        <v>0.0</v>
      </c>
      <c r="X43" s="96">
        <v>0.0</v>
      </c>
      <c r="Y43" s="96">
        <v>0.0</v>
      </c>
      <c r="Z43" s="96">
        <v>0.0</v>
      </c>
      <c r="AA43" s="96">
        <v>0.0</v>
      </c>
      <c r="AB43" s="98"/>
      <c r="AC43" s="9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9">
        <v>45931.0</v>
      </c>
      <c r="B44" s="96">
        <v>17.0</v>
      </c>
      <c r="C44" s="96">
        <v>41.0</v>
      </c>
      <c r="D44" s="96">
        <v>15.0</v>
      </c>
      <c r="E44" s="96">
        <v>38.0</v>
      </c>
      <c r="F44" s="96">
        <v>2.0</v>
      </c>
      <c r="G44" s="96">
        <v>3.0</v>
      </c>
      <c r="H44" s="96">
        <v>15.0</v>
      </c>
      <c r="I44" s="96">
        <v>0.0</v>
      </c>
      <c r="J44" s="96">
        <v>15.0</v>
      </c>
      <c r="K44" s="96">
        <v>0.0</v>
      </c>
      <c r="L44" s="96">
        <v>14.0</v>
      </c>
      <c r="M44" s="96">
        <v>1.0</v>
      </c>
      <c r="N44" s="96">
        <v>0.0</v>
      </c>
      <c r="O44" s="96">
        <v>17.0</v>
      </c>
      <c r="P44" s="96">
        <v>16.0</v>
      </c>
      <c r="Q44" s="96">
        <v>1.0</v>
      </c>
      <c r="R44" s="96">
        <v>0.0</v>
      </c>
      <c r="S44" s="96">
        <v>0.0</v>
      </c>
      <c r="T44" s="96">
        <v>0.0</v>
      </c>
      <c r="U44" s="96">
        <v>15.0</v>
      </c>
      <c r="V44" s="96">
        <v>2.0</v>
      </c>
      <c r="W44" s="96">
        <v>2.0</v>
      </c>
      <c r="X44" s="96">
        <v>0.0</v>
      </c>
      <c r="Y44" s="96">
        <v>0.0</v>
      </c>
      <c r="Z44" s="96">
        <v>2.0</v>
      </c>
      <c r="AA44" s="96">
        <v>2.0</v>
      </c>
      <c r="AB44" s="96">
        <v>1.0</v>
      </c>
      <c r="AC44" s="9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9">
        <v>45962.0</v>
      </c>
      <c r="B45" s="96">
        <v>15.0</v>
      </c>
      <c r="C45" s="96">
        <v>39.0</v>
      </c>
      <c r="D45" s="96">
        <v>14.0</v>
      </c>
      <c r="E45" s="96">
        <v>39.0</v>
      </c>
      <c r="F45" s="96">
        <v>1.0</v>
      </c>
      <c r="G45" s="96">
        <v>0.0</v>
      </c>
      <c r="H45" s="96">
        <v>14.0</v>
      </c>
      <c r="I45" s="96">
        <v>0.0</v>
      </c>
      <c r="J45" s="96">
        <v>14.0</v>
      </c>
      <c r="K45" s="96">
        <v>0.0</v>
      </c>
      <c r="L45" s="96">
        <v>13.0</v>
      </c>
      <c r="M45" s="96">
        <v>1.0</v>
      </c>
      <c r="N45" s="96">
        <v>0.0</v>
      </c>
      <c r="O45" s="96">
        <v>15.0</v>
      </c>
      <c r="P45" s="96">
        <v>14.0</v>
      </c>
      <c r="Q45" s="96">
        <v>1.0</v>
      </c>
      <c r="R45" s="96">
        <v>0.0</v>
      </c>
      <c r="S45" s="96">
        <v>0.0</v>
      </c>
      <c r="T45" s="96">
        <v>0.0</v>
      </c>
      <c r="U45" s="96">
        <v>14.0</v>
      </c>
      <c r="V45" s="96">
        <v>1.0</v>
      </c>
      <c r="W45" s="96">
        <v>3.0</v>
      </c>
      <c r="X45" s="96">
        <v>0.0</v>
      </c>
      <c r="Y45" s="96">
        <v>2.0</v>
      </c>
      <c r="Z45" s="96">
        <v>1.0</v>
      </c>
      <c r="AA45" s="96">
        <v>3.0</v>
      </c>
      <c r="AB45" s="98"/>
      <c r="AC45" s="9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9">
        <v>45992.0</v>
      </c>
      <c r="B46" s="96">
        <v>14.0</v>
      </c>
      <c r="C46" s="96">
        <v>42.0</v>
      </c>
      <c r="D46" s="96">
        <v>13.0</v>
      </c>
      <c r="E46" s="96">
        <v>40.0</v>
      </c>
      <c r="F46" s="96">
        <v>1.0</v>
      </c>
      <c r="G46" s="96">
        <v>2.0</v>
      </c>
      <c r="H46" s="96">
        <v>13.0</v>
      </c>
      <c r="I46" s="96">
        <v>0.0</v>
      </c>
      <c r="J46" s="96">
        <v>13.0</v>
      </c>
      <c r="K46" s="96">
        <v>0.0</v>
      </c>
      <c r="L46" s="96">
        <v>12.0</v>
      </c>
      <c r="M46" s="96">
        <v>1.0</v>
      </c>
      <c r="N46" s="96">
        <v>0.0</v>
      </c>
      <c r="O46" s="96">
        <v>14.0</v>
      </c>
      <c r="P46" s="96">
        <v>13.0</v>
      </c>
      <c r="Q46" s="96">
        <v>1.0</v>
      </c>
      <c r="R46" s="96">
        <v>1.0</v>
      </c>
      <c r="S46" s="96">
        <v>1.0</v>
      </c>
      <c r="T46" s="96">
        <v>0.0</v>
      </c>
      <c r="U46" s="96">
        <v>13.0</v>
      </c>
      <c r="V46" s="96">
        <v>1.0</v>
      </c>
      <c r="W46" s="96">
        <v>0.0</v>
      </c>
      <c r="X46" s="96">
        <v>0.0</v>
      </c>
      <c r="Y46" s="96">
        <v>0.0</v>
      </c>
      <c r="Z46" s="96">
        <v>0.0</v>
      </c>
      <c r="AA46" s="96">
        <v>0.0</v>
      </c>
      <c r="AB46" s="98"/>
      <c r="AC46" s="9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 t="s">
        <v>1043</v>
      </c>
      <c r="B47" s="96">
        <v>182.0</v>
      </c>
      <c r="C47" s="96">
        <v>435.0</v>
      </c>
      <c r="D47" s="96">
        <v>154.0</v>
      </c>
      <c r="E47" s="96">
        <v>402.0</v>
      </c>
      <c r="F47" s="96">
        <v>28.0</v>
      </c>
      <c r="G47" s="96">
        <v>33.0</v>
      </c>
      <c r="H47" s="96">
        <v>154.0</v>
      </c>
      <c r="I47" s="96">
        <v>0.0</v>
      </c>
      <c r="J47" s="96">
        <v>152.0</v>
      </c>
      <c r="K47" s="96">
        <v>2.0</v>
      </c>
      <c r="L47" s="98"/>
      <c r="M47" s="96">
        <v>3.0</v>
      </c>
      <c r="N47" s="96">
        <v>0.0</v>
      </c>
      <c r="O47" s="98"/>
      <c r="P47" s="98"/>
      <c r="Q47" s="96">
        <v>3.0</v>
      </c>
      <c r="R47" s="96">
        <v>1.0</v>
      </c>
      <c r="S47" s="96">
        <v>1.0</v>
      </c>
      <c r="T47" s="96">
        <v>0.0</v>
      </c>
      <c r="U47" s="98"/>
      <c r="V47" s="96">
        <v>28.0</v>
      </c>
      <c r="W47" s="96">
        <v>27.0</v>
      </c>
      <c r="X47" s="96">
        <v>0.0</v>
      </c>
      <c r="Y47" s="96">
        <v>12.0</v>
      </c>
      <c r="Z47" s="96">
        <v>15.0</v>
      </c>
      <c r="AA47" s="96">
        <v>27.0</v>
      </c>
      <c r="AB47" s="96">
        <v>2.0</v>
      </c>
      <c r="AC47" s="96">
        <v>0.0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1" t="s">
        <v>1044</v>
      </c>
      <c r="B50" s="88"/>
      <c r="C50" s="88"/>
      <c r="D50" s="88"/>
      <c r="E50" s="88"/>
      <c r="F50" s="88"/>
      <c r="G50" s="88"/>
      <c r="H50" s="8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9" t="s">
        <v>1011</v>
      </c>
      <c r="B51" s="89" t="s">
        <v>1045</v>
      </c>
      <c r="C51" s="89" t="s">
        <v>1046</v>
      </c>
      <c r="D51" s="54" t="s">
        <v>1014</v>
      </c>
      <c r="E51" s="34"/>
      <c r="F51" s="34"/>
      <c r="G51" s="9"/>
      <c r="H51" s="54" t="s">
        <v>1047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9"/>
      <c r="W51" s="90" t="s">
        <v>1048</v>
      </c>
      <c r="X51" s="60"/>
      <c r="Y51" s="60"/>
      <c r="Z51" s="60"/>
      <c r="AA51" s="60"/>
      <c r="AB51" s="60"/>
      <c r="AC51" s="61"/>
      <c r="AD51" s="89" t="s">
        <v>1049</v>
      </c>
      <c r="AE51" s="54" t="s">
        <v>1050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44" t="s">
        <v>1051</v>
      </c>
      <c r="C52" s="144" t="s">
        <v>1052</v>
      </c>
      <c r="D52" s="54" t="s">
        <v>1023</v>
      </c>
      <c r="E52" s="9"/>
      <c r="F52" s="54" t="s">
        <v>1024</v>
      </c>
      <c r="G52" s="9"/>
      <c r="H52" s="54" t="s">
        <v>1053</v>
      </c>
      <c r="I52" s="9"/>
      <c r="J52" s="54" t="s">
        <v>1054</v>
      </c>
      <c r="K52" s="34"/>
      <c r="L52" s="34"/>
      <c r="M52" s="9"/>
      <c r="N52" s="145" t="s">
        <v>1055</v>
      </c>
      <c r="O52" s="9"/>
      <c r="P52" s="54" t="s">
        <v>1056</v>
      </c>
      <c r="Q52" s="9"/>
      <c r="R52" s="146" t="s">
        <v>1057</v>
      </c>
      <c r="S52" s="9"/>
      <c r="T52" s="114" t="s">
        <v>1026</v>
      </c>
      <c r="U52" s="9"/>
      <c r="V52" s="147" t="s">
        <v>1028</v>
      </c>
      <c r="W52" s="66"/>
      <c r="X52" s="67"/>
      <c r="Y52" s="67"/>
      <c r="Z52" s="67"/>
      <c r="AA52" s="67"/>
      <c r="AB52" s="67"/>
      <c r="AC52" s="68"/>
      <c r="AD52" s="65"/>
      <c r="AE52" s="94" t="s">
        <v>1045</v>
      </c>
      <c r="AF52" s="94" t="s">
        <v>1058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8"/>
      <c r="C53" s="149" t="s">
        <v>1059</v>
      </c>
      <c r="D53" s="80" t="s">
        <v>1045</v>
      </c>
      <c r="E53" s="80" t="s">
        <v>1060</v>
      </c>
      <c r="F53" s="80" t="s">
        <v>1045</v>
      </c>
      <c r="G53" s="80" t="s">
        <v>1060</v>
      </c>
      <c r="H53" s="80" t="s">
        <v>1061</v>
      </c>
      <c r="I53" s="80" t="s">
        <v>1062</v>
      </c>
      <c r="J53" s="80" t="s">
        <v>1063</v>
      </c>
      <c r="K53" s="80" t="s">
        <v>1064</v>
      </c>
      <c r="L53" s="80" t="s">
        <v>1065</v>
      </c>
      <c r="M53" s="80" t="s">
        <v>1066</v>
      </c>
      <c r="N53" s="150" t="s">
        <v>1067</v>
      </c>
      <c r="O53" s="151" t="s">
        <v>1068</v>
      </c>
      <c r="P53" s="80" t="s">
        <v>1065</v>
      </c>
      <c r="Q53" s="80" t="s">
        <v>1066</v>
      </c>
      <c r="R53" s="129" t="s">
        <v>1067</v>
      </c>
      <c r="S53" s="80" t="s">
        <v>1068</v>
      </c>
      <c r="T53" s="80" t="s">
        <v>1067</v>
      </c>
      <c r="U53" s="80" t="s">
        <v>1068</v>
      </c>
      <c r="V53" s="80" t="s">
        <v>1069</v>
      </c>
      <c r="W53" s="80" t="s">
        <v>1070</v>
      </c>
      <c r="X53" s="80" t="s">
        <v>1071</v>
      </c>
      <c r="Y53" s="152" t="s">
        <v>1072</v>
      </c>
      <c r="Z53" s="54" t="s">
        <v>1073</v>
      </c>
      <c r="AA53" s="130" t="s">
        <v>1074</v>
      </c>
      <c r="AB53" s="131" t="s">
        <v>1075</v>
      </c>
      <c r="AC53" s="80" t="s">
        <v>1076</v>
      </c>
      <c r="AD53" s="11"/>
      <c r="AE53" s="94" t="s">
        <v>1077</v>
      </c>
      <c r="AF53" s="94" t="s">
        <v>1078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2">
        <v>1.0</v>
      </c>
      <c r="B54" s="132">
        <v>2.0</v>
      </c>
      <c r="C54" s="133">
        <v>3.0</v>
      </c>
      <c r="D54" s="132">
        <v>4.0</v>
      </c>
      <c r="E54" s="132">
        <v>5.0</v>
      </c>
      <c r="F54" s="132">
        <v>6.0</v>
      </c>
      <c r="G54" s="132">
        <v>7.0</v>
      </c>
      <c r="H54" s="132">
        <v>8.0</v>
      </c>
      <c r="I54" s="134">
        <v>9.0</v>
      </c>
      <c r="J54" s="134">
        <v>10.0</v>
      </c>
      <c r="K54" s="134">
        <v>11.0</v>
      </c>
      <c r="L54" s="134">
        <v>12.0</v>
      </c>
      <c r="M54" s="134">
        <v>13.0</v>
      </c>
      <c r="N54" s="134">
        <v>14.0</v>
      </c>
      <c r="O54" s="135">
        <v>15.0</v>
      </c>
      <c r="P54" s="134">
        <v>16.0</v>
      </c>
      <c r="Q54" s="134">
        <v>17.0</v>
      </c>
      <c r="R54" s="135">
        <v>18.0</v>
      </c>
      <c r="S54" s="134">
        <v>19.0</v>
      </c>
      <c r="T54" s="134">
        <v>20.0</v>
      </c>
      <c r="U54" s="132">
        <v>21.0</v>
      </c>
      <c r="V54" s="132">
        <v>22.0</v>
      </c>
      <c r="W54" s="132">
        <v>23.0</v>
      </c>
      <c r="X54" s="132">
        <v>24.0</v>
      </c>
      <c r="Y54" s="132">
        <v>25.0</v>
      </c>
      <c r="Z54" s="136">
        <v>26.0</v>
      </c>
      <c r="AA54" s="137">
        <v>27.0</v>
      </c>
      <c r="AB54" s="138">
        <v>28.0</v>
      </c>
      <c r="AC54" s="132">
        <v>29.0</v>
      </c>
      <c r="AD54" s="132">
        <v>30.0</v>
      </c>
      <c r="AE54" s="132">
        <v>31.0</v>
      </c>
      <c r="AF54" s="13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9">
        <v>45658.0</v>
      </c>
      <c r="B55" s="140">
        <v>19.0</v>
      </c>
      <c r="C55" s="141">
        <v>174.0</v>
      </c>
      <c r="D55" s="140">
        <v>18.0</v>
      </c>
      <c r="E55" s="140">
        <v>132.0</v>
      </c>
      <c r="F55" s="140">
        <v>1.0</v>
      </c>
      <c r="G55" s="140">
        <v>42.0</v>
      </c>
      <c r="H55" s="94">
        <v>150.0</v>
      </c>
      <c r="I55" s="142">
        <v>0.0</v>
      </c>
      <c r="J55" s="142">
        <v>125.0</v>
      </c>
      <c r="K55" s="142">
        <v>25.0</v>
      </c>
      <c r="L55" s="142">
        <v>150.0</v>
      </c>
      <c r="M55" s="142">
        <v>0.0</v>
      </c>
      <c r="N55" s="142">
        <v>149.0</v>
      </c>
      <c r="O55" s="96">
        <v>1.0</v>
      </c>
      <c r="P55" s="96">
        <v>150.0</v>
      </c>
      <c r="Q55" s="96">
        <v>0.0</v>
      </c>
      <c r="R55" s="96">
        <v>150.0</v>
      </c>
      <c r="S55" s="96">
        <v>0.0</v>
      </c>
      <c r="T55" s="96">
        <v>150.0</v>
      </c>
      <c r="U55" s="140">
        <v>0.0</v>
      </c>
      <c r="V55" s="140">
        <v>0.0</v>
      </c>
      <c r="W55" s="140">
        <v>11.0</v>
      </c>
      <c r="X55" s="143"/>
      <c r="Y55" s="140">
        <v>10.0</v>
      </c>
      <c r="Z55" s="140">
        <v>0.0</v>
      </c>
      <c r="AA55" s="140">
        <v>0.0</v>
      </c>
      <c r="AB55" s="140">
        <v>0.0</v>
      </c>
      <c r="AC55" s="140">
        <v>150.0</v>
      </c>
      <c r="AD55" s="96">
        <v>1.0</v>
      </c>
      <c r="AE55" s="96">
        <v>0.0</v>
      </c>
      <c r="AF55" s="96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3" t="s">
        <v>1079</v>
      </c>
      <c r="B56" s="96">
        <v>20.0</v>
      </c>
      <c r="C56" s="96">
        <v>173.0</v>
      </c>
      <c r="D56" s="96">
        <v>18.0</v>
      </c>
      <c r="E56" s="96">
        <v>130.0</v>
      </c>
      <c r="F56" s="96">
        <v>2.0</v>
      </c>
      <c r="G56" s="96">
        <v>43.0</v>
      </c>
      <c r="H56" s="96">
        <v>148.0</v>
      </c>
      <c r="I56" s="96">
        <v>0.0</v>
      </c>
      <c r="J56" s="96">
        <v>121.0</v>
      </c>
      <c r="K56" s="96">
        <v>27.0</v>
      </c>
      <c r="L56" s="96">
        <v>148.0</v>
      </c>
      <c r="M56" s="96">
        <v>0.0</v>
      </c>
      <c r="N56" s="96">
        <v>146.0</v>
      </c>
      <c r="O56" s="96">
        <v>2.0</v>
      </c>
      <c r="P56" s="96">
        <v>148.0</v>
      </c>
      <c r="Q56" s="96">
        <v>0.0</v>
      </c>
      <c r="R56" s="96">
        <v>148.0</v>
      </c>
      <c r="S56" s="96">
        <v>0.0</v>
      </c>
      <c r="T56" s="96">
        <v>148.0</v>
      </c>
      <c r="U56" s="96">
        <v>0.0</v>
      </c>
      <c r="V56" s="96">
        <v>0.0</v>
      </c>
      <c r="W56" s="96">
        <v>11.0</v>
      </c>
      <c r="X56" s="98"/>
      <c r="Y56" s="96">
        <v>12.0</v>
      </c>
      <c r="Z56" s="96">
        <v>148.0</v>
      </c>
      <c r="AA56" s="96">
        <v>0.0</v>
      </c>
      <c r="AB56" s="96">
        <v>0.0</v>
      </c>
      <c r="AC56" s="96">
        <v>148.0</v>
      </c>
      <c r="AD56" s="96">
        <v>1.0</v>
      </c>
      <c r="AE56" s="96">
        <v>0.0</v>
      </c>
      <c r="AF56" s="96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9">
        <v>45717.0</v>
      </c>
      <c r="B57" s="96">
        <v>18.0</v>
      </c>
      <c r="C57" s="96">
        <v>178.0</v>
      </c>
      <c r="D57" s="96">
        <v>16.0</v>
      </c>
      <c r="E57" s="96">
        <v>139.0</v>
      </c>
      <c r="F57" s="96">
        <v>2.0</v>
      </c>
      <c r="G57" s="96">
        <v>39.0</v>
      </c>
      <c r="H57" s="96">
        <v>155.0</v>
      </c>
      <c r="I57" s="96">
        <v>0.0</v>
      </c>
      <c r="J57" s="96">
        <v>130.0</v>
      </c>
      <c r="K57" s="96">
        <v>25.0</v>
      </c>
      <c r="L57" s="96">
        <v>155.0</v>
      </c>
      <c r="M57" s="96">
        <v>0.0</v>
      </c>
      <c r="N57" s="96">
        <v>154.0</v>
      </c>
      <c r="O57" s="96">
        <v>1.0</v>
      </c>
      <c r="P57" s="96">
        <v>155.0</v>
      </c>
      <c r="Q57" s="96">
        <v>0.0</v>
      </c>
      <c r="R57" s="96">
        <v>155.0</v>
      </c>
      <c r="S57" s="96">
        <v>0.0</v>
      </c>
      <c r="T57" s="96">
        <v>155.0</v>
      </c>
      <c r="U57" s="96">
        <v>0.0</v>
      </c>
      <c r="V57" s="96">
        <v>0.0</v>
      </c>
      <c r="W57" s="96">
        <v>10.0</v>
      </c>
      <c r="X57" s="98"/>
      <c r="Y57" s="96">
        <v>12.0</v>
      </c>
      <c r="Z57" s="96">
        <v>0.0</v>
      </c>
      <c r="AA57" s="96">
        <v>0.0</v>
      </c>
      <c r="AB57" s="96">
        <v>0.0</v>
      </c>
      <c r="AC57" s="96">
        <v>155.0</v>
      </c>
      <c r="AD57" s="96">
        <v>0.0</v>
      </c>
      <c r="AE57" s="96">
        <v>0.0</v>
      </c>
      <c r="AF57" s="96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9">
        <v>45748.0</v>
      </c>
      <c r="B58" s="96">
        <v>19.0</v>
      </c>
      <c r="C58" s="96">
        <v>177.0</v>
      </c>
      <c r="D58" s="96">
        <v>16.0</v>
      </c>
      <c r="E58" s="96">
        <v>144.0</v>
      </c>
      <c r="F58" s="96">
        <v>3.0</v>
      </c>
      <c r="G58" s="96">
        <v>33.0</v>
      </c>
      <c r="H58" s="96">
        <v>160.0</v>
      </c>
      <c r="I58" s="96">
        <v>0.0</v>
      </c>
      <c r="J58" s="96">
        <v>134.0</v>
      </c>
      <c r="K58" s="96">
        <v>26.0</v>
      </c>
      <c r="L58" s="96">
        <v>160.0</v>
      </c>
      <c r="M58" s="96">
        <v>0.0</v>
      </c>
      <c r="N58" s="96">
        <v>158.0</v>
      </c>
      <c r="O58" s="96">
        <v>2.0</v>
      </c>
      <c r="P58" s="96">
        <v>160.0</v>
      </c>
      <c r="Q58" s="96">
        <v>0.0</v>
      </c>
      <c r="R58" s="96">
        <v>160.0</v>
      </c>
      <c r="S58" s="96">
        <v>0.0</v>
      </c>
      <c r="T58" s="96">
        <v>160.0</v>
      </c>
      <c r="U58" s="96">
        <v>0.0</v>
      </c>
      <c r="V58" s="96">
        <v>0.0</v>
      </c>
      <c r="W58" s="96">
        <v>11.0</v>
      </c>
      <c r="X58" s="98"/>
      <c r="Y58" s="96">
        <v>13.0</v>
      </c>
      <c r="Z58" s="96">
        <v>0.0</v>
      </c>
      <c r="AA58" s="96">
        <v>160.0</v>
      </c>
      <c r="AB58" s="96">
        <v>0.0</v>
      </c>
      <c r="AC58" s="96">
        <v>160.0</v>
      </c>
      <c r="AD58" s="96">
        <v>3.0</v>
      </c>
      <c r="AE58" s="96">
        <v>0.0</v>
      </c>
      <c r="AF58" s="96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9">
        <v>45778.0</v>
      </c>
      <c r="B59" s="96">
        <v>18.0</v>
      </c>
      <c r="C59" s="96">
        <v>170.0</v>
      </c>
      <c r="D59" s="96">
        <v>16.0</v>
      </c>
      <c r="E59" s="96">
        <v>138.0</v>
      </c>
      <c r="F59" s="96">
        <v>2.0</v>
      </c>
      <c r="G59" s="96">
        <v>32.0</v>
      </c>
      <c r="H59" s="96">
        <v>154.0</v>
      </c>
      <c r="I59" s="96">
        <v>0.0</v>
      </c>
      <c r="J59" s="96">
        <v>126.0</v>
      </c>
      <c r="K59" s="96">
        <v>28.0</v>
      </c>
      <c r="L59" s="96">
        <v>154.0</v>
      </c>
      <c r="M59" s="96">
        <v>0.0</v>
      </c>
      <c r="N59" s="96">
        <v>152.0</v>
      </c>
      <c r="O59" s="96">
        <v>2.0</v>
      </c>
      <c r="P59" s="96">
        <v>154.0</v>
      </c>
      <c r="Q59" s="96">
        <v>0.0</v>
      </c>
      <c r="R59" s="96">
        <v>154.0</v>
      </c>
      <c r="S59" s="96">
        <v>0.0</v>
      </c>
      <c r="T59" s="96">
        <v>154.0</v>
      </c>
      <c r="U59" s="96">
        <v>0.0</v>
      </c>
      <c r="V59" s="96">
        <v>0.0</v>
      </c>
      <c r="W59" s="96">
        <v>10.0</v>
      </c>
      <c r="X59" s="98"/>
      <c r="Y59" s="96">
        <v>11.0</v>
      </c>
      <c r="Z59" s="96">
        <v>0.0</v>
      </c>
      <c r="AA59" s="96">
        <v>0.0</v>
      </c>
      <c r="AB59" s="96">
        <v>0.0</v>
      </c>
      <c r="AC59" s="96">
        <v>154.0</v>
      </c>
      <c r="AD59" s="96">
        <v>1.0</v>
      </c>
      <c r="AE59" s="96">
        <v>0.0</v>
      </c>
      <c r="AF59" s="96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9">
        <v>45809.0</v>
      </c>
      <c r="B60" s="96">
        <v>17.0</v>
      </c>
      <c r="C60" s="96">
        <v>172.0</v>
      </c>
      <c r="D60" s="96">
        <v>13.0</v>
      </c>
      <c r="E60" s="96">
        <v>140.0</v>
      </c>
      <c r="F60" s="96">
        <v>4.0</v>
      </c>
      <c r="G60" s="96">
        <v>32.0</v>
      </c>
      <c r="H60" s="96">
        <v>153.0</v>
      </c>
      <c r="I60" s="96">
        <v>0.0</v>
      </c>
      <c r="J60" s="96">
        <v>129.0</v>
      </c>
      <c r="K60" s="96">
        <v>22.0</v>
      </c>
      <c r="L60" s="96">
        <v>153.0</v>
      </c>
      <c r="M60" s="96">
        <v>0.0</v>
      </c>
      <c r="N60" s="96">
        <v>151.0</v>
      </c>
      <c r="O60" s="96">
        <v>2.0</v>
      </c>
      <c r="P60" s="96">
        <v>153.0</v>
      </c>
      <c r="Q60" s="96">
        <v>0.0</v>
      </c>
      <c r="R60" s="96">
        <v>153.0</v>
      </c>
      <c r="S60" s="96">
        <v>0.0</v>
      </c>
      <c r="T60" s="96">
        <v>153.0</v>
      </c>
      <c r="U60" s="96">
        <v>0.0</v>
      </c>
      <c r="V60" s="96">
        <v>0.0</v>
      </c>
      <c r="W60" s="96">
        <v>9.0</v>
      </c>
      <c r="X60" s="98"/>
      <c r="Y60" s="96">
        <v>10.0</v>
      </c>
      <c r="Z60" s="96">
        <v>0.0</v>
      </c>
      <c r="AA60" s="96">
        <v>0.0</v>
      </c>
      <c r="AB60" s="96">
        <v>0.0</v>
      </c>
      <c r="AC60" s="96">
        <v>153.0</v>
      </c>
      <c r="AD60" s="96">
        <v>0.0</v>
      </c>
      <c r="AE60" s="96">
        <v>0.0</v>
      </c>
      <c r="AF60" s="96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9">
        <v>45839.0</v>
      </c>
      <c r="B61" s="96">
        <v>16.0</v>
      </c>
      <c r="C61" s="96">
        <v>172.0</v>
      </c>
      <c r="D61" s="96">
        <v>15.0</v>
      </c>
      <c r="E61" s="96">
        <v>145.0</v>
      </c>
      <c r="F61" s="96">
        <v>1.0</v>
      </c>
      <c r="G61" s="96">
        <v>27.0</v>
      </c>
      <c r="H61" s="96">
        <v>160.0</v>
      </c>
      <c r="I61" s="96">
        <v>0.0</v>
      </c>
      <c r="J61" s="96">
        <v>131.0</v>
      </c>
      <c r="K61" s="96">
        <v>29.0</v>
      </c>
      <c r="L61" s="96">
        <v>160.0</v>
      </c>
      <c r="M61" s="96">
        <v>0.0</v>
      </c>
      <c r="N61" s="96">
        <v>159.0</v>
      </c>
      <c r="O61" s="96">
        <v>1.0</v>
      </c>
      <c r="P61" s="96">
        <v>160.0</v>
      </c>
      <c r="Q61" s="96">
        <v>0.0</v>
      </c>
      <c r="R61" s="96">
        <v>160.0</v>
      </c>
      <c r="S61" s="96">
        <v>0.0</v>
      </c>
      <c r="T61" s="96">
        <v>160.0</v>
      </c>
      <c r="U61" s="96">
        <v>0.0</v>
      </c>
      <c r="V61" s="96">
        <v>0.0</v>
      </c>
      <c r="W61" s="96">
        <v>10.0</v>
      </c>
      <c r="X61" s="98"/>
      <c r="Y61" s="96">
        <v>11.0</v>
      </c>
      <c r="Z61" s="96">
        <v>0.0</v>
      </c>
      <c r="AA61" s="96">
        <v>0.0</v>
      </c>
      <c r="AB61" s="96">
        <v>2.0</v>
      </c>
      <c r="AC61" s="96">
        <v>160.0</v>
      </c>
      <c r="AD61" s="96">
        <v>0.0</v>
      </c>
      <c r="AE61" s="96">
        <v>0.0</v>
      </c>
      <c r="AF61" s="96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9">
        <v>45870.0</v>
      </c>
      <c r="B62" s="96">
        <v>16.0</v>
      </c>
      <c r="C62" s="96">
        <v>171.0</v>
      </c>
      <c r="D62" s="96">
        <v>15.0</v>
      </c>
      <c r="E62" s="96">
        <v>149.0</v>
      </c>
      <c r="F62" s="96">
        <v>1.0</v>
      </c>
      <c r="G62" s="96">
        <v>22.0</v>
      </c>
      <c r="H62" s="96">
        <v>164.0</v>
      </c>
      <c r="I62" s="96">
        <v>0.0</v>
      </c>
      <c r="J62" s="96">
        <v>137.0</v>
      </c>
      <c r="K62" s="96">
        <v>27.0</v>
      </c>
      <c r="L62" s="96">
        <v>164.0</v>
      </c>
      <c r="M62" s="96">
        <v>0.0</v>
      </c>
      <c r="N62" s="96">
        <v>161.0</v>
      </c>
      <c r="O62" s="96">
        <v>3.0</v>
      </c>
      <c r="P62" s="96">
        <v>164.0</v>
      </c>
      <c r="Q62" s="96">
        <v>0.0</v>
      </c>
      <c r="R62" s="96">
        <v>164.0</v>
      </c>
      <c r="S62" s="96">
        <v>0.0</v>
      </c>
      <c r="T62" s="96">
        <v>164.0</v>
      </c>
      <c r="U62" s="96">
        <v>0.0</v>
      </c>
      <c r="V62" s="96">
        <v>0.0</v>
      </c>
      <c r="W62" s="96">
        <v>10.0</v>
      </c>
      <c r="X62" s="98"/>
      <c r="Y62" s="96">
        <v>10.0</v>
      </c>
      <c r="Z62" s="96">
        <v>165.0</v>
      </c>
      <c r="AA62" s="96">
        <v>0.0</v>
      </c>
      <c r="AB62" s="96">
        <v>3.0</v>
      </c>
      <c r="AC62" s="96">
        <v>164.0</v>
      </c>
      <c r="AD62" s="96">
        <v>2.0</v>
      </c>
      <c r="AE62" s="96">
        <v>0.0</v>
      </c>
      <c r="AF62" s="96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9">
        <v>45901.0</v>
      </c>
      <c r="B63" s="96">
        <v>14.0</v>
      </c>
      <c r="C63" s="96">
        <v>173.0</v>
      </c>
      <c r="D63" s="96">
        <v>12.0</v>
      </c>
      <c r="E63" s="96">
        <v>132.0</v>
      </c>
      <c r="F63" s="96">
        <v>2.0</v>
      </c>
      <c r="G63" s="96">
        <v>41.0</v>
      </c>
      <c r="H63" s="96">
        <v>144.0</v>
      </c>
      <c r="I63" s="96">
        <v>0.0</v>
      </c>
      <c r="J63" s="96">
        <v>121.0</v>
      </c>
      <c r="K63" s="96">
        <v>23.0</v>
      </c>
      <c r="L63" s="96">
        <v>144.0</v>
      </c>
      <c r="M63" s="96">
        <v>0.0</v>
      </c>
      <c r="N63" s="96">
        <v>142.0</v>
      </c>
      <c r="O63" s="96">
        <v>2.0</v>
      </c>
      <c r="P63" s="96">
        <v>144.0</v>
      </c>
      <c r="Q63" s="96">
        <v>0.0</v>
      </c>
      <c r="R63" s="96">
        <v>144.0</v>
      </c>
      <c r="S63" s="96">
        <v>0.0</v>
      </c>
      <c r="T63" s="96">
        <v>144.0</v>
      </c>
      <c r="U63" s="96">
        <v>0.0</v>
      </c>
      <c r="V63" s="96">
        <v>0.0</v>
      </c>
      <c r="W63" s="96">
        <v>8.0</v>
      </c>
      <c r="X63" s="98"/>
      <c r="Y63" s="96">
        <v>9.0</v>
      </c>
      <c r="Z63" s="96">
        <v>0.0</v>
      </c>
      <c r="AA63" s="96">
        <v>0.0</v>
      </c>
      <c r="AB63" s="96">
        <v>2.0</v>
      </c>
      <c r="AC63" s="96">
        <v>144.0</v>
      </c>
      <c r="AD63" s="96">
        <v>2.0</v>
      </c>
      <c r="AE63" s="96">
        <v>0.0</v>
      </c>
      <c r="AF63" s="96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9">
        <v>45931.0</v>
      </c>
      <c r="B64" s="96">
        <v>16.0</v>
      </c>
      <c r="C64" s="96">
        <v>174.0</v>
      </c>
      <c r="D64" s="96">
        <v>14.0</v>
      </c>
      <c r="E64" s="96">
        <v>134.0</v>
      </c>
      <c r="F64" s="96">
        <v>2.0</v>
      </c>
      <c r="G64" s="96">
        <v>40.0</v>
      </c>
      <c r="H64" s="96">
        <v>148.0</v>
      </c>
      <c r="I64" s="96">
        <v>0.0</v>
      </c>
      <c r="J64" s="96">
        <v>133.0</v>
      </c>
      <c r="K64" s="96">
        <v>15.0</v>
      </c>
      <c r="L64" s="96">
        <v>148.0</v>
      </c>
      <c r="M64" s="96">
        <v>0.0</v>
      </c>
      <c r="N64" s="96">
        <v>146.0</v>
      </c>
      <c r="O64" s="96">
        <v>2.0</v>
      </c>
      <c r="P64" s="96">
        <v>148.0</v>
      </c>
      <c r="Q64" s="96">
        <v>0.0</v>
      </c>
      <c r="R64" s="96">
        <v>148.0</v>
      </c>
      <c r="S64" s="96">
        <v>0.0</v>
      </c>
      <c r="T64" s="96">
        <v>148.0</v>
      </c>
      <c r="U64" s="96">
        <v>0.0</v>
      </c>
      <c r="V64" s="96">
        <v>0.0</v>
      </c>
      <c r="W64" s="96">
        <v>10.0</v>
      </c>
      <c r="X64" s="98"/>
      <c r="Y64" s="96">
        <v>10.0</v>
      </c>
      <c r="Z64" s="96">
        <v>0.0</v>
      </c>
      <c r="AA64" s="96">
        <v>148.0</v>
      </c>
      <c r="AB64" s="96">
        <v>2.0</v>
      </c>
      <c r="AC64" s="96">
        <v>148.0</v>
      </c>
      <c r="AD64" s="96">
        <v>1.0</v>
      </c>
      <c r="AE64" s="96">
        <v>0.0</v>
      </c>
      <c r="AF64" s="96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9">
        <v>45962.0</v>
      </c>
      <c r="B65" s="96">
        <v>15.0</v>
      </c>
      <c r="C65" s="96">
        <v>174.0</v>
      </c>
      <c r="D65" s="96">
        <v>13.0</v>
      </c>
      <c r="E65" s="96">
        <v>132.0</v>
      </c>
      <c r="F65" s="96">
        <v>2.0</v>
      </c>
      <c r="G65" s="96">
        <v>42.0</v>
      </c>
      <c r="H65" s="96">
        <v>145.0</v>
      </c>
      <c r="I65" s="96">
        <v>0.0</v>
      </c>
      <c r="J65" s="96">
        <v>123.0</v>
      </c>
      <c r="K65" s="96">
        <v>22.0</v>
      </c>
      <c r="L65" s="96">
        <v>145.0</v>
      </c>
      <c r="M65" s="96">
        <v>0.0</v>
      </c>
      <c r="N65" s="96">
        <v>143.0</v>
      </c>
      <c r="O65" s="96">
        <v>2.0</v>
      </c>
      <c r="P65" s="96">
        <v>145.0</v>
      </c>
      <c r="Q65" s="96">
        <v>0.0</v>
      </c>
      <c r="R65" s="96">
        <v>145.0</v>
      </c>
      <c r="S65" s="96">
        <v>0.0</v>
      </c>
      <c r="T65" s="96">
        <v>145.0</v>
      </c>
      <c r="U65" s="96">
        <v>0.0</v>
      </c>
      <c r="V65" s="96">
        <v>0.0</v>
      </c>
      <c r="W65" s="96">
        <v>9.0</v>
      </c>
      <c r="X65" s="98"/>
      <c r="Y65" s="96">
        <v>11.0</v>
      </c>
      <c r="Z65" s="96">
        <v>0.0</v>
      </c>
      <c r="AA65" s="96">
        <v>0.0</v>
      </c>
      <c r="AB65" s="96">
        <v>1.0</v>
      </c>
      <c r="AC65" s="96">
        <v>145.0</v>
      </c>
      <c r="AD65" s="96">
        <v>0.0</v>
      </c>
      <c r="AE65" s="96">
        <v>0.0</v>
      </c>
      <c r="AF65" s="96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4">
        <v>45992.0</v>
      </c>
      <c r="B66" s="96">
        <v>12.0</v>
      </c>
      <c r="C66" s="96">
        <v>172.0</v>
      </c>
      <c r="D66" s="96">
        <v>10.0</v>
      </c>
      <c r="E66" s="96">
        <v>144.0</v>
      </c>
      <c r="F66" s="96">
        <v>2.0</v>
      </c>
      <c r="G66" s="96">
        <v>28.0</v>
      </c>
      <c r="H66" s="96">
        <v>154.0</v>
      </c>
      <c r="I66" s="96">
        <v>0.0</v>
      </c>
      <c r="J66" s="96">
        <v>140.0</v>
      </c>
      <c r="K66" s="96">
        <v>14.0</v>
      </c>
      <c r="L66" s="96">
        <v>154.0</v>
      </c>
      <c r="M66" s="96">
        <v>0.0</v>
      </c>
      <c r="N66" s="96">
        <v>153.0</v>
      </c>
      <c r="O66" s="96">
        <v>2.0</v>
      </c>
      <c r="P66" s="96">
        <v>154.0</v>
      </c>
      <c r="Q66" s="96">
        <v>0.0</v>
      </c>
      <c r="R66" s="96">
        <v>154.0</v>
      </c>
      <c r="S66" s="96">
        <v>0.0</v>
      </c>
      <c r="T66" s="96">
        <v>154.0</v>
      </c>
      <c r="U66" s="96">
        <v>0.0</v>
      </c>
      <c r="V66" s="96">
        <v>0.0</v>
      </c>
      <c r="W66" s="96">
        <v>8.0</v>
      </c>
      <c r="X66" s="98"/>
      <c r="Y66" s="96">
        <v>9.0</v>
      </c>
      <c r="Z66" s="96">
        <v>0.0</v>
      </c>
      <c r="AA66" s="96">
        <v>0.0</v>
      </c>
      <c r="AB66" s="96">
        <v>1.0</v>
      </c>
      <c r="AC66" s="96">
        <v>154.0</v>
      </c>
      <c r="AD66" s="96">
        <v>0.0</v>
      </c>
      <c r="AE66" s="96">
        <v>0.0</v>
      </c>
      <c r="AF66" s="96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6"/>
      <c r="AD67" s="98"/>
      <c r="AE67" s="98"/>
      <c r="AF67" s="9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7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1" t="s">
        <v>1080</v>
      </c>
      <c r="B70" s="88"/>
      <c r="C70" s="88"/>
      <c r="D70" s="88"/>
      <c r="E70" s="88"/>
      <c r="F70" s="88"/>
      <c r="G70" s="88"/>
      <c r="H70" s="8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9" t="s">
        <v>1011</v>
      </c>
      <c r="B71" s="155" t="s">
        <v>1014</v>
      </c>
      <c r="C71" s="60"/>
      <c r="D71" s="60"/>
      <c r="E71" s="60"/>
      <c r="F71" s="60"/>
      <c r="G71" s="61"/>
      <c r="H71" s="54" t="s">
        <v>1081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9"/>
      <c r="X71" s="89" t="s">
        <v>1082</v>
      </c>
      <c r="Y71" s="89" t="s">
        <v>1082</v>
      </c>
      <c r="Z71" s="156"/>
      <c r="AA71" s="156"/>
      <c r="AB71" s="156"/>
      <c r="AC71" s="156"/>
      <c r="AD71" s="156"/>
      <c r="AE71" s="15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90" t="s">
        <v>1083</v>
      </c>
      <c r="C72" s="89" t="s">
        <v>1084</v>
      </c>
      <c r="D72" s="114" t="s">
        <v>1023</v>
      </c>
      <c r="E72" s="9"/>
      <c r="F72" s="54" t="s">
        <v>1024</v>
      </c>
      <c r="G72" s="9"/>
      <c r="H72" s="54" t="s">
        <v>1085</v>
      </c>
      <c r="I72" s="34"/>
      <c r="J72" s="34"/>
      <c r="K72" s="34"/>
      <c r="L72" s="9"/>
      <c r="M72" s="54" t="s">
        <v>1086</v>
      </c>
      <c r="N72" s="34"/>
      <c r="O72" s="34"/>
      <c r="P72" s="34"/>
      <c r="Q72" s="34"/>
      <c r="R72" s="34"/>
      <c r="S72" s="34"/>
      <c r="T72" s="34"/>
      <c r="U72" s="9"/>
      <c r="V72" s="90" t="s">
        <v>1028</v>
      </c>
      <c r="W72" s="144" t="s">
        <v>1087</v>
      </c>
      <c r="X72" s="144" t="s">
        <v>1088</v>
      </c>
      <c r="Y72" s="144" t="s">
        <v>1089</v>
      </c>
      <c r="Z72" s="156"/>
      <c r="AA72" s="156"/>
      <c r="AB72" s="156"/>
      <c r="AC72" s="156"/>
      <c r="AE72" s="86"/>
      <c r="AF72" s="8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58" t="s">
        <v>1090</v>
      </c>
      <c r="C73" s="144" t="s">
        <v>1090</v>
      </c>
      <c r="D73" s="159" t="s">
        <v>1091</v>
      </c>
      <c r="E73" s="89" t="s">
        <v>1092</v>
      </c>
      <c r="F73" s="89" t="s">
        <v>1091</v>
      </c>
      <c r="G73" s="89" t="s">
        <v>1092</v>
      </c>
      <c r="H73" s="89" t="s">
        <v>1093</v>
      </c>
      <c r="I73" s="89" t="s">
        <v>1094</v>
      </c>
      <c r="J73" s="89" t="s">
        <v>1067</v>
      </c>
      <c r="K73" s="89" t="s">
        <v>1095</v>
      </c>
      <c r="L73" s="89" t="s">
        <v>1096</v>
      </c>
      <c r="M73" s="89" t="s">
        <v>1097</v>
      </c>
      <c r="N73" s="54" t="s">
        <v>1027</v>
      </c>
      <c r="O73" s="34"/>
      <c r="P73" s="9"/>
      <c r="Q73" s="54" t="s">
        <v>1098</v>
      </c>
      <c r="R73" s="34"/>
      <c r="S73" s="9"/>
      <c r="T73" s="160" t="s">
        <v>1099</v>
      </c>
      <c r="U73" s="9"/>
      <c r="V73" s="161" t="s">
        <v>1100</v>
      </c>
      <c r="W73" s="162" t="s">
        <v>1101</v>
      </c>
      <c r="X73" s="162" t="s">
        <v>1102</v>
      </c>
      <c r="Y73" s="162" t="s">
        <v>1103</v>
      </c>
      <c r="Z73" s="157"/>
      <c r="AA73" s="163"/>
      <c r="AB73" s="157"/>
      <c r="AC73" s="157"/>
      <c r="AE73" s="86"/>
      <c r="AF73" s="8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64"/>
      <c r="C74" s="165"/>
      <c r="D74" s="68"/>
      <c r="E74" s="11"/>
      <c r="F74" s="11"/>
      <c r="G74" s="11"/>
      <c r="H74" s="11"/>
      <c r="I74" s="11"/>
      <c r="J74" s="11"/>
      <c r="K74" s="11"/>
      <c r="L74" s="11"/>
      <c r="M74" s="11"/>
      <c r="N74" s="80" t="s">
        <v>1104</v>
      </c>
      <c r="O74" s="166" t="s">
        <v>1067</v>
      </c>
      <c r="P74" s="80" t="s">
        <v>1105</v>
      </c>
      <c r="Q74" s="80" t="s">
        <v>1104</v>
      </c>
      <c r="R74" s="80" t="s">
        <v>1067</v>
      </c>
      <c r="S74" s="80" t="s">
        <v>1105</v>
      </c>
      <c r="T74" s="167" t="s">
        <v>1106</v>
      </c>
      <c r="U74" s="168" t="s">
        <v>1107</v>
      </c>
      <c r="V74" s="169" t="s">
        <v>1028</v>
      </c>
      <c r="W74" s="166" t="s">
        <v>1108</v>
      </c>
      <c r="X74" s="166" t="s">
        <v>1076</v>
      </c>
      <c r="Y74" s="166" t="s">
        <v>1109</v>
      </c>
      <c r="Z74" s="170"/>
      <c r="AA74" s="170"/>
      <c r="AB74" s="170"/>
      <c r="AC74" s="170"/>
      <c r="AD74" s="170"/>
      <c r="AE74" s="170"/>
      <c r="AF74" s="17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2">
        <v>1.0</v>
      </c>
      <c r="B75" s="137">
        <v>2.0</v>
      </c>
      <c r="C75" s="165">
        <v>3.0</v>
      </c>
      <c r="D75" s="132"/>
      <c r="E75" s="132">
        <v>5.0</v>
      </c>
      <c r="F75" s="132">
        <v>6.0</v>
      </c>
      <c r="G75" s="132">
        <v>7.0</v>
      </c>
      <c r="H75" s="132">
        <v>8.0</v>
      </c>
      <c r="I75" s="134">
        <v>9.0</v>
      </c>
      <c r="J75" s="134">
        <v>10.0</v>
      </c>
      <c r="K75" s="134">
        <v>11.0</v>
      </c>
      <c r="L75" s="134">
        <v>12.0</v>
      </c>
      <c r="M75" s="134">
        <v>13.0</v>
      </c>
      <c r="N75" s="134">
        <v>14.0</v>
      </c>
      <c r="O75" s="135">
        <v>15.0</v>
      </c>
      <c r="P75" s="134">
        <v>16.0</v>
      </c>
      <c r="Q75" s="134">
        <v>17.0</v>
      </c>
      <c r="R75" s="135">
        <v>18.0</v>
      </c>
      <c r="S75" s="134">
        <v>0.0</v>
      </c>
      <c r="T75" s="134">
        <v>20.0</v>
      </c>
      <c r="U75" s="132">
        <v>21.0</v>
      </c>
      <c r="V75" s="137">
        <v>22.0</v>
      </c>
      <c r="W75" s="137">
        <v>23.0</v>
      </c>
      <c r="X75" s="137">
        <v>24.0</v>
      </c>
      <c r="Y75" s="137">
        <v>25.0</v>
      </c>
      <c r="Z75" s="170"/>
      <c r="AA75" s="170"/>
      <c r="AB75" s="170"/>
      <c r="AC75" s="170"/>
      <c r="AD75" s="170"/>
      <c r="AE75" s="170"/>
      <c r="AF75" s="17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9">
        <v>45658.0</v>
      </c>
      <c r="B76" s="140">
        <v>330.0</v>
      </c>
      <c r="C76" s="141">
        <v>110.0</v>
      </c>
      <c r="D76" s="140">
        <v>108.0</v>
      </c>
      <c r="E76" s="140">
        <v>33.0</v>
      </c>
      <c r="F76" s="140">
        <v>222.0</v>
      </c>
      <c r="G76" s="140">
        <v>77.0</v>
      </c>
      <c r="H76" s="94">
        <v>0.0</v>
      </c>
      <c r="I76" s="142">
        <v>0.0</v>
      </c>
      <c r="J76" s="142">
        <v>140.0</v>
      </c>
      <c r="K76" s="142">
        <v>1.0</v>
      </c>
      <c r="L76" s="142">
        <v>0.0</v>
      </c>
      <c r="M76" s="142">
        <v>0.0</v>
      </c>
      <c r="N76" s="142">
        <v>0.0</v>
      </c>
      <c r="O76" s="96">
        <v>141.0</v>
      </c>
      <c r="P76" s="96">
        <v>0.0</v>
      </c>
      <c r="Q76" s="96">
        <v>0.0</v>
      </c>
      <c r="R76" s="96">
        <v>141.0</v>
      </c>
      <c r="S76" s="96">
        <v>0.0</v>
      </c>
      <c r="T76" s="96">
        <v>0.0</v>
      </c>
      <c r="U76" s="140">
        <v>141.0</v>
      </c>
      <c r="V76" s="140">
        <v>0.0</v>
      </c>
      <c r="W76" s="140">
        <v>0.0</v>
      </c>
      <c r="X76" s="140">
        <v>141.0</v>
      </c>
      <c r="Y76" s="140">
        <v>0.0</v>
      </c>
      <c r="Z76" s="88"/>
      <c r="AA76" s="171"/>
      <c r="AB76" s="88"/>
      <c r="AC76" s="8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3" t="s">
        <v>1079</v>
      </c>
      <c r="B77" s="96">
        <v>334.0</v>
      </c>
      <c r="C77" s="96">
        <v>106.0</v>
      </c>
      <c r="D77" s="96">
        <v>100.0</v>
      </c>
      <c r="E77" s="96">
        <v>30.0</v>
      </c>
      <c r="F77" s="96">
        <v>234.0</v>
      </c>
      <c r="G77" s="96">
        <v>76.0</v>
      </c>
      <c r="H77" s="96">
        <v>0.0</v>
      </c>
      <c r="I77" s="96">
        <v>3.0</v>
      </c>
      <c r="J77" s="96">
        <v>127.0</v>
      </c>
      <c r="K77" s="96">
        <v>0.0</v>
      </c>
      <c r="L77" s="96">
        <v>0.0</v>
      </c>
      <c r="M77" s="96">
        <v>0.0</v>
      </c>
      <c r="N77" s="96">
        <v>0.0</v>
      </c>
      <c r="O77" s="96">
        <v>130.0</v>
      </c>
      <c r="P77" s="96">
        <v>0.0</v>
      </c>
      <c r="Q77" s="96">
        <v>0.0</v>
      </c>
      <c r="R77" s="96">
        <v>130.0</v>
      </c>
      <c r="S77" s="96">
        <v>0.0</v>
      </c>
      <c r="T77" s="96">
        <v>0.0</v>
      </c>
      <c r="U77" s="96">
        <v>130.0</v>
      </c>
      <c r="V77" s="96">
        <v>0.0</v>
      </c>
      <c r="W77" s="96">
        <v>0.0</v>
      </c>
      <c r="X77" s="96">
        <v>130.0</v>
      </c>
      <c r="Y77" s="96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9">
        <v>45717.0</v>
      </c>
      <c r="B78" s="96">
        <v>335.0</v>
      </c>
      <c r="C78" s="96">
        <v>105.0</v>
      </c>
      <c r="D78" s="96">
        <v>112.0</v>
      </c>
      <c r="E78" s="96">
        <v>26.0</v>
      </c>
      <c r="F78" s="96">
        <v>223.0</v>
      </c>
      <c r="G78" s="96">
        <v>79.0</v>
      </c>
      <c r="H78" s="96">
        <v>0.0</v>
      </c>
      <c r="I78" s="96">
        <v>2.0</v>
      </c>
      <c r="J78" s="96">
        <v>134.0</v>
      </c>
      <c r="K78" s="96">
        <v>2.0</v>
      </c>
      <c r="L78" s="96">
        <v>0.0</v>
      </c>
      <c r="M78" s="96">
        <v>0.0</v>
      </c>
      <c r="N78" s="96">
        <v>0.0</v>
      </c>
      <c r="O78" s="96">
        <v>136.0</v>
      </c>
      <c r="P78" s="96">
        <v>0.0</v>
      </c>
      <c r="Q78" s="96">
        <v>0.0</v>
      </c>
      <c r="R78" s="96">
        <v>136.0</v>
      </c>
      <c r="S78" s="96">
        <v>0.0</v>
      </c>
      <c r="T78" s="96">
        <v>0.0</v>
      </c>
      <c r="U78" s="96">
        <v>136.0</v>
      </c>
      <c r="V78" s="96">
        <v>0.0</v>
      </c>
      <c r="W78" s="96">
        <v>0.0</v>
      </c>
      <c r="X78" s="96">
        <v>136.0</v>
      </c>
      <c r="Y78" s="96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9">
        <v>45748.0</v>
      </c>
      <c r="B79" s="96">
        <v>332.0</v>
      </c>
      <c r="C79" s="96">
        <v>108.0</v>
      </c>
      <c r="D79" s="96">
        <v>118.0</v>
      </c>
      <c r="E79" s="96">
        <v>31.0</v>
      </c>
      <c r="F79" s="96">
        <v>214.0</v>
      </c>
      <c r="G79" s="96">
        <v>77.0</v>
      </c>
      <c r="H79" s="96">
        <v>0.0</v>
      </c>
      <c r="I79" s="96">
        <v>0.0</v>
      </c>
      <c r="J79" s="96">
        <v>149.0</v>
      </c>
      <c r="K79" s="96">
        <v>0.0</v>
      </c>
      <c r="L79" s="96">
        <v>0.0</v>
      </c>
      <c r="M79" s="96">
        <v>0.0</v>
      </c>
      <c r="N79" s="96">
        <v>0.0</v>
      </c>
      <c r="O79" s="96">
        <v>149.0</v>
      </c>
      <c r="P79" s="96">
        <v>0.0</v>
      </c>
      <c r="Q79" s="96">
        <v>0.0</v>
      </c>
      <c r="R79" s="96">
        <v>149.0</v>
      </c>
      <c r="S79" s="96">
        <v>0.0</v>
      </c>
      <c r="T79" s="96">
        <v>0.0</v>
      </c>
      <c r="U79" s="96">
        <v>149.0</v>
      </c>
      <c r="V79" s="96">
        <v>0.0</v>
      </c>
      <c r="W79" s="96">
        <v>0.0</v>
      </c>
      <c r="X79" s="96">
        <v>149.0</v>
      </c>
      <c r="Y79" s="96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9">
        <v>45778.0</v>
      </c>
      <c r="B80" s="96">
        <v>330.0</v>
      </c>
      <c r="C80" s="96">
        <v>110.0</v>
      </c>
      <c r="D80" s="96">
        <v>108.0</v>
      </c>
      <c r="E80" s="96">
        <v>30.0</v>
      </c>
      <c r="F80" s="96">
        <v>222.0</v>
      </c>
      <c r="G80" s="96">
        <v>80.0</v>
      </c>
      <c r="H80" s="96">
        <v>0.0</v>
      </c>
      <c r="I80" s="96">
        <v>0.0</v>
      </c>
      <c r="J80" s="96">
        <v>138.0</v>
      </c>
      <c r="K80" s="96">
        <v>0.0</v>
      </c>
      <c r="L80" s="96">
        <v>0.0</v>
      </c>
      <c r="M80" s="96">
        <v>0.0</v>
      </c>
      <c r="N80" s="96">
        <v>0.0</v>
      </c>
      <c r="O80" s="96">
        <v>138.0</v>
      </c>
      <c r="P80" s="96">
        <v>0.0</v>
      </c>
      <c r="Q80" s="96">
        <v>0.0</v>
      </c>
      <c r="R80" s="96">
        <v>138.0</v>
      </c>
      <c r="S80" s="96">
        <v>0.0</v>
      </c>
      <c r="T80" s="96">
        <v>0.0</v>
      </c>
      <c r="U80" s="96">
        <v>138.0</v>
      </c>
      <c r="V80" s="96">
        <v>0.0</v>
      </c>
      <c r="W80" s="96">
        <v>0.0</v>
      </c>
      <c r="X80" s="96">
        <v>138.0</v>
      </c>
      <c r="Y80" s="96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9">
        <v>45809.0</v>
      </c>
      <c r="B81" s="96">
        <v>329.0</v>
      </c>
      <c r="C81" s="96">
        <v>111.0</v>
      </c>
      <c r="D81" s="96">
        <v>105.0</v>
      </c>
      <c r="E81" s="96">
        <v>32.0</v>
      </c>
      <c r="F81" s="96">
        <v>234.0</v>
      </c>
      <c r="G81" s="96">
        <v>79.0</v>
      </c>
      <c r="H81" s="96">
        <v>0.0</v>
      </c>
      <c r="I81" s="96">
        <v>3.0</v>
      </c>
      <c r="J81" s="96">
        <v>132.0</v>
      </c>
      <c r="K81" s="96">
        <v>2.0</v>
      </c>
      <c r="L81" s="96">
        <v>0.0</v>
      </c>
      <c r="M81" s="96">
        <v>0.0</v>
      </c>
      <c r="N81" s="96">
        <v>0.0</v>
      </c>
      <c r="O81" s="96">
        <v>137.0</v>
      </c>
      <c r="P81" s="96">
        <v>0.0</v>
      </c>
      <c r="Q81" s="96">
        <v>0.0</v>
      </c>
      <c r="R81" s="96">
        <v>137.0</v>
      </c>
      <c r="S81" s="96">
        <v>0.0</v>
      </c>
      <c r="T81" s="96">
        <v>0.0</v>
      </c>
      <c r="U81" s="96">
        <v>137.0</v>
      </c>
      <c r="V81" s="96">
        <v>0.0</v>
      </c>
      <c r="W81" s="96">
        <v>0.0</v>
      </c>
      <c r="X81" s="96">
        <v>137.0</v>
      </c>
      <c r="Y81" s="96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9">
        <v>45839.0</v>
      </c>
      <c r="B82" s="96">
        <v>326.0</v>
      </c>
      <c r="C82" s="96">
        <v>114.0</v>
      </c>
      <c r="D82" s="96">
        <v>119.0</v>
      </c>
      <c r="E82" s="96">
        <v>30.0</v>
      </c>
      <c r="F82" s="96">
        <v>207.0</v>
      </c>
      <c r="G82" s="96">
        <v>84.0</v>
      </c>
      <c r="H82" s="96">
        <v>0.0</v>
      </c>
      <c r="I82" s="96">
        <v>3.0</v>
      </c>
      <c r="J82" s="96">
        <v>145.0</v>
      </c>
      <c r="K82" s="96">
        <v>1.0</v>
      </c>
      <c r="L82" s="96">
        <v>0.0</v>
      </c>
      <c r="M82" s="96">
        <v>0.0</v>
      </c>
      <c r="N82" s="96">
        <v>0.0</v>
      </c>
      <c r="O82" s="96">
        <v>149.0</v>
      </c>
      <c r="P82" s="96">
        <v>0.0</v>
      </c>
      <c r="Q82" s="96">
        <v>0.0</v>
      </c>
      <c r="R82" s="96">
        <v>149.0</v>
      </c>
      <c r="S82" s="96">
        <v>0.0</v>
      </c>
      <c r="T82" s="96">
        <v>0.0</v>
      </c>
      <c r="U82" s="96">
        <v>149.0</v>
      </c>
      <c r="V82" s="96">
        <v>0.0</v>
      </c>
      <c r="W82" s="96">
        <v>0.0</v>
      </c>
      <c r="X82" s="96">
        <v>149.0</v>
      </c>
      <c r="Y82" s="96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9">
        <v>45870.0</v>
      </c>
      <c r="B83" s="96">
        <v>333.0</v>
      </c>
      <c r="C83" s="96">
        <v>107.0</v>
      </c>
      <c r="D83" s="96">
        <v>109.0</v>
      </c>
      <c r="E83" s="96">
        <v>49.0</v>
      </c>
      <c r="F83" s="96">
        <v>224.0</v>
      </c>
      <c r="G83" s="96">
        <v>60.0</v>
      </c>
      <c r="H83" s="96">
        <v>0.0</v>
      </c>
      <c r="I83" s="96">
        <v>3.0</v>
      </c>
      <c r="J83" s="96">
        <v>155.0</v>
      </c>
      <c r="K83" s="96">
        <v>0.0</v>
      </c>
      <c r="L83" s="96">
        <v>0.0</v>
      </c>
      <c r="M83" s="96">
        <v>0.0</v>
      </c>
      <c r="N83" s="96">
        <v>0.0</v>
      </c>
      <c r="O83" s="96">
        <v>158.0</v>
      </c>
      <c r="P83" s="96">
        <v>0.0</v>
      </c>
      <c r="Q83" s="96">
        <v>0.0</v>
      </c>
      <c r="R83" s="96">
        <v>158.0</v>
      </c>
      <c r="S83" s="96">
        <v>0.0</v>
      </c>
      <c r="T83" s="96">
        <v>0.0</v>
      </c>
      <c r="U83" s="96">
        <v>158.0</v>
      </c>
      <c r="V83" s="96">
        <v>0.0</v>
      </c>
      <c r="W83" s="96">
        <v>0.0</v>
      </c>
      <c r="X83" s="96">
        <v>158.0</v>
      </c>
      <c r="Y83" s="96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9">
        <v>45901.0</v>
      </c>
      <c r="B84" s="96">
        <v>330.0</v>
      </c>
      <c r="C84" s="96">
        <v>110.0</v>
      </c>
      <c r="D84" s="96">
        <v>102.0</v>
      </c>
      <c r="E84" s="96">
        <v>42.0</v>
      </c>
      <c r="F84" s="96">
        <v>228.0</v>
      </c>
      <c r="G84" s="96">
        <v>60.0</v>
      </c>
      <c r="H84" s="96">
        <v>0.0</v>
      </c>
      <c r="I84" s="96">
        <v>2.0</v>
      </c>
      <c r="J84" s="96">
        <v>140.0</v>
      </c>
      <c r="K84" s="96">
        <v>2.0</v>
      </c>
      <c r="L84" s="96">
        <v>0.0</v>
      </c>
      <c r="M84" s="96">
        <v>0.0</v>
      </c>
      <c r="N84" s="96">
        <v>0.0</v>
      </c>
      <c r="O84" s="96">
        <v>144.0</v>
      </c>
      <c r="P84" s="96">
        <v>0.0</v>
      </c>
      <c r="Q84" s="96">
        <v>0.0</v>
      </c>
      <c r="R84" s="96">
        <v>144.0</v>
      </c>
      <c r="S84" s="96">
        <v>0.0</v>
      </c>
      <c r="T84" s="96">
        <v>0.0</v>
      </c>
      <c r="U84" s="96">
        <v>144.0</v>
      </c>
      <c r="V84" s="96">
        <v>0.0</v>
      </c>
      <c r="W84" s="96">
        <v>0.0</v>
      </c>
      <c r="X84" s="96">
        <v>144.0</v>
      </c>
      <c r="Y84" s="96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9">
        <v>45931.0</v>
      </c>
      <c r="B85" s="96">
        <v>325.0</v>
      </c>
      <c r="C85" s="96">
        <v>115.0</v>
      </c>
      <c r="D85" s="96">
        <v>114.0</v>
      </c>
      <c r="E85" s="96">
        <v>40.0</v>
      </c>
      <c r="F85" s="96">
        <v>211.0</v>
      </c>
      <c r="G85" s="96">
        <v>54.0</v>
      </c>
      <c r="H85" s="96">
        <v>0.0</v>
      </c>
      <c r="I85" s="96">
        <v>1.0</v>
      </c>
      <c r="J85" s="96">
        <v>151.0</v>
      </c>
      <c r="K85" s="96">
        <v>2.0</v>
      </c>
      <c r="L85" s="96">
        <v>0.0</v>
      </c>
      <c r="M85" s="96">
        <v>0.0</v>
      </c>
      <c r="N85" s="96">
        <v>0.0</v>
      </c>
      <c r="O85" s="96">
        <v>154.0</v>
      </c>
      <c r="P85" s="96">
        <v>0.0</v>
      </c>
      <c r="Q85" s="96">
        <v>0.0</v>
      </c>
      <c r="R85" s="96">
        <v>154.0</v>
      </c>
      <c r="S85" s="96">
        <v>0.0</v>
      </c>
      <c r="T85" s="96">
        <v>0.0</v>
      </c>
      <c r="U85" s="96">
        <v>154.0</v>
      </c>
      <c r="V85" s="96">
        <v>0.0</v>
      </c>
      <c r="W85" s="96">
        <v>0.0</v>
      </c>
      <c r="X85" s="96">
        <v>154.0</v>
      </c>
      <c r="Y85" s="96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9">
        <v>45962.0</v>
      </c>
      <c r="B86" s="96">
        <v>320.0</v>
      </c>
      <c r="C86" s="96">
        <v>120.0</v>
      </c>
      <c r="D86" s="96">
        <v>119.0</v>
      </c>
      <c r="E86" s="96">
        <v>41.0</v>
      </c>
      <c r="F86" s="96">
        <v>211.0</v>
      </c>
      <c r="G86" s="96">
        <v>58.0</v>
      </c>
      <c r="H86" s="96">
        <v>0.0</v>
      </c>
      <c r="I86" s="96">
        <v>2.0</v>
      </c>
      <c r="J86" s="96">
        <v>158.0</v>
      </c>
      <c r="K86" s="96">
        <v>0.0</v>
      </c>
      <c r="L86" s="96">
        <v>0.0</v>
      </c>
      <c r="M86" s="96">
        <v>0.0</v>
      </c>
      <c r="N86" s="96">
        <v>0.0</v>
      </c>
      <c r="O86" s="96">
        <v>160.0</v>
      </c>
      <c r="P86" s="96">
        <v>0.0</v>
      </c>
      <c r="Q86" s="96">
        <v>0.0</v>
      </c>
      <c r="R86" s="96">
        <v>160.0</v>
      </c>
      <c r="S86" s="96">
        <v>0.0</v>
      </c>
      <c r="T86" s="96">
        <v>0.0</v>
      </c>
      <c r="U86" s="96">
        <v>160.0</v>
      </c>
      <c r="V86" s="96">
        <v>0.0</v>
      </c>
      <c r="W86" s="96">
        <v>0.0</v>
      </c>
      <c r="X86" s="96">
        <v>160.0</v>
      </c>
      <c r="Y86" s="96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9">
        <v>45992.0</v>
      </c>
      <c r="B87" s="96">
        <v>324.0</v>
      </c>
      <c r="C87" s="96">
        <v>116.0</v>
      </c>
      <c r="D87" s="96">
        <v>105.0</v>
      </c>
      <c r="E87" s="96">
        <v>43.0</v>
      </c>
      <c r="F87" s="96">
        <v>219.0</v>
      </c>
      <c r="G87" s="96">
        <v>62.0</v>
      </c>
      <c r="H87" s="96">
        <v>0.0</v>
      </c>
      <c r="I87" s="96">
        <v>2.0</v>
      </c>
      <c r="J87" s="96">
        <v>145.0</v>
      </c>
      <c r="K87" s="96">
        <v>1.0</v>
      </c>
      <c r="L87" s="96">
        <v>0.0</v>
      </c>
      <c r="M87" s="96">
        <v>0.0</v>
      </c>
      <c r="N87" s="96">
        <v>0.0</v>
      </c>
      <c r="O87" s="96">
        <v>148.0</v>
      </c>
      <c r="P87" s="96">
        <v>0.0</v>
      </c>
      <c r="Q87" s="96">
        <v>0.0</v>
      </c>
      <c r="R87" s="96">
        <v>148.0</v>
      </c>
      <c r="S87" s="96">
        <v>0.0</v>
      </c>
      <c r="T87" s="96">
        <v>0.0</v>
      </c>
      <c r="U87" s="96">
        <v>148.0</v>
      </c>
      <c r="V87" s="96">
        <v>0.0</v>
      </c>
      <c r="W87" s="96">
        <v>0.0</v>
      </c>
      <c r="X87" s="96">
        <v>148.0</v>
      </c>
      <c r="Y87" s="96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1" t="s">
        <v>1110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2" t="s">
        <v>1011</v>
      </c>
      <c r="B92" s="114" t="s">
        <v>1111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9"/>
      <c r="AK92" s="173" t="s">
        <v>1112</v>
      </c>
      <c r="AL92" s="174" t="s">
        <v>1082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1085</v>
      </c>
      <c r="C93" s="34"/>
      <c r="D93" s="34"/>
      <c r="E93" s="34"/>
      <c r="F93" s="9"/>
      <c r="G93" s="54" t="s">
        <v>1113</v>
      </c>
      <c r="H93" s="34"/>
      <c r="I93" s="34"/>
      <c r="J93" s="34"/>
      <c r="K93" s="34"/>
      <c r="L93" s="34"/>
      <c r="M93" s="34"/>
      <c r="N93" s="34"/>
      <c r="O93" s="34"/>
      <c r="P93" s="34"/>
      <c r="Q93" s="9"/>
      <c r="R93" s="90" t="s">
        <v>1114</v>
      </c>
      <c r="S93" s="61"/>
      <c r="T93" s="114" t="s">
        <v>1115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9"/>
      <c r="AK93" s="175" t="s">
        <v>1116</v>
      </c>
      <c r="AL93" s="176" t="s">
        <v>1116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9" t="s">
        <v>1093</v>
      </c>
      <c r="C94" s="89" t="s">
        <v>1094</v>
      </c>
      <c r="D94" s="89" t="s">
        <v>1067</v>
      </c>
      <c r="E94" s="89" t="s">
        <v>1095</v>
      </c>
      <c r="F94" s="89" t="s">
        <v>1096</v>
      </c>
      <c r="G94" s="177" t="s">
        <v>1097</v>
      </c>
      <c r="H94" s="9"/>
      <c r="I94" s="54" t="s">
        <v>1027</v>
      </c>
      <c r="J94" s="34"/>
      <c r="K94" s="34"/>
      <c r="L94" s="160" t="s">
        <v>1098</v>
      </c>
      <c r="M94" s="34"/>
      <c r="N94" s="9"/>
      <c r="O94" s="178" t="s">
        <v>1117</v>
      </c>
      <c r="P94" s="34"/>
      <c r="Q94" s="9"/>
      <c r="R94" s="179" t="s">
        <v>1105</v>
      </c>
      <c r="S94" s="89" t="s">
        <v>1067</v>
      </c>
      <c r="T94" s="114" t="s">
        <v>1118</v>
      </c>
      <c r="U94" s="34"/>
      <c r="V94" s="34"/>
      <c r="W94" s="34"/>
      <c r="X94" s="9"/>
      <c r="Y94" s="180" t="s">
        <v>1119</v>
      </c>
      <c r="Z94" s="34"/>
      <c r="AA94" s="34"/>
      <c r="AB94" s="9"/>
      <c r="AC94" s="180" t="s">
        <v>1119</v>
      </c>
      <c r="AD94" s="34"/>
      <c r="AE94" s="34"/>
      <c r="AF94" s="9"/>
      <c r="AG94" s="180" t="s">
        <v>1119</v>
      </c>
      <c r="AH94" s="34"/>
      <c r="AI94" s="34"/>
      <c r="AJ94" s="9"/>
      <c r="AK94" s="175" t="s">
        <v>1115</v>
      </c>
      <c r="AL94" s="176" t="s">
        <v>1115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81" t="s">
        <v>1120</v>
      </c>
      <c r="H95" s="182" t="s">
        <v>1121</v>
      </c>
      <c r="I95" s="144" t="s">
        <v>1104</v>
      </c>
      <c r="J95" s="89" t="s">
        <v>1067</v>
      </c>
      <c r="K95" s="89" t="s">
        <v>1105</v>
      </c>
      <c r="L95" s="89" t="s">
        <v>1104</v>
      </c>
      <c r="M95" s="89" t="s">
        <v>1067</v>
      </c>
      <c r="N95" s="183" t="s">
        <v>1105</v>
      </c>
      <c r="O95" s="184" t="s">
        <v>1122</v>
      </c>
      <c r="P95" s="34"/>
      <c r="Q95" s="9"/>
      <c r="R95" s="11"/>
      <c r="S95" s="11"/>
      <c r="T95" s="80" t="s">
        <v>1123</v>
      </c>
      <c r="U95" s="54" t="s">
        <v>1124</v>
      </c>
      <c r="V95" s="9"/>
      <c r="W95" s="54" t="s">
        <v>1125</v>
      </c>
      <c r="X95" s="9"/>
      <c r="Y95" s="54" t="s">
        <v>1126</v>
      </c>
      <c r="Z95" s="9"/>
      <c r="AA95" s="185" t="s">
        <v>1127</v>
      </c>
      <c r="AB95" s="68"/>
      <c r="AC95" s="54" t="s">
        <v>1128</v>
      </c>
      <c r="AD95" s="9"/>
      <c r="AE95" s="185" t="s">
        <v>1129</v>
      </c>
      <c r="AF95" s="68"/>
      <c r="AG95" s="54" t="s">
        <v>1130</v>
      </c>
      <c r="AH95" s="9"/>
      <c r="AI95" s="185" t="s">
        <v>1131</v>
      </c>
      <c r="AJ95" s="68"/>
      <c r="AK95" s="175" t="s">
        <v>1132</v>
      </c>
      <c r="AL95" s="176" t="s">
        <v>1109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80" t="s">
        <v>1133</v>
      </c>
      <c r="P96" s="80" t="s">
        <v>1134</v>
      </c>
      <c r="Q96" s="80" t="s">
        <v>1135</v>
      </c>
      <c r="R96" s="130" t="s">
        <v>1133</v>
      </c>
      <c r="S96" s="80" t="s">
        <v>1136</v>
      </c>
      <c r="T96" s="186" t="s">
        <v>1137</v>
      </c>
      <c r="U96" s="186" t="s">
        <v>1138</v>
      </c>
      <c r="V96" s="186" t="s">
        <v>1139</v>
      </c>
      <c r="W96" s="80" t="s">
        <v>1140</v>
      </c>
      <c r="X96" s="80" t="s">
        <v>1141</v>
      </c>
      <c r="Y96" s="80" t="s">
        <v>1041</v>
      </c>
      <c r="Z96" s="54" t="s">
        <v>1039</v>
      </c>
      <c r="AA96" s="130" t="s">
        <v>1041</v>
      </c>
      <c r="AB96" s="131" t="s">
        <v>1039</v>
      </c>
      <c r="AC96" s="80" t="s">
        <v>1041</v>
      </c>
      <c r="AD96" s="54" t="s">
        <v>1039</v>
      </c>
      <c r="AE96" s="130" t="s">
        <v>1041</v>
      </c>
      <c r="AF96" s="131" t="s">
        <v>1039</v>
      </c>
      <c r="AG96" s="80" t="s">
        <v>1041</v>
      </c>
      <c r="AH96" s="54" t="s">
        <v>1039</v>
      </c>
      <c r="AI96" s="130" t="s">
        <v>1041</v>
      </c>
      <c r="AJ96" s="114" t="s">
        <v>1039</v>
      </c>
      <c r="AK96" s="187" t="s">
        <v>1076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8">
        <v>1.0</v>
      </c>
      <c r="B97" s="189">
        <v>2.0</v>
      </c>
      <c r="C97" s="189">
        <v>3.0</v>
      </c>
      <c r="D97" s="189">
        <v>4.0</v>
      </c>
      <c r="E97" s="189">
        <v>5.0</v>
      </c>
      <c r="F97" s="189">
        <v>6.0</v>
      </c>
      <c r="G97" s="189">
        <v>7.0</v>
      </c>
      <c r="H97" s="189">
        <v>8.0</v>
      </c>
      <c r="I97" s="190">
        <v>9.0</v>
      </c>
      <c r="J97" s="189">
        <v>10.0</v>
      </c>
      <c r="K97" s="189">
        <v>11.0</v>
      </c>
      <c r="L97" s="190">
        <v>12.0</v>
      </c>
      <c r="M97" s="189">
        <v>13.0</v>
      </c>
      <c r="N97" s="189">
        <v>14.0</v>
      </c>
      <c r="O97" s="189">
        <v>15.0</v>
      </c>
      <c r="P97" s="188">
        <v>16.0</v>
      </c>
      <c r="Q97" s="188">
        <v>17.0</v>
      </c>
      <c r="R97" s="191">
        <v>18.0</v>
      </c>
      <c r="S97" s="188">
        <v>19.0</v>
      </c>
      <c r="T97" s="188">
        <v>20.0</v>
      </c>
      <c r="U97" s="188">
        <v>21.0</v>
      </c>
      <c r="V97" s="188">
        <v>22.0</v>
      </c>
      <c r="W97" s="188">
        <v>23.0</v>
      </c>
      <c r="X97" s="188">
        <v>24.0</v>
      </c>
      <c r="Y97" s="188">
        <v>25.0</v>
      </c>
      <c r="Z97" s="192">
        <v>26.0</v>
      </c>
      <c r="AA97" s="191">
        <v>27.0</v>
      </c>
      <c r="AB97" s="193">
        <v>28.0</v>
      </c>
      <c r="AC97" s="188">
        <v>29.0</v>
      </c>
      <c r="AD97" s="188">
        <v>30.0</v>
      </c>
      <c r="AE97" s="188">
        <v>31.0</v>
      </c>
      <c r="AF97" s="188">
        <v>32.0</v>
      </c>
      <c r="AG97" s="194">
        <v>33.0</v>
      </c>
      <c r="AH97" s="194">
        <v>34.0</v>
      </c>
      <c r="AI97" s="194">
        <v>35.0</v>
      </c>
      <c r="AJ97" s="194">
        <v>36.0</v>
      </c>
      <c r="AK97" s="195">
        <v>37.0</v>
      </c>
      <c r="AL97" s="19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6">
        <v>45658.0</v>
      </c>
      <c r="B98" s="96">
        <v>0.0</v>
      </c>
      <c r="C98" s="197">
        <v>2.0</v>
      </c>
      <c r="D98" s="96">
        <v>1747.0</v>
      </c>
      <c r="E98" s="96">
        <v>3.0</v>
      </c>
      <c r="F98" s="96">
        <v>1.0</v>
      </c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8" t="s">
        <v>1079</v>
      </c>
      <c r="B99" s="96">
        <v>0.0</v>
      </c>
      <c r="C99" s="96">
        <v>1.0</v>
      </c>
      <c r="D99" s="96">
        <v>1748.0</v>
      </c>
      <c r="E99" s="96">
        <v>3.0</v>
      </c>
      <c r="F99" s="96">
        <v>1.0</v>
      </c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6">
        <v>45717.0</v>
      </c>
      <c r="B100" s="96">
        <v>0.0</v>
      </c>
      <c r="C100" s="96">
        <v>2.0</v>
      </c>
      <c r="D100" s="96">
        <v>1748.0</v>
      </c>
      <c r="E100" s="96">
        <v>2.0</v>
      </c>
      <c r="F100" s="96">
        <v>1.0</v>
      </c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6">
        <v>45748.0</v>
      </c>
      <c r="B101" s="96">
        <v>0.0</v>
      </c>
      <c r="C101" s="96">
        <v>3.0</v>
      </c>
      <c r="D101" s="96">
        <v>1749.0</v>
      </c>
      <c r="E101" s="96">
        <v>3.0</v>
      </c>
      <c r="F101" s="96">
        <v>1.0</v>
      </c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6">
        <v>45778.0</v>
      </c>
      <c r="B102" s="96">
        <v>1.0</v>
      </c>
      <c r="C102" s="96">
        <v>2.0</v>
      </c>
      <c r="D102" s="96">
        <v>1747.0</v>
      </c>
      <c r="E102" s="96">
        <v>4.0</v>
      </c>
      <c r="F102" s="96">
        <v>0.0</v>
      </c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6">
        <v>45809.0</v>
      </c>
      <c r="B103" s="96">
        <v>0.0</v>
      </c>
      <c r="C103" s="96">
        <v>2.0</v>
      </c>
      <c r="D103" s="96">
        <v>1748.0</v>
      </c>
      <c r="E103" s="96">
        <v>2.0</v>
      </c>
      <c r="F103" s="96">
        <v>1.0</v>
      </c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6">
        <v>45839.0</v>
      </c>
      <c r="B104" s="96">
        <v>0.0</v>
      </c>
      <c r="C104" s="96">
        <v>1.0</v>
      </c>
      <c r="D104" s="96">
        <v>1749.0</v>
      </c>
      <c r="E104" s="96">
        <v>2.0</v>
      </c>
      <c r="F104" s="96">
        <v>1.0</v>
      </c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6">
        <v>45870.0</v>
      </c>
      <c r="B105" s="96">
        <v>2.0</v>
      </c>
      <c r="C105" s="96">
        <v>1.0</v>
      </c>
      <c r="D105" s="96">
        <v>1750.0</v>
      </c>
      <c r="E105" s="96">
        <v>2.0</v>
      </c>
      <c r="F105" s="96">
        <v>0.0</v>
      </c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6">
        <v>45901.0</v>
      </c>
      <c r="B106" s="96">
        <v>0.0</v>
      </c>
      <c r="C106" s="96">
        <v>2.0</v>
      </c>
      <c r="D106" s="96">
        <v>1747.0</v>
      </c>
      <c r="E106" s="96">
        <v>3.0</v>
      </c>
      <c r="F106" s="96">
        <v>1.0</v>
      </c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6">
        <v>45931.0</v>
      </c>
      <c r="B107" s="96">
        <v>1.0</v>
      </c>
      <c r="C107" s="96">
        <v>2.0</v>
      </c>
      <c r="D107" s="96">
        <v>1748.0</v>
      </c>
      <c r="E107" s="96">
        <v>3.0</v>
      </c>
      <c r="F107" s="96">
        <v>0.0</v>
      </c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6">
        <v>45962.0</v>
      </c>
      <c r="B108" s="96">
        <v>1.0</v>
      </c>
      <c r="C108" s="96">
        <v>3.0</v>
      </c>
      <c r="D108" s="96">
        <v>1745.0</v>
      </c>
      <c r="E108" s="96">
        <v>4.0</v>
      </c>
      <c r="F108" s="96">
        <v>1.0</v>
      </c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6">
        <v>45992.0</v>
      </c>
      <c r="B109" s="96">
        <v>0.0</v>
      </c>
      <c r="C109" s="96">
        <v>2.0</v>
      </c>
      <c r="D109" s="96">
        <v>1747.0</v>
      </c>
      <c r="E109" s="96">
        <v>3.0</v>
      </c>
      <c r="F109" s="96">
        <v>1.0</v>
      </c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2.0"/>
    <col customWidth="1" min="9" max="9" width="20.25"/>
  </cols>
  <sheetData>
    <row r="1">
      <c r="A1" s="36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1142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9" t="s">
        <v>35</v>
      </c>
      <c r="B5" s="199" t="s">
        <v>36</v>
      </c>
      <c r="C5" s="199" t="s">
        <v>1143</v>
      </c>
      <c r="D5" s="199" t="s">
        <v>1144</v>
      </c>
      <c r="E5" s="199" t="s">
        <v>39</v>
      </c>
      <c r="F5" s="199" t="s">
        <v>38</v>
      </c>
      <c r="G5" s="199" t="s">
        <v>40</v>
      </c>
      <c r="H5" s="199" t="s">
        <v>1145</v>
      </c>
      <c r="I5" s="199" t="s">
        <v>1146</v>
      </c>
      <c r="J5" s="200" t="s">
        <v>1147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01" t="s">
        <v>43</v>
      </c>
      <c r="K6" s="20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3">
        <v>1.0</v>
      </c>
      <c r="B7" s="204">
        <v>2.0</v>
      </c>
      <c r="C7" s="204">
        <v>3.0</v>
      </c>
      <c r="D7" s="203">
        <v>4.0</v>
      </c>
      <c r="E7" s="204">
        <v>5.0</v>
      </c>
      <c r="F7" s="204">
        <v>6.0</v>
      </c>
      <c r="G7" s="203">
        <v>7.0</v>
      </c>
      <c r="H7" s="204">
        <v>8.0</v>
      </c>
      <c r="I7" s="204">
        <v>9.0</v>
      </c>
      <c r="J7" s="203">
        <v>10.0</v>
      </c>
      <c r="K7" s="20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205">
        <v>45910.0</v>
      </c>
      <c r="C8" s="44" t="s">
        <v>45</v>
      </c>
      <c r="D8" s="28"/>
      <c r="E8" s="45"/>
      <c r="F8" s="45"/>
      <c r="G8" s="45"/>
      <c r="H8" s="44"/>
      <c r="I8" s="44"/>
      <c r="J8" s="45"/>
      <c r="K8" s="20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205">
        <v>45914.0</v>
      </c>
      <c r="C9" s="44" t="s">
        <v>49</v>
      </c>
      <c r="D9" s="45"/>
      <c r="E9" s="45"/>
      <c r="F9" s="45"/>
      <c r="G9" s="45"/>
      <c r="H9" s="45"/>
      <c r="I9" s="45"/>
      <c r="J9" s="25"/>
      <c r="K9" s="20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205">
        <v>45913.0</v>
      </c>
      <c r="C10" s="44" t="s">
        <v>50</v>
      </c>
      <c r="D10" s="45"/>
      <c r="E10" s="45"/>
      <c r="F10" s="45"/>
      <c r="G10" s="45"/>
      <c r="H10" s="45"/>
      <c r="I10" s="45"/>
      <c r="J10" s="25"/>
      <c r="K10" s="2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205">
        <v>45908.0</v>
      </c>
      <c r="C11" s="44" t="s">
        <v>51</v>
      </c>
      <c r="D11" s="45"/>
      <c r="E11" s="45"/>
      <c r="F11" s="45"/>
      <c r="G11" s="45"/>
      <c r="H11" s="44" t="s">
        <v>1148</v>
      </c>
      <c r="I11" s="44" t="s">
        <v>1149</v>
      </c>
      <c r="J11" s="44" t="s">
        <v>1150</v>
      </c>
      <c r="K11" s="20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207">
        <v>45911.0</v>
      </c>
      <c r="C12" s="44" t="s">
        <v>52</v>
      </c>
      <c r="D12" s="28"/>
      <c r="E12" s="45"/>
      <c r="F12" s="45"/>
      <c r="G12" s="45"/>
      <c r="H12" s="44" t="s">
        <v>1148</v>
      </c>
      <c r="I12" s="44" t="s">
        <v>1149</v>
      </c>
      <c r="J12" s="44" t="s">
        <v>1150</v>
      </c>
      <c r="K12" s="20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8"/>
      <c r="C13" s="45"/>
      <c r="D13" s="45"/>
      <c r="E13" s="45"/>
      <c r="F13" s="25"/>
      <c r="G13" s="45"/>
      <c r="H13" s="45"/>
      <c r="I13" s="45"/>
      <c r="J13" s="25"/>
      <c r="K13" s="20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9"/>
      <c r="C14" s="45"/>
      <c r="D14" s="45"/>
      <c r="E14" s="45"/>
      <c r="F14" s="25"/>
      <c r="G14" s="45"/>
      <c r="H14" s="45"/>
      <c r="I14" s="45"/>
      <c r="J14" s="25"/>
      <c r="K14" s="20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5"/>
      <c r="C15" s="25"/>
      <c r="D15" s="25"/>
      <c r="E15" s="25"/>
      <c r="F15" s="25"/>
      <c r="G15" s="25"/>
      <c r="H15" s="25"/>
      <c r="I15" s="25"/>
      <c r="J15" s="25"/>
      <c r="K15" s="20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5"/>
      <c r="C16" s="25"/>
      <c r="D16" s="25"/>
      <c r="E16" s="25"/>
      <c r="F16" s="25"/>
      <c r="G16" s="25"/>
      <c r="H16" s="25"/>
      <c r="I16" s="25"/>
      <c r="J16" s="25"/>
      <c r="K16" s="20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5"/>
      <c r="C17" s="25"/>
      <c r="D17" s="25"/>
      <c r="E17" s="25"/>
      <c r="F17" s="25"/>
      <c r="G17" s="25"/>
      <c r="H17" s="25"/>
      <c r="I17" s="25"/>
      <c r="J17" s="25"/>
      <c r="K17" s="20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5"/>
      <c r="C18" s="25"/>
      <c r="D18" s="25"/>
      <c r="E18" s="25"/>
      <c r="F18" s="25"/>
      <c r="G18" s="25"/>
      <c r="H18" s="25"/>
      <c r="I18" s="25"/>
      <c r="J18" s="25"/>
      <c r="K18" s="20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5"/>
      <c r="C19" s="25"/>
      <c r="D19" s="25"/>
      <c r="E19" s="25"/>
      <c r="F19" s="25"/>
      <c r="G19" s="25"/>
      <c r="H19" s="25"/>
      <c r="I19" s="25"/>
      <c r="J19" s="25"/>
      <c r="K19" s="20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5"/>
      <c r="C20" s="25"/>
      <c r="D20" s="25"/>
      <c r="E20" s="25"/>
      <c r="F20" s="25"/>
      <c r="G20" s="25"/>
      <c r="H20" s="25"/>
      <c r="I20" s="25"/>
      <c r="J20" s="25"/>
      <c r="K20" s="20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5"/>
      <c r="C21" s="25"/>
      <c r="D21" s="25"/>
      <c r="E21" s="25"/>
      <c r="F21" s="25"/>
      <c r="G21" s="25"/>
      <c r="H21" s="25"/>
      <c r="I21" s="25"/>
      <c r="J21" s="25"/>
      <c r="K21" s="20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5"/>
      <c r="C22" s="25"/>
      <c r="D22" s="25"/>
      <c r="E22" s="25"/>
      <c r="F22" s="25"/>
      <c r="G22" s="25"/>
      <c r="H22" s="25"/>
      <c r="I22" s="25"/>
      <c r="J22" s="25"/>
      <c r="K22" s="20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5"/>
      <c r="C23" s="25"/>
      <c r="D23" s="25"/>
      <c r="E23" s="25"/>
      <c r="F23" s="25"/>
      <c r="G23" s="25"/>
      <c r="H23" s="25"/>
      <c r="I23" s="25"/>
      <c r="J23" s="209">
        <v>0.25</v>
      </c>
      <c r="K23" s="20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5"/>
      <c r="C24" s="25"/>
      <c r="D24" s="25"/>
      <c r="E24" s="25"/>
      <c r="F24" s="25"/>
      <c r="G24" s="25"/>
      <c r="H24" s="25"/>
      <c r="I24" s="25"/>
      <c r="J24" s="25"/>
      <c r="K24" s="20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5"/>
      <c r="C25" s="25"/>
      <c r="D25" s="25"/>
      <c r="E25" s="25"/>
      <c r="F25" s="25"/>
      <c r="G25" s="25"/>
      <c r="H25" s="25"/>
      <c r="I25" s="25"/>
      <c r="J25" s="25"/>
      <c r="K25" s="20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5"/>
      <c r="C26" s="25"/>
      <c r="D26" s="25"/>
      <c r="E26" s="25"/>
      <c r="F26" s="25"/>
      <c r="G26" s="25"/>
      <c r="H26" s="25"/>
      <c r="I26" s="25"/>
      <c r="J26" s="25"/>
      <c r="K26" s="20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5"/>
      <c r="C27" s="25"/>
      <c r="D27" s="25"/>
      <c r="E27" s="25"/>
      <c r="F27" s="25"/>
      <c r="G27" s="25"/>
      <c r="H27" s="25"/>
      <c r="I27" s="25"/>
      <c r="J27" s="25"/>
      <c r="K27" s="20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5"/>
      <c r="C28" s="25"/>
      <c r="D28" s="25"/>
      <c r="E28" s="25"/>
      <c r="F28" s="25"/>
      <c r="G28" s="25"/>
      <c r="H28" s="25"/>
      <c r="I28" s="25"/>
      <c r="J28" s="25"/>
      <c r="K28" s="2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5"/>
      <c r="C29" s="25"/>
      <c r="D29" s="25"/>
      <c r="E29" s="25"/>
      <c r="F29" s="25"/>
      <c r="G29" s="25"/>
      <c r="H29" s="25"/>
      <c r="I29" s="25"/>
      <c r="J29" s="25"/>
      <c r="K29" s="20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5"/>
      <c r="C30" s="25"/>
      <c r="D30" s="25"/>
      <c r="E30" s="25"/>
      <c r="F30" s="25"/>
      <c r="G30" s="25"/>
      <c r="H30" s="25"/>
      <c r="I30" s="25"/>
      <c r="J30" s="25"/>
      <c r="K30" s="20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5"/>
      <c r="C31" s="25"/>
      <c r="D31" s="25"/>
      <c r="E31" s="25"/>
      <c r="F31" s="25"/>
      <c r="G31" s="25"/>
      <c r="H31" s="25"/>
      <c r="I31" s="25"/>
      <c r="J31" s="25"/>
      <c r="K31" s="20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0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0" t="s">
        <v>1151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39</v>
      </c>
      <c r="E4" s="38" t="s">
        <v>38</v>
      </c>
      <c r="F4" s="38" t="s">
        <v>40</v>
      </c>
      <c r="G4" s="211" t="s">
        <v>1152</v>
      </c>
      <c r="H4" s="60"/>
      <c r="I4" s="60"/>
      <c r="J4" s="60"/>
      <c r="K4" s="61"/>
      <c r="L4" s="39" t="s">
        <v>1147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0" t="s">
        <v>1153</v>
      </c>
      <c r="H5" s="40" t="s">
        <v>1154</v>
      </c>
      <c r="I5" s="40" t="s">
        <v>1155</v>
      </c>
      <c r="J5" s="40" t="s">
        <v>1156</v>
      </c>
      <c r="K5" s="40" t="s">
        <v>1157</v>
      </c>
      <c r="L5" s="40" t="s">
        <v>43</v>
      </c>
      <c r="M5" s="212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2">
        <v>2.0</v>
      </c>
      <c r="C6" s="42">
        <v>3.0</v>
      </c>
      <c r="D6" s="13">
        <v>4.0</v>
      </c>
      <c r="E6" s="42">
        <v>5.0</v>
      </c>
      <c r="F6" s="42">
        <v>6.0</v>
      </c>
      <c r="G6" s="13">
        <v>7.0</v>
      </c>
      <c r="H6" s="42">
        <v>8.0</v>
      </c>
      <c r="I6" s="42">
        <v>9.0</v>
      </c>
      <c r="J6" s="13">
        <v>10.0</v>
      </c>
      <c r="K6" s="42">
        <v>11.0</v>
      </c>
      <c r="L6" s="42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05">
        <v>45910.0</v>
      </c>
      <c r="C7" s="44" t="s">
        <v>45</v>
      </c>
      <c r="D7" s="44" t="s">
        <v>1158</v>
      </c>
      <c r="E7" s="45"/>
      <c r="F7" s="45"/>
      <c r="G7" s="25"/>
      <c r="H7" s="25"/>
      <c r="I7" s="25"/>
      <c r="J7" s="25"/>
      <c r="K7" s="45"/>
      <c r="L7" s="25"/>
      <c r="M7" s="20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05">
        <v>45914.0</v>
      </c>
      <c r="C8" s="44" t="s">
        <v>49</v>
      </c>
      <c r="D8" s="44" t="s">
        <v>1158</v>
      </c>
      <c r="E8" s="45"/>
      <c r="F8" s="45"/>
      <c r="G8" s="25"/>
      <c r="H8" s="25"/>
      <c r="I8" s="25"/>
      <c r="J8" s="25"/>
      <c r="K8" s="45"/>
      <c r="L8" s="25"/>
      <c r="M8" s="20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05">
        <v>45913.0</v>
      </c>
      <c r="C9" s="44" t="s">
        <v>50</v>
      </c>
      <c r="D9" s="44" t="s">
        <v>1158</v>
      </c>
      <c r="E9" s="45"/>
      <c r="F9" s="45"/>
      <c r="G9" s="45"/>
      <c r="H9" s="45"/>
      <c r="I9" s="25"/>
      <c r="J9" s="25"/>
      <c r="K9" s="45"/>
      <c r="L9" s="25"/>
      <c r="M9" s="2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2">
        <v>4.0</v>
      </c>
      <c r="B10" s="205">
        <v>45908.0</v>
      </c>
      <c r="C10" s="44" t="s">
        <v>51</v>
      </c>
      <c r="D10" s="44" t="s">
        <v>1158</v>
      </c>
      <c r="E10" s="25"/>
      <c r="F10" s="26"/>
      <c r="G10" s="25"/>
      <c r="H10" s="25"/>
      <c r="I10" s="25"/>
      <c r="J10" s="25"/>
      <c r="K10" s="26"/>
      <c r="L10" s="25"/>
      <c r="M10" s="20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2">
        <v>5.0</v>
      </c>
      <c r="B11" s="207">
        <v>45911.0</v>
      </c>
      <c r="C11" s="44" t="s">
        <v>52</v>
      </c>
      <c r="D11" s="44" t="s">
        <v>1158</v>
      </c>
      <c r="E11" s="25"/>
      <c r="F11" s="25"/>
      <c r="G11" s="25"/>
      <c r="H11" s="25"/>
      <c r="I11" s="25"/>
      <c r="J11" s="25"/>
      <c r="K11" s="25"/>
      <c r="L11" s="25"/>
      <c r="M11" s="20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0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0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0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0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0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0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0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0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0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0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0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0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0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0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0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0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0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0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0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1159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35</v>
      </c>
      <c r="B4" s="38" t="s">
        <v>36</v>
      </c>
      <c r="C4" s="38" t="s">
        <v>37</v>
      </c>
      <c r="D4" s="38" t="s">
        <v>38</v>
      </c>
      <c r="E4" s="38" t="s">
        <v>39</v>
      </c>
      <c r="F4" s="38" t="s">
        <v>40</v>
      </c>
      <c r="G4" s="199" t="s">
        <v>41</v>
      </c>
      <c r="H4" s="39" t="s">
        <v>42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0" t="s">
        <v>43</v>
      </c>
      <c r="I5" s="40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5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4">
        <v>1.0</v>
      </c>
      <c r="B7" s="205">
        <v>45910.0</v>
      </c>
      <c r="C7" s="44" t="s">
        <v>45</v>
      </c>
      <c r="D7" s="45"/>
      <c r="E7" s="44"/>
      <c r="F7" s="44"/>
      <c r="G7" s="45"/>
      <c r="H7" s="45"/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4">
        <v>2.0</v>
      </c>
      <c r="B8" s="205">
        <v>45914.0</v>
      </c>
      <c r="C8" s="44" t="s">
        <v>49</v>
      </c>
      <c r="D8" s="215" t="s">
        <v>1160</v>
      </c>
      <c r="E8" s="44" t="s">
        <v>1161</v>
      </c>
      <c r="F8" s="44" t="s">
        <v>1162</v>
      </c>
      <c r="G8" s="44" t="s">
        <v>1163</v>
      </c>
      <c r="H8" s="45" t="s">
        <v>1164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4">
        <v>3.0</v>
      </c>
      <c r="B9" s="205">
        <v>45913.0</v>
      </c>
      <c r="C9" s="44" t="s">
        <v>50</v>
      </c>
      <c r="D9" s="215" t="s">
        <v>1165</v>
      </c>
      <c r="E9" s="44" t="s">
        <v>1166</v>
      </c>
      <c r="F9" s="44" t="s">
        <v>1167</v>
      </c>
      <c r="G9" s="44" t="s">
        <v>1163</v>
      </c>
      <c r="H9" s="45" t="s">
        <v>1164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4">
        <v>4.0</v>
      </c>
      <c r="B10" s="205">
        <v>45908.0</v>
      </c>
      <c r="C10" s="44" t="s">
        <v>51</v>
      </c>
      <c r="D10" s="216"/>
      <c r="E10" s="45"/>
      <c r="F10" s="45"/>
      <c r="G10" s="45"/>
      <c r="H10" s="4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4">
        <v>5.0</v>
      </c>
      <c r="B11" s="207">
        <v>45911.0</v>
      </c>
      <c r="C11" s="44" t="s">
        <v>52</v>
      </c>
      <c r="D11" s="45"/>
      <c r="E11" s="45"/>
      <c r="F11" s="45"/>
      <c r="G11" s="45"/>
      <c r="H11" s="4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4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7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7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7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7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7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7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7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7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7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7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7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7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7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7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7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7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7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1168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1169</v>
      </c>
      <c r="B3" s="157" t="s">
        <v>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35</v>
      </c>
      <c r="B5" s="38" t="s">
        <v>36</v>
      </c>
      <c r="C5" s="38" t="s">
        <v>37</v>
      </c>
      <c r="D5" s="38" t="s">
        <v>38</v>
      </c>
      <c r="E5" s="38" t="s">
        <v>39</v>
      </c>
      <c r="F5" s="38" t="s">
        <v>40</v>
      </c>
      <c r="G5" s="199" t="s">
        <v>41</v>
      </c>
      <c r="H5" s="39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0" t="s">
        <v>43</v>
      </c>
      <c r="I6" s="40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5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205">
        <v>45910.0</v>
      </c>
      <c r="C8" s="44" t="s">
        <v>45</v>
      </c>
      <c r="D8" s="215" t="s">
        <v>1170</v>
      </c>
      <c r="E8" s="44" t="s">
        <v>600</v>
      </c>
      <c r="F8" s="44" t="s">
        <v>1171</v>
      </c>
      <c r="G8" s="44" t="s">
        <v>1172</v>
      </c>
      <c r="H8" s="45" t="s">
        <v>1173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205">
        <v>45914.0</v>
      </c>
      <c r="C9" s="44" t="s">
        <v>49</v>
      </c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205">
        <v>45913.0</v>
      </c>
      <c r="C10" s="44" t="s">
        <v>50</v>
      </c>
      <c r="D10" s="77"/>
      <c r="E10" s="45"/>
      <c r="F10" s="45"/>
      <c r="G10" s="45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7"/>
      <c r="B11" s="205">
        <v>45908.0</v>
      </c>
      <c r="C11" s="44" t="s">
        <v>51</v>
      </c>
      <c r="D11" s="25"/>
      <c r="E11" s="25"/>
      <c r="F11" s="25"/>
      <c r="G11" s="45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4"/>
      <c r="B12" s="207">
        <v>45911.0</v>
      </c>
      <c r="C12" s="44" t="s">
        <v>52</v>
      </c>
      <c r="D12" s="216"/>
      <c r="E12" s="45"/>
      <c r="F12" s="45"/>
      <c r="G12" s="45"/>
      <c r="H12" s="4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4"/>
      <c r="B13" s="218"/>
      <c r="C13" s="45"/>
      <c r="D13" s="45"/>
      <c r="E13" s="45"/>
      <c r="F13" s="45"/>
      <c r="G13" s="45"/>
      <c r="H13" s="25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7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7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7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7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7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7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7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7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7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7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7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7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7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7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7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7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