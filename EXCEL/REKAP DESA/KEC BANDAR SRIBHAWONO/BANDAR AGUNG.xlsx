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<sst xmlns="http://schemas.openxmlformats.org/spreadsheetml/2006/main" count="822" uniqueCount="406">
  <si>
    <t>DATABASE POSYANDU</t>
  </si>
  <si>
    <t>DESA</t>
  </si>
  <si>
    <t>BANDAR AGUNG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</si>
  <si>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</si>
  <si>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</si>
  <si>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</si>
  <si>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</si>
  <si>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</si>
  <si>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</si>
  <si>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</si>
  <si>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</si>
  <si>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</si>
  <si>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</si>
  <si>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</si>
  <si>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</si>
  <si>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</si>
  <si>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</si>
  <si>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</si>
  <si>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</si>
  <si>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</si>
  <si>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</si>
  <si>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</si>
  <si>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</si>
  <si>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flamboyan 1</t>
  </si>
  <si>
    <t>Rabu kedua</t>
  </si>
  <si>
    <t>-</t>
  </si>
  <si>
    <t>ya</t>
  </si>
  <si>
    <t>ada</t>
  </si>
  <si>
    <t>MANDIRI</t>
  </si>
  <si>
    <t>ILP</t>
  </si>
  <si>
    <t>flamboyan 2</t>
  </si>
  <si>
    <t>senin pertama</t>
  </si>
  <si>
    <t>flamboyan 3</t>
  </si>
  <si>
    <t>selasa pertama</t>
  </si>
  <si>
    <t>flamboyan 4</t>
  </si>
  <si>
    <t>senin kedua</t>
  </si>
  <si>
    <t>flamboyan 5</t>
  </si>
  <si>
    <t>kamis pertama</t>
  </si>
  <si>
    <t>flamboyan 6</t>
  </si>
  <si>
    <t>senin ketiga</t>
  </si>
  <si>
    <t>flamboyan 7</t>
  </si>
  <si>
    <t>kamis kedua</t>
  </si>
  <si>
    <t>flamboyan 8</t>
  </si>
  <si>
    <t>selasa kedua</t>
  </si>
  <si>
    <t>flamboyan 9</t>
  </si>
  <si>
    <t>rabu ketiga</t>
  </si>
  <si>
    <t>flamboyan 10</t>
  </si>
  <si>
    <t>rabu pertama</t>
  </si>
  <si>
    <t>flamboyan 11</t>
  </si>
  <si>
    <t>juma'at kedua</t>
  </si>
  <si>
    <t>flamboyan 12</t>
  </si>
  <si>
    <t>selasa ketiga</t>
  </si>
  <si>
    <t>JUMLAH</t>
  </si>
  <si>
    <t>LAPORAN POSYANDU</t>
  </si>
  <si>
    <t>BIDANG PENDIDIKAN</t>
  </si>
  <si>
    <t>: BANDAR AGUNG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</si>
  <si>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</si>
  <si>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</si>
  <si>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</si>
  <si>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</si>
  <si>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</si>
  <si>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</si>
  <si>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</si>
  <si>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</si>
  <si>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</si>
  <si>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</si>
  <si>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</si>
  <si>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</si>
  <si>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</si>
  <si>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</si>
  <si>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</si>
  <si>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</si>
  <si>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</si>
  <si>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</si>
  <si>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</si>
  <si>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</si>
  <si>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</si>
  <si>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</si>
  <si>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</si>
  <si>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</si>
  <si>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</si>
  <si>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</si>
  <si>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</si>
  <si>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</si>
  <si>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</si>
  <si>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</si>
  <si>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</si>
  <si>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</si>
  <si>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</si>
  <si>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</si>
  <si>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</si>
  <si>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</si>
  <si>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</si>
  <si>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</si>
  <si>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</si>
  <si>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</si>
  <si>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</si>
  <si>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</si>
  <si>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</si>
  <si>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</si>
  <si>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</si>
  <si>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</si>
  <si>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</si>
  <si>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</si>
  <si>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</si>
  <si>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</si>
  <si>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</si>
  <si>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</si>
  <si>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</si>
  <si>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</si>
  <si>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</si>
  <si>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</si>
  <si>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</si>
  <si>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</si>
  <si>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</si>
  <si>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</si>
  <si>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</si>
  <si>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</si>
  <si>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</si>
  <si>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</si>
  <si>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</si>
  <si>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</si>
  <si>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</si>
  <si>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</si>
  <si>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</si>
  <si>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BUMIL</t>
  </si>
  <si>
    <t>DIAH AYU</t>
  </si>
  <si>
    <t>ANDI</t>
  </si>
  <si>
    <t>FITRI S</t>
  </si>
  <si>
    <t>RIYO S</t>
  </si>
  <si>
    <t>NILNA</t>
  </si>
  <si>
    <t>ROKY</t>
  </si>
  <si>
    <t>ANA LESTARI</t>
  </si>
  <si>
    <t>PRAYOGI</t>
  </si>
  <si>
    <t>BUFAS</t>
  </si>
  <si>
    <t>LISA P.</t>
  </si>
  <si>
    <t>RECIS</t>
  </si>
  <si>
    <t>ARESA.P</t>
  </si>
  <si>
    <t>RAUDATUL Z.</t>
  </si>
  <si>
    <t>DENDI</t>
  </si>
  <si>
    <t>M. ZAINUL H</t>
  </si>
  <si>
    <t>BUSUI</t>
  </si>
  <si>
    <t>SRI LESTARI</t>
  </si>
  <si>
    <t>HERIYANTO</t>
  </si>
  <si>
    <t>DAVIRA</t>
  </si>
  <si>
    <t>HENI P.</t>
  </si>
  <si>
    <t>ARI M.</t>
  </si>
  <si>
    <t>BRIYAN KENZO</t>
  </si>
  <si>
    <t>KRISTINA</t>
  </si>
  <si>
    <t>DIDIK</t>
  </si>
  <si>
    <t>RAFFASYA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</si>
  <si>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</si>
  <si>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</si>
  <si>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</si>
  <si>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</si>
  <si>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</si>
  <si>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</si>
  <si>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</si>
  <si>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ABID M.</t>
  </si>
  <si>
    <t>MISANAH</t>
  </si>
  <si>
    <t>KATIRIN</t>
  </si>
  <si>
    <t>AISAH ZAHRA</t>
  </si>
  <si>
    <t>LENI</t>
  </si>
  <si>
    <t>EDI R.</t>
  </si>
  <si>
    <t>AHMAD HAFI</t>
  </si>
  <si>
    <t>RAHMA</t>
  </si>
  <si>
    <t>ARI ESANUDIN</t>
  </si>
  <si>
    <t>RAYSA</t>
  </si>
  <si>
    <t>KARSINI</t>
  </si>
  <si>
    <t>YUDIANTO</t>
  </si>
  <si>
    <t>RINDU YULIA</t>
  </si>
  <si>
    <t>WAHYUNI</t>
  </si>
  <si>
    <t>NUR ROHMAN</t>
  </si>
  <si>
    <t>BRIYAN</t>
  </si>
  <si>
    <t>ARI M</t>
  </si>
  <si>
    <t xml:space="preserve">M. ZAINUL </t>
  </si>
  <si>
    <t>ZAHRO</t>
  </si>
  <si>
    <t>ARESYA</t>
  </si>
  <si>
    <t>LISA</t>
  </si>
  <si>
    <t>DATA SASARAN USIA SEKOLAH/REMAJA</t>
  </si>
  <si>
    <t xml:space="preserve">NAMA </t>
  </si>
  <si>
    <t>JUMLAH KUNJUNGAN DAN JUMLAH SASARAN USIA SEKOLAH/REMAJA</t>
  </si>
  <si>
    <t>DINA ANGGRE</t>
  </si>
  <si>
    <t>ISTIANI</t>
  </si>
  <si>
    <t>ISMAIL</t>
  </si>
  <si>
    <t>HIDAYATUL</t>
  </si>
  <si>
    <t>SUMIATI</t>
  </si>
  <si>
    <t>RIYADI</t>
  </si>
  <si>
    <t>ZAKI ANDRI</t>
  </si>
  <si>
    <t>ENDANG</t>
  </si>
  <si>
    <t>SUJARWO</t>
  </si>
  <si>
    <t>FEBY BADRUS</t>
  </si>
  <si>
    <t>EKA S</t>
  </si>
  <si>
    <t>RIYANTO</t>
  </si>
  <si>
    <t>FAHIRA</t>
  </si>
  <si>
    <t>26-10-2-10</t>
  </si>
  <si>
    <t>KUSRINI</t>
  </si>
  <si>
    <t>SUMARYONO</t>
  </si>
  <si>
    <t>JATI M</t>
  </si>
  <si>
    <t>GIMAH</t>
  </si>
  <si>
    <t>MARIYANTO</t>
  </si>
  <si>
    <t>DATA SASARAN DEWASA/LANSIA</t>
  </si>
  <si>
    <t>JUMLAH KUNJUNGAN DAN JUMLAH SASARAN DEWASA/LANSIA</t>
  </si>
  <si>
    <t>TUKIYAH</t>
  </si>
  <si>
    <t>MUKIRAN</t>
  </si>
  <si>
    <t>ANIKE W</t>
  </si>
  <si>
    <t>NONI</t>
  </si>
  <si>
    <t>SUGIANTO</t>
  </si>
  <si>
    <t>MARKAMAH</t>
  </si>
  <si>
    <t>ALFIAH</t>
  </si>
  <si>
    <t>YUSUF</t>
  </si>
  <si>
    <t>SUNARMIASIH</t>
  </si>
  <si>
    <t>SUMARMI</t>
  </si>
  <si>
    <t>KADERI</t>
  </si>
  <si>
    <t>SUKIRAH</t>
  </si>
  <si>
    <t>SUMARLI</t>
  </si>
  <si>
    <t>SUTINAH</t>
  </si>
  <si>
    <t>KIRAH</t>
  </si>
  <si>
    <t>SEMIN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</si>
  <si>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</si>
  <si>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</si>
  <si>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</si>
  <si>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</si>
  <si>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</si>
  <si>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</si>
  <si>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</si>
  <si>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</si>
  <si>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</si>
  <si>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</si>
  <si>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</si>
  <si>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</si>
  <si>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</si>
  <si>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</si>
  <si>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</si>
  <si>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</si>
  <si>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</si>
  <si>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</si>
  <si>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</si>
  <si>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</si>
  <si>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</si>
  <si>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</si>
  <si>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</si>
  <si>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</si>
  <si>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</si>
  <si>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</si>
  <si>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</si>
  <si>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</si>
  <si>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</si>
  <si>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</si>
  <si>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</si>
  <si>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</si>
  <si>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</si>
  <si>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</si>
  <si>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</si>
  <si>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</si>
  <si>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</si>
  <si>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</si>
  <si>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</si>
  <si>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</si>
  <si>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</si>
  <si>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</si>
  <si>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</si>
  <si>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</si>
  <si>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</si>
  <si>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</si>
  <si>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</si>
  <si>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</si>
  <si>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</si>
  <si>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</si>
  <si>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</si>
  <si>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</si>
  <si>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</si>
  <si>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</si>
  <si>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</si>
  <si>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</si>
  <si>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</si>
  <si>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</si>
  <si>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</si>
  <si>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</si>
  <si>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</si>
  <si>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</si>
  <si>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</si>
  <si>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</si>
  <si>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</si>
  <si>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</si>
  <si>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</si>
  <si>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</si>
  <si>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YA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</si>
  <si>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</si>
  <si>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</si>
  <si>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</si>
  <si>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</si>
  <si>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</si>
  <si>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</si>
  <si>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</si>
  <si>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</si>
  <si>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&gt;=6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</si>
  <si>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</si>
  <si>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</si>
  <si>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</si>
  <si>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</si>
  <si>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</si>
  <si>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</si>
  <si>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</si>
  <si>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</si>
  <si>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</si>
  <si>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</si>
  <si>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</si>
  <si>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</si>
  <si>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</si>
  <si>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</si>
  <si>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</si>
  <si>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</si>
  <si>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</si>
  <si>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</si>
  <si>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</si>
  <si>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</si>
  <si>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</si>
  <si>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</si>
  <si>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</si>
  <si>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</si>
  <si>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</si>
  <si>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</si>
  <si>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</si>
  <si>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</si>
  <si>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</si>
  <si>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</si>
  <si>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</si>
  <si>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</si>
  <si>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</si>
  <si>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</si>
  <si>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</si>
  <si>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</si>
  <si>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</si>
  <si>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</si>
  <si>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</si>
  <si>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</si>
  <si>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</si>
  <si>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</si>
  <si>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</si>
  <si>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</si>
  <si>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</si>
  <si>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</si>
  <si>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</si>
  <si>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</si>
  <si>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</si>
  <si>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</si>
  <si>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</si>
  <si>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</si>
  <si>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</si>
  <si>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</si>
  <si>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</si>
  <si>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</si>
  <si>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</si>
  <si>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</si>
  <si>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</si>
  <si>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</si>
  <si>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</si>
  <si>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</si>
  <si>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</si>
  <si>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</si>
  <si>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</si>
  <si>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</si>
  <si>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</si>
  <si>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</si>
  <si>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</si>
  <si>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</si>
  <si>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</si>
  <si>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</si>
  <si>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</si>
  <si>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</si>
  <si>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</si>
  <si>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</si>
  <si>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</si>
  <si>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</si>
  <si>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</si>
  <si>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</si>
  <si>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</si>
  <si>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</si>
  <si>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</si>
  <si>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</si>
  <si>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</si>
  <si>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</si>
  <si>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</si>
  <si>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</si>
  <si>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</si>
  <si>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</si>
  <si>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</si>
  <si>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</si>
  <si>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</si>
  <si>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</si>
  <si>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</si>
  <si>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</si>
  <si>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</si>
  <si>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</si>
  <si>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</si>
  <si>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</si>
  <si>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</si>
  <si>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</si>
  <si>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</si>
  <si>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FLAMBOYAN 5</t>
  </si>
  <si>
    <t>MARDI</t>
  </si>
  <si>
    <t>PENGAJUAN BPJS</t>
  </si>
  <si>
    <t>LANGSUNG DI AJUKAN DAN DISETUJUI</t>
  </si>
  <si>
    <t>FLAMBOYAN 1</t>
  </si>
  <si>
    <t>ABDUL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</si>
</sst>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-dd-yyyy"/>
    <numFmt numFmtId="165" formatCode="dd-mm-yyyy"/>
    <numFmt numFmtId="166" formatCode="d-m-yyyy"/>
    <numFmt numFmtId="167" formatCode="dd-mm-yy"/>
    <numFmt numFmtId="168" formatCode="mmmm yyyy"/>
    <numFmt numFmtId="169" formatCode="d mmmm yyyy"/>
    <numFmt numFmtId="170" formatCode="d mmm yyyy"/>
  </numFmts>
  <fonts count="33">
    <font>
      <sz val="10.0"/>
      <color rgb="FF000000"/>
      <name val="Arial"/>
      <scheme val="minor"/>
    </font>
    <font>
      <b/>
      <sz val="20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b/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sz val="20.0"/>
      <color rgb="FFFF0000"/>
      <name val="Calibri"/>
    </font>
    <font>
      <b/>
      <sz val="12.0"/>
      <color theme="1"/>
      <name val="Arial"/>
    </font>
    <font>
      <b/>
      <sz val="14.0"/>
      <color theme="1"/>
      <name val="Calibri"/>
    </font>
    <font>
      <color theme="1"/>
      <name val="Calibri"/>
    </font>
    <font>
      <sz val="60.0"/>
      <color theme="1"/>
      <name val="Calibri"/>
    </font>
    <font>
      <b/>
      <sz val="11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b/>
      <i/>
      <sz val="9.0"/>
      <color theme="1"/>
      <name val="Calibri"/>
    </font>
    <font>
      <b/>
      <sz val="10.0"/>
      <color theme="1"/>
      <name val="Arial"/>
    </font>
    <font>
      <b/>
      <color theme="1"/>
      <name val="Calibri"/>
    </font>
    <font>
      <sz val="10.0"/>
      <color theme="1"/>
      <name val="Calibri"/>
    </font>
    <font>
      <b/>
      <i/>
      <sz val="10.0"/>
      <color theme="1"/>
      <name val="Arial"/>
    </font>
    <font>
      <b/>
      <sz val="11.0"/>
      <color theme="1"/>
      <name val="Arial"/>
    </font>
    <font>
      <b/>
      <i/>
      <sz val="11.0"/>
      <color theme="1"/>
      <name val="Calibri"/>
    </font>
    <font>
      <b/>
      <i/>
      <color theme="1"/>
      <name val="Calibri"/>
    </font>
    <font>
      <b/>
      <color theme="1"/>
      <name val="Arial"/>
      <scheme val="minor"/>
    </font>
    <font>
      <i/>
      <sz val="11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b/>
      <sz val="12.0"/>
      <color theme="1"/>
      <name val="Arial"/>
      <scheme val="minor"/>
    </font>
    <font>
      <b/>
      <sz val="2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left" readingOrder="0" vertical="bottom"/>
    </xf>
    <xf borderId="5" fillId="0" fontId="7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ill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6" fillId="3" fontId="9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/>
    </xf>
    <xf borderId="7" fillId="2" fontId="3" numFmtId="0" xfId="0" applyAlignment="1" applyBorder="1" applyFont="1">
      <alignment horizontal="center" vertical="bottom"/>
    </xf>
    <xf borderId="2" fillId="0" fontId="4" numFmtId="0" xfId="0" applyBorder="1" applyFont="1"/>
    <xf borderId="5" fillId="2" fontId="3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2" fontId="13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readingOrder="0" vertical="center"/>
    </xf>
    <xf borderId="2" fillId="2" fontId="13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5" fillId="2" fontId="13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0" fillId="0" fontId="15" numFmtId="0" xfId="0" applyAlignment="1" applyFont="1">
      <alignment horizontal="center" readingOrder="0" vertical="center"/>
    </xf>
    <xf borderId="8" fillId="0" fontId="4" numFmtId="0" xfId="0" applyBorder="1" applyFont="1"/>
    <xf borderId="5" fillId="0" fontId="6" numFmtId="0" xfId="0" applyAlignment="1" applyBorder="1" applyFont="1">
      <alignment horizontal="center" vertical="bottom"/>
    </xf>
    <xf borderId="6" fillId="0" fontId="10" numFmtId="0" xfId="0" applyBorder="1" applyFont="1"/>
    <xf borderId="6" fillId="0" fontId="6" numFmtId="0" xfId="0" applyAlignment="1" applyBorder="1" applyFont="1">
      <alignment horizontal="center" vertical="bottom"/>
    </xf>
    <xf borderId="9" fillId="0" fontId="4" numFmtId="0" xfId="0" applyBorder="1" applyFont="1"/>
    <xf borderId="5" fillId="0" fontId="4" numFmtId="0" xfId="0" applyBorder="1" applyFont="1"/>
    <xf borderId="5" fillId="0" fontId="2" numFmtId="0" xfId="0" applyAlignment="1" applyBorder="1" applyFont="1">
      <alignment vertical="bottom"/>
    </xf>
    <xf borderId="5" fillId="0" fontId="6" numFmtId="164" xfId="0" applyAlignment="1" applyBorder="1" applyFont="1" applyNumberFormat="1">
      <alignment horizontal="center" vertical="bottom"/>
    </xf>
    <xf borderId="5" fillId="0" fontId="6" numFmtId="0" xfId="0" applyAlignment="1" applyBorder="1" applyFont="1">
      <alignment vertical="bottom"/>
    </xf>
    <xf borderId="0" fillId="0" fontId="1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10" fillId="2" fontId="16" numFmtId="0" xfId="0" applyAlignment="1" applyBorder="1" applyFont="1">
      <alignment horizontal="center" vertical="center"/>
    </xf>
    <xf borderId="7" fillId="2" fontId="16" numFmtId="0" xfId="0" applyAlignment="1" applyBorder="1" applyFont="1">
      <alignment horizontal="center" readingOrder="0" vertical="center"/>
    </xf>
    <xf borderId="2" fillId="2" fontId="16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center" vertical="center"/>
    </xf>
    <xf borderId="11" fillId="0" fontId="4" numFmtId="0" xfId="0" applyBorder="1" applyFont="1"/>
    <xf borderId="7" fillId="2" fontId="16" numFmtId="0" xfId="0" applyAlignment="1" applyBorder="1" applyFont="1">
      <alignment horizontal="center" vertical="center"/>
    </xf>
    <xf borderId="10" fillId="2" fontId="16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1" fillId="2" fontId="16" numFmtId="0" xfId="0" applyAlignment="1" applyBorder="1" applyFont="1">
      <alignment horizontal="center" readingOrder="0" vertical="center"/>
    </xf>
    <xf borderId="14" fillId="2" fontId="16" numFmtId="0" xfId="0" applyAlignment="1" applyBorder="1" applyFont="1">
      <alignment horizontal="center" vertical="center"/>
    </xf>
    <xf borderId="14" fillId="0" fontId="4" numFmtId="0" xfId="0" applyBorder="1" applyFont="1"/>
    <xf borderId="3" fillId="2" fontId="16" numFmtId="0" xfId="0" applyAlignment="1" applyBorder="1" applyFont="1">
      <alignment horizontal="center" vertical="center"/>
    </xf>
    <xf borderId="15" fillId="0" fontId="4" numFmtId="0" xfId="0" applyBorder="1" applyFont="1"/>
    <xf borderId="9" fillId="2" fontId="16" numFmtId="0" xfId="0" applyAlignment="1" applyBorder="1" applyFont="1">
      <alignment horizontal="center" readingOrder="0" vertical="center"/>
    </xf>
    <xf borderId="4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4" fillId="0" fontId="8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shrinkToFit="0" vertical="center" wrapText="0"/>
    </xf>
    <xf borderId="6" fillId="0" fontId="9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readingOrder="0" vertical="center"/>
    </xf>
    <xf borderId="6" fillId="2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right" vertical="bottom"/>
    </xf>
    <xf borderId="0" fillId="0" fontId="12" numFmtId="0" xfId="0" applyAlignment="1" applyFont="1">
      <alignment horizontal="left" readingOrder="0" vertical="bottom"/>
    </xf>
    <xf borderId="0" fillId="0" fontId="16" numFmtId="0" xfId="0" applyAlignment="1" applyFont="1">
      <alignment horizontal="left" readingOrder="0" vertical="bottom"/>
    </xf>
    <xf borderId="0" fillId="0" fontId="16" numFmtId="0" xfId="0" applyAlignment="1" applyFont="1">
      <alignment horizontal="right"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1" fillId="2" fontId="16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3" fontId="10" numFmtId="0" xfId="0" applyFont="1"/>
    <xf borderId="6" fillId="2" fontId="16" numFmtId="0" xfId="0" applyAlignment="1" applyBorder="1" applyFont="1">
      <alignment horizontal="center" readingOrder="0" vertical="center"/>
    </xf>
    <xf borderId="6" fillId="2" fontId="19" numFmtId="0" xfId="0" applyAlignment="1" applyBorder="1" applyFont="1">
      <alignment horizontal="center" readingOrder="0" vertical="center"/>
    </xf>
    <xf borderId="0" fillId="3" fontId="17" numFmtId="0" xfId="0" applyAlignment="1" applyFont="1">
      <alignment horizontal="center" readingOrder="0" vertical="bottom"/>
    </xf>
    <xf borderId="6" fillId="4" fontId="9" numFmtId="0" xfId="0" applyAlignment="1" applyBorder="1" applyFill="1" applyFont="1">
      <alignment horizontal="center" readingOrder="0" vertical="bottom"/>
    </xf>
    <xf borderId="3" fillId="4" fontId="16" numFmtId="0" xfId="0" applyAlignment="1" applyBorder="1" applyFont="1">
      <alignment horizontal="left" readingOrder="0" vertical="bottom"/>
    </xf>
    <xf borderId="6" fillId="4" fontId="2" numFmtId="0" xfId="0" applyAlignment="1" applyBorder="1" applyFont="1">
      <alignment horizontal="left" readingOrder="0" vertical="bottom"/>
    </xf>
    <xf borderId="6" fillId="4" fontId="2" numFmtId="0" xfId="0" applyAlignment="1" applyBorder="1" applyFont="1">
      <alignment horizontal="left" vertical="bottom"/>
    </xf>
    <xf borderId="6" fillId="4" fontId="2" numFmtId="0" xfId="0" applyAlignment="1" applyBorder="1" applyFont="1">
      <alignment vertical="bottom"/>
    </xf>
    <xf borderId="6" fillId="4" fontId="2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3" fillId="0" fontId="9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left" vertical="bottom"/>
    </xf>
    <xf borderId="6" fillId="0" fontId="2" numFmtId="0" xfId="0" applyAlignment="1" applyBorder="1" applyFont="1">
      <alignment readingOrder="0" vertical="bottom"/>
    </xf>
    <xf borderId="6" fillId="0" fontId="9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vertical="bottom"/>
    </xf>
    <xf borderId="6" fillId="4" fontId="16" numFmtId="0" xfId="0" applyAlignment="1" applyBorder="1" applyFont="1">
      <alignment horizontal="left" readingOrder="0" vertical="bottom"/>
    </xf>
    <xf borderId="6" fillId="4" fontId="16" numFmtId="0" xfId="0" applyAlignment="1" applyBorder="1" applyFont="1">
      <alignment horizontal="center" readingOrder="0" vertical="bottom"/>
    </xf>
    <xf borderId="6" fillId="4" fontId="5" numFmtId="0" xfId="0" applyAlignment="1" applyBorder="1" applyFont="1">
      <alignment horizontal="left" vertical="bottom"/>
    </xf>
    <xf borderId="6" fillId="4" fontId="5" numFmtId="0" xfId="0" applyAlignment="1" applyBorder="1" applyFont="1">
      <alignment vertical="bottom"/>
    </xf>
    <xf borderId="6" fillId="4" fontId="5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1" fillId="2" fontId="16" numFmtId="0" xfId="0" applyAlignment="1" applyBorder="1" applyFont="1">
      <alignment horizontal="left" readingOrder="0" vertical="center"/>
    </xf>
    <xf borderId="7" fillId="2" fontId="16" numFmtId="0" xfId="0" applyAlignment="1" applyBorder="1" applyFont="1">
      <alignment horizontal="center" readingOrder="0" vertical="bottom"/>
    </xf>
    <xf borderId="1" fillId="2" fontId="16" numFmtId="0" xfId="0" applyAlignment="1" applyBorder="1" applyFont="1">
      <alignment horizontal="center" readingOrder="0" vertical="bottom"/>
    </xf>
    <xf borderId="6" fillId="2" fontId="16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readingOrder="0" vertical="bottom"/>
    </xf>
    <xf borderId="6" fillId="2" fontId="19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165" xfId="0" applyAlignment="1" applyBorder="1" applyFont="1" applyNumberFormat="1">
      <alignment horizontal="center" readingOrder="0" vertical="bottom"/>
    </xf>
    <xf borderId="6" fillId="0" fontId="2" numFmtId="166" xfId="0" applyAlignment="1" applyBorder="1" applyFont="1" applyNumberFormat="1">
      <alignment horizontal="center" readingOrder="0" vertical="bottom"/>
    </xf>
    <xf borderId="6" fillId="2" fontId="5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165" xfId="0" applyAlignment="1" applyBorder="1" applyFont="1" applyNumberFormat="1">
      <alignment horizontal="center" readingOrder="0" vertical="center"/>
    </xf>
    <xf borderId="6" fillId="0" fontId="2" numFmtId="167" xfId="0" applyAlignment="1" applyBorder="1" applyFont="1" applyNumberFormat="1">
      <alignment horizontal="center" readingOrder="0" vertical="center"/>
    </xf>
    <xf borderId="0" fillId="0" fontId="12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1" fillId="2" fontId="16" numFmtId="0" xfId="0" applyAlignment="1" applyBorder="1" applyFont="1">
      <alignment horizontal="center" shrinkToFit="0" vertical="center" wrapText="1"/>
    </xf>
    <xf borderId="1" fillId="2" fontId="21" numFmtId="0" xfId="0" applyAlignment="1" applyBorder="1" applyFont="1">
      <alignment horizontal="center" shrinkToFit="0" vertical="center" wrapText="1"/>
    </xf>
    <xf borderId="2" fillId="2" fontId="16" numFmtId="0" xfId="0" applyAlignment="1" applyBorder="1" applyFont="1">
      <alignment horizontal="center" readingOrder="0" vertical="center"/>
    </xf>
    <xf borderId="14" fillId="2" fontId="16" numFmtId="0" xfId="0" applyAlignment="1" applyBorder="1" applyFont="1">
      <alignment horizontal="center" shrinkToFit="0" vertical="center" wrapText="1"/>
    </xf>
    <xf borderId="10" fillId="2" fontId="16" numFmtId="0" xfId="0" applyAlignment="1" applyBorder="1" applyFont="1">
      <alignment horizontal="center" shrinkToFit="0" vertical="center" wrapText="1"/>
    </xf>
    <xf borderId="10" fillId="2" fontId="16" numFmtId="0" xfId="0" applyAlignment="1" applyBorder="1" applyFont="1">
      <alignment horizontal="center" readingOrder="0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5" fillId="2" fontId="16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bottom"/>
    </xf>
    <xf borderId="5" fillId="0" fontId="22" numFmtId="0" xfId="0" applyAlignment="1" applyBorder="1" applyFont="1">
      <alignment vertical="bottom"/>
    </xf>
    <xf borderId="7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0" fontId="16" numFmtId="0" xfId="0" applyAlignment="1" applyFont="1">
      <alignment readingOrder="0" vertical="bottom"/>
    </xf>
    <xf borderId="1" fillId="2" fontId="20" numFmtId="0" xfId="0" applyAlignment="1" applyBorder="1" applyFont="1">
      <alignment horizontal="center" readingOrder="0" vertical="center"/>
    </xf>
    <xf borderId="1" fillId="2" fontId="20" numFmtId="0" xfId="0" applyAlignment="1" applyBorder="1" applyFont="1">
      <alignment readingOrder="0" vertical="center"/>
    </xf>
    <xf borderId="7" fillId="2" fontId="20" numFmtId="0" xfId="0" applyAlignment="1" applyBorder="1" applyFont="1">
      <alignment horizontal="center" readingOrder="0" vertical="center"/>
    </xf>
    <xf borderId="10" fillId="2" fontId="20" numFmtId="0" xfId="0" applyAlignment="1" applyBorder="1" applyFont="1">
      <alignment horizontal="center" readingOrder="0" shrinkToFit="0" vertical="center" wrapText="1"/>
    </xf>
    <xf borderId="10" fillId="2" fontId="20" numFmtId="0" xfId="0" applyAlignment="1" applyBorder="1" applyFont="1">
      <alignment horizontal="center" readingOrder="0" vertical="center"/>
    </xf>
    <xf borderId="12" fillId="2" fontId="20" numFmtId="0" xfId="0" applyAlignment="1" applyBorder="1" applyFont="1">
      <alignment horizontal="center" readingOrder="0" vertical="center"/>
    </xf>
    <xf borderId="15" fillId="2" fontId="20" numFmtId="0" xfId="0" applyAlignment="1" applyBorder="1" applyFont="1">
      <alignment readingOrder="0" vertical="center"/>
    </xf>
    <xf borderId="9" fillId="2" fontId="20" numFmtId="0" xfId="0" applyAlignment="1" applyBorder="1" applyFont="1">
      <alignment vertical="center"/>
    </xf>
    <xf borderId="14" fillId="2" fontId="20" numFmtId="0" xfId="0" applyAlignment="1" applyBorder="1" applyFont="1">
      <alignment readingOrder="0" vertical="center"/>
    </xf>
    <xf borderId="6" fillId="2" fontId="20" numFmtId="0" xfId="0" applyAlignment="1" applyBorder="1" applyFont="1">
      <alignment horizontal="center" readingOrder="0" vertical="center"/>
    </xf>
    <xf borderId="4" fillId="2" fontId="20" numFmtId="0" xfId="0" applyAlignment="1" applyBorder="1" applyFont="1">
      <alignment readingOrder="0" vertical="center"/>
    </xf>
    <xf borderId="4" fillId="2" fontId="20" numFmtId="0" xfId="0" applyAlignment="1" applyBorder="1" applyFont="1">
      <alignment horizontal="center" readingOrder="0" vertical="center"/>
    </xf>
    <xf borderId="3" fillId="2" fontId="20" numFmtId="0" xfId="0" applyAlignment="1" applyBorder="1" applyFont="1">
      <alignment horizontal="center" readingOrder="0" vertical="center"/>
    </xf>
    <xf borderId="6" fillId="2" fontId="23" numFmtId="0" xfId="0" applyAlignment="1" applyBorder="1" applyFont="1">
      <alignment horizontal="center" readingOrder="0" vertical="center"/>
    </xf>
    <xf borderId="4" fillId="2" fontId="23" numFmtId="0" xfId="0" applyAlignment="1" applyBorder="1" applyFont="1">
      <alignment horizontal="center" readingOrder="0" vertical="center"/>
    </xf>
    <xf borderId="7" fillId="2" fontId="23" numFmtId="0" xfId="0" applyAlignment="1" applyBorder="1" applyFont="1">
      <alignment horizontal="center" readingOrder="0" vertical="center"/>
    </xf>
    <xf borderId="3" fillId="2" fontId="23" numFmtId="0" xfId="0" applyAlignment="1" applyBorder="1" applyFont="1">
      <alignment horizontal="center" readingOrder="0" vertical="center"/>
    </xf>
    <xf borderId="6" fillId="0" fontId="22" numFmtId="168" xfId="0" applyAlignment="1" applyBorder="1" applyFont="1" applyNumberFormat="1">
      <alignment horizontal="left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center" readingOrder="0" vertical="center"/>
    </xf>
    <xf borderId="6" fillId="2" fontId="5" numFmtId="0" xfId="0" applyAlignment="1" applyBorder="1" applyFont="1">
      <alignment horizontal="center" readingOrder="0" vertical="center"/>
    </xf>
    <xf borderId="14" fillId="2" fontId="16" numFmtId="0" xfId="0" applyAlignment="1" applyBorder="1" applyFont="1">
      <alignment horizontal="center" readingOrder="0" vertical="center"/>
    </xf>
    <xf borderId="4" fillId="2" fontId="24" numFmtId="0" xfId="0" applyAlignment="1" applyBorder="1" applyFont="1">
      <alignment horizontal="center" readingOrder="0" vertical="center"/>
    </xf>
    <xf borderId="4" fillId="2" fontId="16" numFmtId="0" xfId="0" applyAlignment="1" applyBorder="1" applyFont="1">
      <alignment horizontal="center" readingOrder="0" vertical="center"/>
    </xf>
    <xf borderId="3" fillId="2" fontId="16" numFmtId="0" xfId="0" applyAlignment="1" applyBorder="1" applyFont="1">
      <alignment horizontal="center" readingOrder="0" vertical="center"/>
    </xf>
    <xf borderId="6" fillId="2" fontId="25" numFmtId="0" xfId="0" applyAlignment="1" applyBorder="1" applyFont="1">
      <alignment horizontal="center" readingOrder="0" vertical="center"/>
    </xf>
    <xf borderId="6" fillId="2" fontId="26" numFmtId="0" xfId="0" applyAlignment="1" applyBorder="1" applyFont="1">
      <alignment horizontal="center" readingOrder="0" vertical="center"/>
    </xf>
    <xf borderId="4" fillId="2" fontId="26" numFmtId="0" xfId="0" applyAlignment="1" applyBorder="1" applyFont="1">
      <alignment horizontal="center" readingOrder="0" vertical="center"/>
    </xf>
    <xf borderId="7" fillId="2" fontId="25" numFmtId="0" xfId="0" applyAlignment="1" applyBorder="1" applyFont="1">
      <alignment horizontal="center" readingOrder="0" vertical="center"/>
    </xf>
    <xf borderId="4" fillId="2" fontId="25" numFmtId="0" xfId="0" applyAlignment="1" applyBorder="1" applyFont="1">
      <alignment horizontal="center" readingOrder="0" vertical="center"/>
    </xf>
    <xf borderId="3" fillId="2" fontId="25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bottom"/>
    </xf>
    <xf borderId="11" fillId="2" fontId="24" numFmtId="0" xfId="0" applyAlignment="1" applyBorder="1" applyFont="1">
      <alignment horizontal="center" readingOrder="0" vertical="center"/>
    </xf>
    <xf borderId="13" fillId="2" fontId="16" numFmtId="0" xfId="0" applyAlignment="1" applyBorder="1" applyFont="1">
      <alignment horizontal="center" readingOrder="0" vertical="center"/>
    </xf>
    <xf borderId="7" fillId="2" fontId="27" numFmtId="0" xfId="0" applyAlignment="1" applyBorder="1" applyFont="1">
      <alignment horizontal="center" readingOrder="0" vertical="center"/>
    </xf>
    <xf borderId="11" fillId="2" fontId="27" numFmtId="0" xfId="0" applyAlignment="1" applyBorder="1" applyFont="1">
      <alignment horizontal="center" readingOrder="0" vertical="center"/>
    </xf>
    <xf borderId="0" fillId="3" fontId="9" numFmtId="0" xfId="0" applyAlignment="1" applyFont="1">
      <alignment horizontal="center" readingOrder="0" vertical="bottom"/>
    </xf>
    <xf borderId="15" fillId="2" fontId="25" numFmtId="0" xfId="0" applyAlignment="1" applyBorder="1" applyFont="1">
      <alignment horizontal="center" readingOrder="0" vertical="center"/>
    </xf>
    <xf borderId="15" fillId="2" fontId="27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center"/>
    </xf>
    <xf borderId="0" fillId="0" fontId="18" numFmtId="0" xfId="0" applyAlignment="1" applyFont="1">
      <alignment readingOrder="0" vertical="bottom"/>
    </xf>
    <xf borderId="10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1" fillId="2" fontId="5" numFmtId="0" xfId="0" applyAlignment="1" applyBorder="1" applyFont="1">
      <alignment horizontal="center" readingOrder="0" vertical="center"/>
    </xf>
    <xf borderId="14" fillId="2" fontId="5" numFmtId="0" xfId="0" applyAlignment="1" applyBorder="1" applyFont="1">
      <alignment horizontal="center" readingOrder="0" vertical="center"/>
    </xf>
    <xf borderId="2" fillId="2" fontId="27" numFmtId="0" xfId="0" applyAlignment="1" applyBorder="1" applyFont="1">
      <alignment horizontal="center" readingOrder="0" vertical="center"/>
    </xf>
    <xf borderId="14" fillId="2" fontId="29" numFmtId="0" xfId="0" applyAlignment="1" applyBorder="1" applyFont="1">
      <alignment horizontal="center" readingOrder="0" vertical="center"/>
    </xf>
    <xf borderId="1" fillId="2" fontId="29" numFmtId="0" xfId="0" applyAlignment="1" applyBorder="1" applyFont="1">
      <alignment horizontal="center" readingOrder="0" vertical="center"/>
    </xf>
    <xf borderId="6" fillId="2" fontId="27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vertical="center"/>
    </xf>
    <xf borderId="6" fillId="2" fontId="30" numFmtId="0" xfId="0" applyAlignment="1" applyBorder="1" applyFont="1">
      <alignment horizontal="center" vertical="center"/>
    </xf>
    <xf borderId="6" fillId="2" fontId="30" numFmtId="0" xfId="0" applyAlignment="1" applyBorder="1" applyFont="1">
      <alignment horizontal="center" readingOrder="0" vertical="center"/>
    </xf>
    <xf borderId="4" fillId="2" fontId="30" numFmtId="0" xfId="0" applyAlignment="1" applyBorder="1" applyFont="1">
      <alignment horizontal="center" readingOrder="0" vertical="center"/>
    </xf>
    <xf borderId="4" fillId="2" fontId="30" numFmtId="0" xfId="0" applyAlignment="1" applyBorder="1" applyFont="1">
      <alignment horizontal="center" vertical="center"/>
    </xf>
    <xf borderId="7" fillId="2" fontId="30" numFmtId="0" xfId="0" applyAlignment="1" applyBorder="1" applyFont="1">
      <alignment horizontal="center" vertical="center"/>
    </xf>
    <xf borderId="3" fillId="2" fontId="30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31" numFmtId="0" xfId="0" applyAlignment="1" applyFont="1">
      <alignment horizontal="center" readingOrder="0"/>
    </xf>
    <xf borderId="1" fillId="2" fontId="13" numFmtId="0" xfId="0" applyAlignment="1" applyBorder="1" applyFont="1">
      <alignment horizontal="center" shrinkToFit="0" vertical="bottom" wrapText="1"/>
    </xf>
    <xf borderId="1" fillId="2" fontId="13" numFmtId="0" xfId="0" applyAlignment="1" applyBorder="1" applyFont="1">
      <alignment horizontal="center" readingOrder="0" shrinkToFit="0" vertical="bottom" wrapText="1"/>
    </xf>
    <xf borderId="2" fillId="2" fontId="13" numFmtId="0" xfId="0" applyAlignment="1" applyBorder="1" applyFont="1">
      <alignment horizontal="center" shrinkToFit="0" vertical="bottom" wrapText="1"/>
    </xf>
    <xf borderId="5" fillId="2" fontId="13" numFmtId="0" xfId="0" applyAlignment="1" applyBorder="1" applyFont="1">
      <alignment horizontal="center" shrinkToFit="0" vertical="bottom" wrapText="1"/>
    </xf>
    <xf borderId="9" fillId="2" fontId="13" numFmtId="0" xfId="0" applyAlignment="1" applyBorder="1" applyFont="1">
      <alignment horizontal="center" shrinkToFit="0" vertical="bottom" wrapText="1"/>
    </xf>
    <xf borderId="4" fillId="0" fontId="28" numFmtId="0" xfId="0" applyAlignment="1" applyBorder="1" applyFont="1">
      <alignment horizontal="center" vertical="bottom"/>
    </xf>
    <xf borderId="5" fillId="0" fontId="28" numFmtId="0" xfId="0" applyAlignment="1" applyBorder="1" applyFont="1">
      <alignment horizontal="center" vertical="bottom"/>
    </xf>
    <xf borderId="6" fillId="0" fontId="6" numFmtId="165" xfId="0" applyAlignment="1" applyBorder="1" applyFont="1" applyNumberFormat="1">
      <alignment horizontal="center" readingOrder="0" vertical="bottom"/>
    </xf>
    <xf borderId="6" fillId="0" fontId="6" numFmtId="0" xfId="0" applyAlignment="1" applyBorder="1" applyFont="1">
      <alignment readingOrder="0" vertical="bottom"/>
    </xf>
    <xf borderId="6" fillId="0" fontId="6" numFmtId="0" xfId="0" applyAlignment="1" applyBorder="1" applyFont="1">
      <alignment horizontal="center" readingOrder="0" vertical="bottom"/>
    </xf>
    <xf borderId="6" fillId="0" fontId="6" numFmtId="166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6" fillId="0" fontId="11" numFmtId="0" xfId="0" applyAlignment="1" applyBorder="1" applyFont="1">
      <alignment readingOrder="0" vertical="bottom"/>
    </xf>
    <xf borderId="7" fillId="2" fontId="13" numFmtId="0" xfId="0" applyAlignment="1" applyBorder="1" applyFont="1">
      <alignment horizontal="center" vertical="center"/>
    </xf>
    <xf borderId="6" fillId="2" fontId="13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vertical="bottom"/>
    </xf>
    <xf borderId="6" fillId="0" fontId="6" numFmtId="164" xfId="0" applyAlignment="1" applyBorder="1" applyFont="1" applyNumberFormat="1">
      <alignment horizontal="center" vertical="bottom"/>
    </xf>
    <xf borderId="6" fillId="0" fontId="6" numFmtId="164" xfId="0" applyAlignment="1" applyBorder="1" applyFont="1" applyNumberFormat="1">
      <alignment horizontal="center" readingOrder="0" vertical="bottom"/>
    </xf>
    <xf borderId="1" fillId="2" fontId="13" numFmtId="0" xfId="0" applyAlignment="1" applyBorder="1" applyFont="1">
      <alignment horizontal="center" shrinkToFit="0" vertical="center" wrapText="1"/>
    </xf>
    <xf borderId="4" fillId="2" fontId="14" numFmtId="0" xfId="0" applyAlignment="1" applyBorder="1" applyFont="1">
      <alignment horizontal="center" vertical="center"/>
    </xf>
    <xf borderId="5" fillId="2" fontId="14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5" fillId="0" fontId="6" numFmtId="0" xfId="0" applyAlignment="1" applyBorder="1" applyFont="1">
      <alignment readingOrder="0" vertical="bottom"/>
    </xf>
    <xf borderId="6" fillId="0" fontId="3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bottom"/>
    </xf>
    <xf borderId="5" fillId="0" fontId="6" numFmtId="169" xfId="0" applyAlignment="1" applyBorder="1" applyFont="1" applyNumberFormat="1">
      <alignment horizontal="left" readingOrder="0" vertical="bottom"/>
    </xf>
    <xf borderId="5" fillId="0" fontId="2" numFmtId="0" xfId="0" applyAlignment="1" applyBorder="1" applyFont="1">
      <alignment readingOrder="0" vertical="bottom"/>
    </xf>
    <xf borderId="5" fillId="0" fontId="6" numFmtId="170" xfId="0" applyAlignment="1" applyBorder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5.25"/>
    <col customWidth="1" min="3" max="3" width="15.75"/>
    <col customWidth="1" min="18" max="18" width="25.38"/>
  </cols>
  <sheetData>
    <row r="1" ht="36.0" customHeight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455.0</v>
      </c>
      <c r="E6" s="15">
        <v>455.0</v>
      </c>
      <c r="F6" s="15">
        <v>1643.0</v>
      </c>
      <c r="G6" s="15">
        <v>49.0</v>
      </c>
      <c r="H6" s="15">
        <v>225.0</v>
      </c>
      <c r="I6" s="15">
        <v>641.0</v>
      </c>
      <c r="J6" s="15">
        <v>157.0</v>
      </c>
      <c r="K6" s="15">
        <v>2.0</v>
      </c>
      <c r="L6" s="16" t="s">
        <v>25</v>
      </c>
      <c r="M6" s="15" t="s">
        <v>26</v>
      </c>
      <c r="N6" s="17" t="s">
        <v>27</v>
      </c>
      <c r="O6" s="16" t="s">
        <v>25</v>
      </c>
      <c r="P6" s="15">
        <v>7.0</v>
      </c>
      <c r="Q6" s="18" t="s">
        <v>28</v>
      </c>
      <c r="R6" s="19" t="s">
        <v>29</v>
      </c>
      <c r="S6" s="2"/>
    </row>
    <row r="7">
      <c r="A7" s="20">
        <v>2.0</v>
      </c>
      <c r="B7" s="13" t="s">
        <v>30</v>
      </c>
      <c r="C7" s="14" t="s">
        <v>31</v>
      </c>
      <c r="D7" s="19">
        <v>143.0</v>
      </c>
      <c r="E7" s="19">
        <v>143.0</v>
      </c>
      <c r="F7" s="19">
        <v>661.0</v>
      </c>
      <c r="G7" s="19">
        <v>24.0</v>
      </c>
      <c r="H7" s="19">
        <v>221.0</v>
      </c>
      <c r="I7" s="19">
        <v>398.0</v>
      </c>
      <c r="J7" s="19">
        <v>112.0</v>
      </c>
      <c r="K7" s="19">
        <v>1.0</v>
      </c>
      <c r="L7" s="16" t="s">
        <v>25</v>
      </c>
      <c r="M7" s="15" t="s">
        <v>26</v>
      </c>
      <c r="N7" s="17" t="s">
        <v>27</v>
      </c>
      <c r="O7" s="16" t="s">
        <v>25</v>
      </c>
      <c r="P7" s="15">
        <v>8.0</v>
      </c>
      <c r="Q7" s="18" t="s">
        <v>28</v>
      </c>
      <c r="R7" s="15" t="s">
        <v>29</v>
      </c>
      <c r="S7" s="2"/>
    </row>
    <row r="8">
      <c r="A8" s="20">
        <v>3.0</v>
      </c>
      <c r="B8" s="13" t="s">
        <v>32</v>
      </c>
      <c r="C8" s="14" t="s">
        <v>33</v>
      </c>
      <c r="D8" s="15">
        <v>280.0</v>
      </c>
      <c r="E8" s="15">
        <v>280.0</v>
      </c>
      <c r="F8" s="15">
        <v>867.0</v>
      </c>
      <c r="G8" s="19">
        <v>35.0</v>
      </c>
      <c r="H8" s="19">
        <v>246.0</v>
      </c>
      <c r="I8" s="19">
        <v>599.0</v>
      </c>
      <c r="J8" s="19">
        <v>159.0</v>
      </c>
      <c r="K8" s="19">
        <v>3.0</v>
      </c>
      <c r="L8" s="16" t="s">
        <v>25</v>
      </c>
      <c r="M8" s="15" t="s">
        <v>26</v>
      </c>
      <c r="N8" s="17" t="s">
        <v>27</v>
      </c>
      <c r="O8" s="16" t="s">
        <v>25</v>
      </c>
      <c r="P8" s="15">
        <v>7.0</v>
      </c>
      <c r="Q8" s="18" t="s">
        <v>28</v>
      </c>
      <c r="R8" s="15" t="s">
        <v>29</v>
      </c>
      <c r="S8" s="2"/>
    </row>
    <row r="9">
      <c r="A9" s="20">
        <v>4.0</v>
      </c>
      <c r="B9" s="13" t="s">
        <v>34</v>
      </c>
      <c r="C9" s="14" t="s">
        <v>35</v>
      </c>
      <c r="D9" s="19">
        <v>468.0</v>
      </c>
      <c r="E9" s="19">
        <v>468.0</v>
      </c>
      <c r="F9" s="19">
        <v>1447.0</v>
      </c>
      <c r="G9" s="19">
        <v>55.0</v>
      </c>
      <c r="H9" s="19">
        <v>255.0</v>
      </c>
      <c r="I9" s="19">
        <v>706.0</v>
      </c>
      <c r="J9" s="19">
        <v>208.0</v>
      </c>
      <c r="K9" s="19">
        <v>3.0</v>
      </c>
      <c r="L9" s="16" t="s">
        <v>25</v>
      </c>
      <c r="M9" s="15" t="s">
        <v>26</v>
      </c>
      <c r="N9" s="17" t="s">
        <v>27</v>
      </c>
      <c r="O9" s="16" t="s">
        <v>25</v>
      </c>
      <c r="P9" s="15">
        <v>7.0</v>
      </c>
      <c r="Q9" s="18" t="s">
        <v>28</v>
      </c>
      <c r="R9" s="15" t="s">
        <v>29</v>
      </c>
      <c r="S9" s="2"/>
    </row>
    <row r="10">
      <c r="A10" s="20">
        <v>5.0</v>
      </c>
      <c r="B10" s="13" t="s">
        <v>36</v>
      </c>
      <c r="C10" s="14" t="s">
        <v>37</v>
      </c>
      <c r="D10" s="19">
        <v>592.0</v>
      </c>
      <c r="E10" s="19">
        <v>592.0</v>
      </c>
      <c r="F10" s="19">
        <v>2133.0</v>
      </c>
      <c r="G10" s="19">
        <v>63.0</v>
      </c>
      <c r="H10" s="19">
        <v>253.0</v>
      </c>
      <c r="I10" s="19">
        <v>714.0</v>
      </c>
      <c r="J10" s="19">
        <v>268.0</v>
      </c>
      <c r="K10" s="19">
        <v>5.0</v>
      </c>
      <c r="L10" s="16" t="s">
        <v>25</v>
      </c>
      <c r="M10" s="15" t="s">
        <v>26</v>
      </c>
      <c r="N10" s="17" t="s">
        <v>27</v>
      </c>
      <c r="O10" s="16" t="s">
        <v>25</v>
      </c>
      <c r="P10" s="15">
        <v>8.0</v>
      </c>
      <c r="Q10" s="18" t="s">
        <v>28</v>
      </c>
      <c r="R10" s="15" t="s">
        <v>29</v>
      </c>
      <c r="S10" s="2"/>
    </row>
    <row r="11">
      <c r="A11" s="20">
        <v>6.0</v>
      </c>
      <c r="B11" s="13" t="s">
        <v>38</v>
      </c>
      <c r="C11" s="14" t="s">
        <v>39</v>
      </c>
      <c r="D11" s="19">
        <v>391.0</v>
      </c>
      <c r="E11" s="19">
        <v>391.0</v>
      </c>
      <c r="F11" s="19">
        <v>1043.0</v>
      </c>
      <c r="G11" s="19">
        <v>29.0</v>
      </c>
      <c r="H11" s="19">
        <v>228.0</v>
      </c>
      <c r="I11" s="19">
        <v>572.0</v>
      </c>
      <c r="J11" s="19">
        <v>126.0</v>
      </c>
      <c r="K11" s="19">
        <v>3.0</v>
      </c>
      <c r="L11" s="16" t="s">
        <v>25</v>
      </c>
      <c r="M11" s="15" t="s">
        <v>26</v>
      </c>
      <c r="N11" s="17" t="s">
        <v>27</v>
      </c>
      <c r="O11" s="16" t="s">
        <v>25</v>
      </c>
      <c r="P11" s="21">
        <v>7.0</v>
      </c>
      <c r="Q11" s="18" t="s">
        <v>28</v>
      </c>
      <c r="R11" s="19" t="s">
        <v>29</v>
      </c>
      <c r="S11" s="2"/>
    </row>
    <row r="12">
      <c r="A12" s="20">
        <v>7.0</v>
      </c>
      <c r="B12" s="13" t="s">
        <v>40</v>
      </c>
      <c r="C12" s="14" t="s">
        <v>41</v>
      </c>
      <c r="D12" s="19">
        <v>295.0</v>
      </c>
      <c r="E12" s="19">
        <v>295.0</v>
      </c>
      <c r="F12" s="22">
        <v>1244.0</v>
      </c>
      <c r="G12" s="19">
        <v>36.0</v>
      </c>
      <c r="H12" s="19">
        <v>257.0</v>
      </c>
      <c r="I12" s="19">
        <v>487.0</v>
      </c>
      <c r="J12" s="19">
        <v>191.0</v>
      </c>
      <c r="K12" s="19">
        <v>2.0</v>
      </c>
      <c r="L12" s="16" t="s">
        <v>25</v>
      </c>
      <c r="M12" s="15" t="s">
        <v>26</v>
      </c>
      <c r="N12" s="17" t="s">
        <v>27</v>
      </c>
      <c r="O12" s="16" t="s">
        <v>25</v>
      </c>
      <c r="P12" s="21">
        <v>8.0</v>
      </c>
      <c r="Q12" s="23" t="s">
        <v>28</v>
      </c>
      <c r="R12" s="15" t="s">
        <v>29</v>
      </c>
      <c r="S12" s="2"/>
    </row>
    <row r="13">
      <c r="A13" s="20">
        <v>8.0</v>
      </c>
      <c r="B13" s="13" t="s">
        <v>42</v>
      </c>
      <c r="C13" s="14" t="s">
        <v>43</v>
      </c>
      <c r="D13" s="19">
        <v>301.0</v>
      </c>
      <c r="E13" s="19">
        <v>301.0</v>
      </c>
      <c r="F13" s="19">
        <v>906.0</v>
      </c>
      <c r="G13" s="19">
        <v>27.0</v>
      </c>
      <c r="H13" s="19">
        <v>227.0</v>
      </c>
      <c r="I13" s="19">
        <v>513.0</v>
      </c>
      <c r="J13" s="19">
        <v>129.0</v>
      </c>
      <c r="K13" s="19">
        <v>3.0</v>
      </c>
      <c r="L13" s="16" t="s">
        <v>25</v>
      </c>
      <c r="M13" s="15" t="s">
        <v>26</v>
      </c>
      <c r="N13" s="17" t="s">
        <v>27</v>
      </c>
      <c r="O13" s="16" t="s">
        <v>25</v>
      </c>
      <c r="P13" s="21">
        <v>7.0</v>
      </c>
      <c r="Q13" s="18" t="s">
        <v>28</v>
      </c>
      <c r="R13" s="15" t="s">
        <v>29</v>
      </c>
      <c r="S13" s="2"/>
    </row>
    <row r="14">
      <c r="A14" s="20">
        <v>9.0</v>
      </c>
      <c r="B14" s="13" t="s">
        <v>44</v>
      </c>
      <c r="C14" s="14" t="s">
        <v>45</v>
      </c>
      <c r="D14" s="19">
        <v>235.0</v>
      </c>
      <c r="E14" s="19">
        <v>235.0</v>
      </c>
      <c r="F14" s="19">
        <v>1473.0</v>
      </c>
      <c r="G14" s="19">
        <v>31.0</v>
      </c>
      <c r="H14" s="19">
        <v>262.0</v>
      </c>
      <c r="I14" s="19">
        <v>469.0</v>
      </c>
      <c r="J14" s="19">
        <v>159.0</v>
      </c>
      <c r="K14" s="19">
        <v>3.0</v>
      </c>
      <c r="L14" s="16" t="s">
        <v>25</v>
      </c>
      <c r="M14" s="15" t="s">
        <v>26</v>
      </c>
      <c r="N14" s="17" t="s">
        <v>27</v>
      </c>
      <c r="O14" s="16" t="s">
        <v>25</v>
      </c>
      <c r="P14" s="21">
        <v>7.0</v>
      </c>
      <c r="Q14" s="18" t="s">
        <v>28</v>
      </c>
      <c r="R14" s="15" t="s">
        <v>29</v>
      </c>
      <c r="S14" s="2"/>
    </row>
    <row r="15">
      <c r="A15" s="20">
        <v>10.0</v>
      </c>
      <c r="B15" s="13" t="s">
        <v>46</v>
      </c>
      <c r="C15" s="14" t="s">
        <v>47</v>
      </c>
      <c r="D15" s="19">
        <v>462.0</v>
      </c>
      <c r="E15" s="19">
        <v>462.0</v>
      </c>
      <c r="F15" s="19">
        <v>1361.0</v>
      </c>
      <c r="G15" s="19">
        <v>21.0</v>
      </c>
      <c r="H15" s="19">
        <v>228.0</v>
      </c>
      <c r="I15" s="19">
        <v>652.0</v>
      </c>
      <c r="J15" s="19">
        <v>92.0</v>
      </c>
      <c r="K15" s="19">
        <v>2.0</v>
      </c>
      <c r="L15" s="16" t="s">
        <v>25</v>
      </c>
      <c r="M15" s="15" t="s">
        <v>26</v>
      </c>
      <c r="N15" s="17" t="s">
        <v>27</v>
      </c>
      <c r="O15" s="16" t="s">
        <v>25</v>
      </c>
      <c r="P15" s="21">
        <v>7.0</v>
      </c>
      <c r="Q15" s="18" t="s">
        <v>28</v>
      </c>
      <c r="R15" s="15" t="s">
        <v>29</v>
      </c>
      <c r="S15" s="2"/>
    </row>
    <row r="16">
      <c r="A16" s="20">
        <v>11.0</v>
      </c>
      <c r="B16" s="13" t="s">
        <v>48</v>
      </c>
      <c r="C16" s="14" t="s">
        <v>49</v>
      </c>
      <c r="D16" s="19">
        <v>586.0</v>
      </c>
      <c r="E16" s="19">
        <v>586.0</v>
      </c>
      <c r="F16" s="19">
        <v>1539.0</v>
      </c>
      <c r="G16" s="19">
        <v>29.0</v>
      </c>
      <c r="H16" s="19">
        <v>235.0</v>
      </c>
      <c r="I16" s="19">
        <v>716.0</v>
      </c>
      <c r="J16" s="19">
        <v>251.0</v>
      </c>
      <c r="K16" s="22">
        <v>3.0</v>
      </c>
      <c r="L16" s="16" t="s">
        <v>25</v>
      </c>
      <c r="M16" s="19" t="s">
        <v>26</v>
      </c>
      <c r="N16" s="17" t="s">
        <v>27</v>
      </c>
      <c r="O16" s="16" t="s">
        <v>25</v>
      </c>
      <c r="P16" s="21">
        <v>9.0</v>
      </c>
      <c r="Q16" s="18" t="s">
        <v>28</v>
      </c>
      <c r="R16" s="19" t="s">
        <v>29</v>
      </c>
      <c r="S16" s="2"/>
    </row>
    <row r="17">
      <c r="A17" s="20">
        <v>12.0</v>
      </c>
      <c r="B17" s="13" t="s">
        <v>50</v>
      </c>
      <c r="C17" s="14" t="s">
        <v>51</v>
      </c>
      <c r="D17" s="19">
        <v>531.0</v>
      </c>
      <c r="E17" s="19">
        <v>531.0</v>
      </c>
      <c r="F17" s="19">
        <v>1531.0</v>
      </c>
      <c r="G17" s="19">
        <v>28.0</v>
      </c>
      <c r="H17" s="19">
        <v>221.0</v>
      </c>
      <c r="I17" s="19">
        <v>699.0</v>
      </c>
      <c r="J17" s="19">
        <v>175.0</v>
      </c>
      <c r="K17" s="22">
        <v>2.0</v>
      </c>
      <c r="L17" s="16" t="s">
        <v>25</v>
      </c>
      <c r="M17" s="19" t="s">
        <v>26</v>
      </c>
      <c r="N17" s="17" t="s">
        <v>27</v>
      </c>
      <c r="O17" s="16" t="s">
        <v>25</v>
      </c>
      <c r="P17" s="21">
        <v>7.0</v>
      </c>
      <c r="Q17" s="18" t="s">
        <v>28</v>
      </c>
      <c r="R17" s="19" t="s">
        <v>29</v>
      </c>
      <c r="S17" s="2"/>
    </row>
    <row r="18">
      <c r="A18" s="24" t="s">
        <v>52</v>
      </c>
      <c r="B18" s="25"/>
      <c r="C18" s="8"/>
      <c r="D18" s="26">
        <f t="shared" ref="D18:H18" si="1">SUM(D6:D17)</f>
        <v>4739</v>
      </c>
      <c r="E18" s="26">
        <f t="shared" si="1"/>
        <v>4739</v>
      </c>
      <c r="F18" s="26">
        <f t="shared" si="1"/>
        <v>15848</v>
      </c>
      <c r="G18" s="26">
        <f t="shared" si="1"/>
        <v>427</v>
      </c>
      <c r="H18" s="26">
        <f t="shared" si="1"/>
        <v>2858</v>
      </c>
      <c r="I18" s="26"/>
      <c r="J18" s="26"/>
      <c r="K18" s="26">
        <f t="shared" ref="K18:R18" si="2">SUM(K6:K17)</f>
        <v>32</v>
      </c>
      <c r="L18" s="26">
        <f t="shared" si="2"/>
        <v>0</v>
      </c>
      <c r="M18" s="26">
        <f t="shared" si="2"/>
        <v>0</v>
      </c>
      <c r="N18" s="26">
        <f t="shared" si="2"/>
        <v>0</v>
      </c>
      <c r="O18" s="26">
        <f t="shared" si="2"/>
        <v>0</v>
      </c>
      <c r="P18" s="26">
        <f t="shared" si="2"/>
        <v>89</v>
      </c>
      <c r="Q18" s="27">
        <f t="shared" si="2"/>
        <v>0</v>
      </c>
      <c r="R18" s="26">
        <f t="shared" si="2"/>
        <v>0</v>
      </c>
      <c r="S18" s="2"/>
    </row>
    <row r="20">
      <c r="C20" s="28"/>
    </row>
  </sheetData>
  <mergeCells count="18">
    <mergeCell ref="G4:G5"/>
    <mergeCell ref="H4:H5"/>
    <mergeCell ref="A18:C18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17.88"/>
    <col customWidth="1" min="4" max="4" width="17.25"/>
    <col customWidth="1" min="5" max="5" width="22.0"/>
    <col customWidth="1" min="7" max="7" width="51.0"/>
  </cols>
  <sheetData>
    <row r="1">
      <c r="A1" s="29" t="s">
        <v>53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9" t="s">
        <v>54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0"/>
      <c r="B3" s="31" t="s">
        <v>1</v>
      </c>
      <c r="C3" s="32" t="s">
        <v>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3" t="s">
        <v>56</v>
      </c>
      <c r="B5" s="34" t="s">
        <v>57</v>
      </c>
      <c r="C5" s="33" t="s">
        <v>58</v>
      </c>
      <c r="D5" s="33" t="s">
        <v>59</v>
      </c>
      <c r="E5" s="33" t="s">
        <v>60</v>
      </c>
      <c r="F5" s="33" t="s">
        <v>61</v>
      </c>
      <c r="G5" s="33" t="s">
        <v>62</v>
      </c>
      <c r="H5" s="35" t="s">
        <v>63</v>
      </c>
      <c r="I5" s="8"/>
      <c r="J5" s="36"/>
      <c r="K5" s="36"/>
      <c r="L5" s="36"/>
      <c r="M5" s="3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64</v>
      </c>
      <c r="I6" s="37" t="s">
        <v>65</v>
      </c>
      <c r="J6" s="36"/>
      <c r="K6" s="36"/>
      <c r="L6" s="36"/>
      <c r="M6" s="3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/>
      <c r="B8" s="40" t="s">
        <v>66</v>
      </c>
      <c r="H8" s="41"/>
      <c r="I8" s="4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43"/>
      <c r="H9" s="41"/>
      <c r="I9" s="4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44"/>
      <c r="H10" s="41"/>
      <c r="I10" s="4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H11" s="41"/>
      <c r="I11" s="4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H12" s="41"/>
      <c r="I12" s="4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H13" s="41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5"/>
      <c r="D14" s="45"/>
      <c r="E14" s="45"/>
      <c r="F14" s="45"/>
      <c r="G14" s="45"/>
      <c r="H14" s="46"/>
      <c r="I14" s="4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8"/>
      <c r="C15" s="49"/>
      <c r="D15" s="49"/>
      <c r="E15" s="49"/>
      <c r="F15" s="49"/>
      <c r="G15" s="49"/>
      <c r="H15" s="42"/>
      <c r="I15" s="4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8"/>
      <c r="C16" s="49"/>
      <c r="D16" s="47"/>
      <c r="E16" s="49"/>
      <c r="F16" s="49"/>
      <c r="G16" s="49"/>
      <c r="H16" s="42"/>
      <c r="I16" s="4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3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30"/>
      <c r="B18" s="2"/>
      <c r="C18" s="2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3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3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3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3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3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3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3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3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3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3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3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3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3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</sheetData>
  <mergeCells count="11">
    <mergeCell ref="F5:F6"/>
    <mergeCell ref="G5:G6"/>
    <mergeCell ref="B8:H14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.13"/>
    <col customWidth="1" min="4" max="4" width="16.13"/>
    <col customWidth="1" min="5" max="5" width="12.5"/>
    <col customWidth="1" min="6" max="6" width="13.5"/>
    <col customWidth="1" min="7" max="9" width="7.0"/>
    <col customWidth="1" min="10" max="10" width="6.75"/>
    <col customWidth="1" min="11" max="12" width="6.38"/>
    <col customWidth="1" min="13" max="13" width="6.88"/>
    <col customWidth="1" min="14" max="14" width="5.75"/>
    <col customWidth="1" min="15" max="15" width="6.88"/>
    <col customWidth="1" min="16" max="17" width="5.75"/>
    <col customWidth="1" min="18" max="18" width="6.13"/>
    <col customWidth="1" min="19" max="19" width="6.88"/>
    <col customWidth="1" min="20" max="20" width="7.25"/>
    <col customWidth="1" min="21" max="21" width="7.88"/>
    <col customWidth="1" min="22" max="22" width="7.75"/>
    <col customWidth="1" min="23" max="23" width="6.88"/>
  </cols>
  <sheetData>
    <row r="1">
      <c r="A1" s="50" t="s">
        <v>67</v>
      </c>
      <c r="AM1" s="51"/>
    </row>
    <row r="2">
      <c r="A2" s="31" t="s">
        <v>1</v>
      </c>
      <c r="B2" s="32" t="s">
        <v>55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2"/>
    </row>
    <row r="3">
      <c r="A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>
      <c r="A4" s="52" t="s">
        <v>3</v>
      </c>
      <c r="B4" s="52" t="s">
        <v>68</v>
      </c>
      <c r="C4" s="53" t="s">
        <v>69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8"/>
      <c r="AB4" s="54" t="s">
        <v>70</v>
      </c>
      <c r="AC4" s="25"/>
      <c r="AD4" s="25"/>
      <c r="AE4" s="25"/>
      <c r="AF4" s="25"/>
      <c r="AG4" s="8"/>
      <c r="AH4" s="54" t="s">
        <v>71</v>
      </c>
      <c r="AI4" s="25"/>
      <c r="AJ4" s="25"/>
      <c r="AK4" s="8"/>
      <c r="AL4" s="55" t="s">
        <v>72</v>
      </c>
      <c r="AM4" s="2"/>
    </row>
    <row r="5">
      <c r="A5" s="56"/>
      <c r="B5" s="56"/>
      <c r="C5" s="57" t="s">
        <v>73</v>
      </c>
      <c r="D5" s="25"/>
      <c r="E5" s="25"/>
      <c r="F5" s="25"/>
      <c r="G5" s="25"/>
      <c r="H5" s="25"/>
      <c r="I5" s="25"/>
      <c r="J5" s="25"/>
      <c r="K5" s="8"/>
      <c r="L5" s="58" t="s">
        <v>74</v>
      </c>
      <c r="M5" s="59"/>
      <c r="N5" s="59"/>
      <c r="O5" s="60"/>
      <c r="P5" s="61" t="s">
        <v>75</v>
      </c>
      <c r="S5" s="41"/>
      <c r="T5" s="61" t="s">
        <v>76</v>
      </c>
      <c r="W5" s="41"/>
      <c r="X5" s="62" t="s">
        <v>77</v>
      </c>
      <c r="Y5" s="54" t="s">
        <v>78</v>
      </c>
      <c r="Z5" s="25"/>
      <c r="AA5" s="8"/>
      <c r="AB5" s="52" t="s">
        <v>79</v>
      </c>
      <c r="AC5" s="60"/>
      <c r="AD5" s="52" t="s">
        <v>80</v>
      </c>
      <c r="AE5" s="60"/>
      <c r="AF5" s="52" t="s">
        <v>81</v>
      </c>
      <c r="AG5" s="60"/>
      <c r="AH5" s="52" t="s">
        <v>82</v>
      </c>
      <c r="AI5" s="60"/>
      <c r="AJ5" s="52" t="s">
        <v>83</v>
      </c>
      <c r="AK5" s="60"/>
      <c r="AL5" s="63"/>
      <c r="AM5" s="2"/>
    </row>
    <row r="6">
      <c r="A6" s="56"/>
      <c r="B6" s="56"/>
      <c r="C6" s="57" t="s">
        <v>84</v>
      </c>
      <c r="D6" s="25"/>
      <c r="E6" s="25"/>
      <c r="F6" s="8"/>
      <c r="G6" s="64"/>
      <c r="H6" s="54" t="s">
        <v>85</v>
      </c>
      <c r="I6" s="25"/>
      <c r="J6" s="25"/>
      <c r="K6" s="8"/>
      <c r="L6" s="65"/>
      <c r="M6" s="45"/>
      <c r="N6" s="45"/>
      <c r="O6" s="46"/>
      <c r="P6" s="65"/>
      <c r="Q6" s="45"/>
      <c r="R6" s="45"/>
      <c r="S6" s="46"/>
      <c r="T6" s="65"/>
      <c r="U6" s="45"/>
      <c r="V6" s="45"/>
      <c r="W6" s="46"/>
      <c r="X6" s="63"/>
      <c r="Y6" s="62" t="s">
        <v>86</v>
      </c>
      <c r="Z6" s="62" t="s">
        <v>87</v>
      </c>
      <c r="AA6" s="62" t="s">
        <v>88</v>
      </c>
      <c r="AB6" s="56"/>
      <c r="AC6" s="41"/>
      <c r="AD6" s="56"/>
      <c r="AE6" s="41"/>
      <c r="AF6" s="56"/>
      <c r="AG6" s="41"/>
      <c r="AH6" s="56"/>
      <c r="AI6" s="41"/>
      <c r="AJ6" s="56"/>
      <c r="AK6" s="41"/>
      <c r="AL6" s="63"/>
      <c r="AM6" s="2"/>
    </row>
    <row r="7">
      <c r="A7" s="56"/>
      <c r="B7" s="56"/>
      <c r="C7" s="57" t="s">
        <v>89</v>
      </c>
      <c r="D7" s="8"/>
      <c r="E7" s="54" t="s">
        <v>90</v>
      </c>
      <c r="F7" s="8"/>
      <c r="G7" s="64"/>
      <c r="H7" s="54" t="s">
        <v>89</v>
      </c>
      <c r="I7" s="8"/>
      <c r="J7" s="54" t="s">
        <v>90</v>
      </c>
      <c r="K7" s="8"/>
      <c r="L7" s="66" t="s">
        <v>89</v>
      </c>
      <c r="M7" s="46"/>
      <c r="N7" s="66" t="s">
        <v>90</v>
      </c>
      <c r="O7" s="46"/>
      <c r="P7" s="66" t="s">
        <v>89</v>
      </c>
      <c r="Q7" s="46"/>
      <c r="R7" s="66" t="s">
        <v>90</v>
      </c>
      <c r="S7" s="46"/>
      <c r="T7" s="66" t="s">
        <v>89</v>
      </c>
      <c r="U7" s="46"/>
      <c r="V7" s="66" t="s">
        <v>90</v>
      </c>
      <c r="W7" s="46"/>
      <c r="X7" s="63"/>
      <c r="Y7" s="63"/>
      <c r="Z7" s="63"/>
      <c r="AA7" s="63"/>
      <c r="AB7" s="65"/>
      <c r="AC7" s="46"/>
      <c r="AD7" s="65"/>
      <c r="AE7" s="46"/>
      <c r="AF7" s="65"/>
      <c r="AG7" s="46"/>
      <c r="AH7" s="65"/>
      <c r="AI7" s="46"/>
      <c r="AJ7" s="65"/>
      <c r="AK7" s="46"/>
      <c r="AL7" s="63"/>
      <c r="AM7" s="2"/>
    </row>
    <row r="8">
      <c r="A8" s="65"/>
      <c r="B8" s="65"/>
      <c r="C8" s="67" t="s">
        <v>91</v>
      </c>
      <c r="D8" s="68" t="s">
        <v>92</v>
      </c>
      <c r="E8" s="68" t="s">
        <v>91</v>
      </c>
      <c r="F8" s="68" t="s">
        <v>92</v>
      </c>
      <c r="G8" s="68"/>
      <c r="H8" s="68" t="s">
        <v>91</v>
      </c>
      <c r="I8" s="68" t="s">
        <v>92</v>
      </c>
      <c r="J8" s="68" t="s">
        <v>91</v>
      </c>
      <c r="K8" s="68" t="s">
        <v>92</v>
      </c>
      <c r="L8" s="69" t="s">
        <v>91</v>
      </c>
      <c r="M8" s="69" t="s">
        <v>92</v>
      </c>
      <c r="N8" s="69" t="s">
        <v>91</v>
      </c>
      <c r="O8" s="69" t="s">
        <v>92</v>
      </c>
      <c r="P8" s="69" t="s">
        <v>91</v>
      </c>
      <c r="Q8" s="69" t="s">
        <v>92</v>
      </c>
      <c r="R8" s="69" t="s">
        <v>91</v>
      </c>
      <c r="S8" s="69" t="s">
        <v>92</v>
      </c>
      <c r="T8" s="69" t="s">
        <v>91</v>
      </c>
      <c r="U8" s="69" t="s">
        <v>92</v>
      </c>
      <c r="V8" s="69" t="s">
        <v>91</v>
      </c>
      <c r="W8" s="69" t="s">
        <v>92</v>
      </c>
      <c r="X8" s="10"/>
      <c r="Y8" s="10"/>
      <c r="Z8" s="10"/>
      <c r="AA8" s="10"/>
      <c r="AB8" s="68" t="s">
        <v>91</v>
      </c>
      <c r="AC8" s="68" t="s">
        <v>92</v>
      </c>
      <c r="AD8" s="68" t="s">
        <v>91</v>
      </c>
      <c r="AE8" s="68" t="s">
        <v>92</v>
      </c>
      <c r="AF8" s="68" t="s">
        <v>91</v>
      </c>
      <c r="AG8" s="68" t="s">
        <v>92</v>
      </c>
      <c r="AH8" s="68" t="s">
        <v>91</v>
      </c>
      <c r="AI8" s="68" t="s">
        <v>92</v>
      </c>
      <c r="AJ8" s="68" t="s">
        <v>91</v>
      </c>
      <c r="AK8" s="68" t="s">
        <v>92</v>
      </c>
      <c r="AL8" s="10"/>
      <c r="AM8" s="2"/>
    </row>
    <row r="9">
      <c r="A9" s="70">
        <v>1.0</v>
      </c>
      <c r="B9" s="71">
        <v>2.0</v>
      </c>
      <c r="C9" s="72">
        <v>3.0</v>
      </c>
      <c r="D9" s="72">
        <v>4.0</v>
      </c>
      <c r="E9" s="72">
        <v>5.0</v>
      </c>
      <c r="F9" s="72">
        <v>6.0</v>
      </c>
      <c r="G9" s="72"/>
      <c r="H9" s="72">
        <v>7.0</v>
      </c>
      <c r="I9" s="72">
        <v>8.0</v>
      </c>
      <c r="J9" s="72">
        <v>9.0</v>
      </c>
      <c r="K9" s="72">
        <v>10.0</v>
      </c>
      <c r="L9" s="72">
        <v>11.0</v>
      </c>
      <c r="M9" s="72">
        <v>12.0</v>
      </c>
      <c r="N9" s="72">
        <v>13.0</v>
      </c>
      <c r="O9" s="72">
        <v>14.0</v>
      </c>
      <c r="P9" s="72">
        <v>15.0</v>
      </c>
      <c r="Q9" s="72">
        <v>16.0</v>
      </c>
      <c r="R9" s="72">
        <v>17.0</v>
      </c>
      <c r="S9" s="72">
        <v>18.0</v>
      </c>
      <c r="T9" s="72">
        <v>19.0</v>
      </c>
      <c r="U9" s="72">
        <v>20.0</v>
      </c>
      <c r="V9" s="72">
        <v>21.0</v>
      </c>
      <c r="W9" s="72">
        <v>22.0</v>
      </c>
      <c r="X9" s="72">
        <v>23.0</v>
      </c>
      <c r="Y9" s="72">
        <v>24.0</v>
      </c>
      <c r="Z9" s="72">
        <v>25.0</v>
      </c>
      <c r="AA9" s="72">
        <v>26.0</v>
      </c>
      <c r="AB9" s="72">
        <v>27.0</v>
      </c>
      <c r="AC9" s="72">
        <v>28.0</v>
      </c>
      <c r="AD9" s="72">
        <v>29.0</v>
      </c>
      <c r="AE9" s="72">
        <v>30.0</v>
      </c>
      <c r="AF9" s="72">
        <v>31.0</v>
      </c>
      <c r="AG9" s="72">
        <v>32.0</v>
      </c>
      <c r="AH9" s="72">
        <v>33.0</v>
      </c>
      <c r="AI9" s="72">
        <v>34.0</v>
      </c>
      <c r="AJ9" s="72">
        <v>35.0</v>
      </c>
      <c r="AK9" s="72">
        <v>36.0</v>
      </c>
      <c r="AL9" s="72">
        <v>37.0</v>
      </c>
      <c r="AM9" s="2"/>
    </row>
    <row r="10">
      <c r="A10" s="73">
        <v>1.0</v>
      </c>
      <c r="B10" s="74" t="s">
        <v>93</v>
      </c>
      <c r="C10" s="75">
        <v>12.0</v>
      </c>
      <c r="D10" s="75">
        <v>11.0</v>
      </c>
      <c r="E10" s="76">
        <v>135.0</v>
      </c>
      <c r="F10" s="76">
        <v>134.0</v>
      </c>
      <c r="G10" s="76"/>
      <c r="H10" s="75">
        <v>17.0</v>
      </c>
      <c r="I10" s="75">
        <v>16.0</v>
      </c>
      <c r="J10" s="76">
        <v>214.0</v>
      </c>
      <c r="K10" s="76">
        <v>211.0</v>
      </c>
      <c r="L10" s="77">
        <v>120.0</v>
      </c>
      <c r="M10" s="77">
        <v>119.0</v>
      </c>
      <c r="N10" s="77">
        <v>1433.0</v>
      </c>
      <c r="O10" s="77">
        <v>1425.0</v>
      </c>
      <c r="P10" s="77">
        <v>4.0</v>
      </c>
      <c r="Q10" s="77">
        <v>3.0</v>
      </c>
      <c r="R10" s="77">
        <v>83.0</v>
      </c>
      <c r="S10" s="77">
        <v>83.0</v>
      </c>
      <c r="T10" s="77">
        <v>74.0</v>
      </c>
      <c r="U10" s="77">
        <v>72.0</v>
      </c>
      <c r="V10" s="77">
        <v>894.0</v>
      </c>
      <c r="W10" s="77">
        <v>891.0</v>
      </c>
      <c r="X10" s="76">
        <v>7102.0</v>
      </c>
      <c r="Y10" s="76">
        <v>5344.0</v>
      </c>
      <c r="Z10" s="76">
        <v>289.0</v>
      </c>
      <c r="AA10" s="76">
        <v>273.0</v>
      </c>
      <c r="AB10" s="75">
        <v>0.0</v>
      </c>
      <c r="AC10" s="76">
        <v>97.0</v>
      </c>
      <c r="AD10" s="75">
        <v>0.0</v>
      </c>
      <c r="AE10" s="75">
        <v>0.0</v>
      </c>
      <c r="AF10" s="75">
        <v>0.0</v>
      </c>
      <c r="AG10" s="76">
        <v>1.0</v>
      </c>
      <c r="AH10" s="76">
        <v>12.0</v>
      </c>
      <c r="AI10" s="75">
        <v>11.0</v>
      </c>
      <c r="AJ10" s="75">
        <v>0.0</v>
      </c>
      <c r="AK10" s="75">
        <v>0.0</v>
      </c>
      <c r="AL10" s="78" t="s">
        <v>25</v>
      </c>
      <c r="AM10" s="2"/>
    </row>
    <row r="11">
      <c r="A11" s="73">
        <v>2.0</v>
      </c>
      <c r="B11" s="74" t="s">
        <v>94</v>
      </c>
      <c r="C11" s="75">
        <v>12.0</v>
      </c>
      <c r="D11" s="75">
        <v>12.0</v>
      </c>
      <c r="E11" s="76">
        <v>133.0</v>
      </c>
      <c r="F11" s="76">
        <v>133.0</v>
      </c>
      <c r="G11" s="76"/>
      <c r="H11" s="75">
        <v>16.0</v>
      </c>
      <c r="I11" s="75">
        <v>16.0</v>
      </c>
      <c r="J11" s="76">
        <v>213.0</v>
      </c>
      <c r="K11" s="76">
        <v>213.0</v>
      </c>
      <c r="L11" s="77">
        <v>120.0</v>
      </c>
      <c r="M11" s="77">
        <v>120.0</v>
      </c>
      <c r="N11" s="77">
        <v>1430.0</v>
      </c>
      <c r="O11" s="77">
        <v>1430.0</v>
      </c>
      <c r="P11" s="77">
        <v>3.0</v>
      </c>
      <c r="Q11" s="77">
        <v>3.0</v>
      </c>
      <c r="R11" s="77">
        <v>84.0</v>
      </c>
      <c r="S11" s="77">
        <v>82.0</v>
      </c>
      <c r="T11" s="77">
        <v>73.0</v>
      </c>
      <c r="U11" s="77">
        <v>73.0</v>
      </c>
      <c r="V11" s="77">
        <v>892.0</v>
      </c>
      <c r="W11" s="77">
        <v>890.0</v>
      </c>
      <c r="X11" s="76">
        <v>7100.0</v>
      </c>
      <c r="Y11" s="76">
        <v>5342.0</v>
      </c>
      <c r="Z11" s="76">
        <v>289.0</v>
      </c>
      <c r="AA11" s="76">
        <v>270.0</v>
      </c>
      <c r="AB11" s="75">
        <v>0.0</v>
      </c>
      <c r="AC11" s="76">
        <v>97.0</v>
      </c>
      <c r="AD11" s="75">
        <v>0.0</v>
      </c>
      <c r="AE11" s="75">
        <v>0.0</v>
      </c>
      <c r="AF11" s="75">
        <v>0.0</v>
      </c>
      <c r="AG11" s="76">
        <v>3.0</v>
      </c>
      <c r="AH11" s="76">
        <v>13.0</v>
      </c>
      <c r="AI11" s="75">
        <v>11.0</v>
      </c>
      <c r="AJ11" s="75">
        <v>0.0</v>
      </c>
      <c r="AK11" s="75">
        <v>0.0</v>
      </c>
      <c r="AL11" s="78" t="s">
        <v>25</v>
      </c>
      <c r="AM11" s="2"/>
    </row>
    <row r="12">
      <c r="A12" s="73">
        <v>3.0</v>
      </c>
      <c r="B12" s="74" t="s">
        <v>95</v>
      </c>
      <c r="C12" s="75">
        <v>13.0</v>
      </c>
      <c r="D12" s="75">
        <v>11.0</v>
      </c>
      <c r="E12" s="76">
        <v>134.0</v>
      </c>
      <c r="F12" s="76">
        <v>135.0</v>
      </c>
      <c r="G12" s="76"/>
      <c r="H12" s="75">
        <v>17.0</v>
      </c>
      <c r="I12" s="75">
        <v>16.0</v>
      </c>
      <c r="J12" s="76">
        <v>214.0</v>
      </c>
      <c r="K12" s="76">
        <v>212.0</v>
      </c>
      <c r="L12" s="77">
        <v>119.0</v>
      </c>
      <c r="M12" s="77">
        <v>122.0</v>
      </c>
      <c r="N12" s="77">
        <v>1428.0</v>
      </c>
      <c r="O12" s="77">
        <v>1425.0</v>
      </c>
      <c r="P12" s="77">
        <v>4.0</v>
      </c>
      <c r="Q12" s="77">
        <v>3.0</v>
      </c>
      <c r="R12" s="77">
        <v>82.0</v>
      </c>
      <c r="S12" s="77">
        <v>83.0</v>
      </c>
      <c r="T12" s="77">
        <v>43.0</v>
      </c>
      <c r="U12" s="77">
        <v>74.0</v>
      </c>
      <c r="V12" s="77">
        <v>892.0</v>
      </c>
      <c r="W12" s="77">
        <v>892.0</v>
      </c>
      <c r="X12" s="76">
        <v>7103.0</v>
      </c>
      <c r="Y12" s="76">
        <v>5340.0</v>
      </c>
      <c r="Z12" s="76">
        <v>289.0</v>
      </c>
      <c r="AA12" s="76">
        <v>271.0</v>
      </c>
      <c r="AB12" s="75">
        <v>0.0</v>
      </c>
      <c r="AC12" s="76">
        <v>97.0</v>
      </c>
      <c r="AD12" s="75">
        <v>0.0</v>
      </c>
      <c r="AE12" s="75">
        <v>0.0</v>
      </c>
      <c r="AF12" s="75">
        <v>0.0</v>
      </c>
      <c r="AG12" s="76">
        <v>1.0</v>
      </c>
      <c r="AH12" s="75">
        <v>13.0</v>
      </c>
      <c r="AI12" s="75">
        <v>9.0</v>
      </c>
      <c r="AJ12" s="75">
        <v>0.0</v>
      </c>
      <c r="AK12" s="75">
        <v>0.0</v>
      </c>
      <c r="AL12" s="78" t="s">
        <v>25</v>
      </c>
      <c r="AM12" s="2"/>
    </row>
    <row r="13">
      <c r="A13" s="73">
        <v>4.0</v>
      </c>
      <c r="B13" s="74" t="s">
        <v>96</v>
      </c>
      <c r="C13" s="75">
        <v>11.0</v>
      </c>
      <c r="D13" s="75">
        <v>12.0</v>
      </c>
      <c r="E13" s="76">
        <v>134.0</v>
      </c>
      <c r="F13" s="76">
        <v>134.0</v>
      </c>
      <c r="G13" s="76"/>
      <c r="H13" s="75">
        <v>16.0</v>
      </c>
      <c r="I13" s="75">
        <v>17.0</v>
      </c>
      <c r="J13" s="76">
        <v>212.0</v>
      </c>
      <c r="K13" s="76">
        <v>212.0</v>
      </c>
      <c r="L13" s="77">
        <v>121.0</v>
      </c>
      <c r="M13" s="77">
        <v>118.0</v>
      </c>
      <c r="N13" s="77">
        <v>1429.0</v>
      </c>
      <c r="O13" s="77">
        <v>1430.0</v>
      </c>
      <c r="P13" s="77">
        <v>4.0</v>
      </c>
      <c r="Q13" s="77">
        <v>4.0</v>
      </c>
      <c r="R13" s="77">
        <v>84.0</v>
      </c>
      <c r="S13" s="77">
        <v>83.0</v>
      </c>
      <c r="T13" s="77">
        <v>72.0</v>
      </c>
      <c r="U13" s="77">
        <v>73.0</v>
      </c>
      <c r="V13" s="77">
        <v>892.0</v>
      </c>
      <c r="W13" s="77">
        <v>891.0</v>
      </c>
      <c r="X13" s="76">
        <v>7099.0</v>
      </c>
      <c r="Y13" s="76">
        <v>5343.0</v>
      </c>
      <c r="Z13" s="76">
        <v>290.0</v>
      </c>
      <c r="AA13" s="76">
        <v>272.0</v>
      </c>
      <c r="AB13" s="75">
        <v>0.0</v>
      </c>
      <c r="AC13" s="76">
        <v>97.0</v>
      </c>
      <c r="AD13" s="75">
        <v>0.0</v>
      </c>
      <c r="AE13" s="75">
        <v>0.0</v>
      </c>
      <c r="AF13" s="75">
        <v>0.0</v>
      </c>
      <c r="AG13" s="76">
        <v>4.0</v>
      </c>
      <c r="AH13" s="75">
        <v>14.0</v>
      </c>
      <c r="AI13" s="75">
        <v>10.0</v>
      </c>
      <c r="AJ13" s="75">
        <v>0.0</v>
      </c>
      <c r="AK13" s="75">
        <v>0.0</v>
      </c>
      <c r="AL13" s="78" t="s">
        <v>25</v>
      </c>
      <c r="AM13" s="2"/>
    </row>
    <row r="14">
      <c r="A14" s="73">
        <v>5.0</v>
      </c>
      <c r="B14" s="74" t="s">
        <v>97</v>
      </c>
      <c r="C14" s="75">
        <v>11.0</v>
      </c>
      <c r="D14" s="75">
        <v>12.0</v>
      </c>
      <c r="E14" s="76">
        <v>133.0</v>
      </c>
      <c r="F14" s="76">
        <v>134.0</v>
      </c>
      <c r="G14" s="76"/>
      <c r="H14" s="75">
        <v>16.0</v>
      </c>
      <c r="I14" s="75">
        <v>16.0</v>
      </c>
      <c r="J14" s="76">
        <v>215.0</v>
      </c>
      <c r="K14" s="76">
        <v>211.0</v>
      </c>
      <c r="L14" s="77">
        <v>120.0</v>
      </c>
      <c r="M14" s="77">
        <v>126.0</v>
      </c>
      <c r="N14" s="77">
        <v>1430.0</v>
      </c>
      <c r="O14" s="77">
        <v>1432.0</v>
      </c>
      <c r="P14" s="77">
        <v>3.0</v>
      </c>
      <c r="Q14" s="77">
        <v>4.0</v>
      </c>
      <c r="R14" s="77">
        <v>82.0</v>
      </c>
      <c r="S14" s="77">
        <v>82.0</v>
      </c>
      <c r="T14" s="77">
        <v>73.0</v>
      </c>
      <c r="U14" s="77">
        <v>73.0</v>
      </c>
      <c r="V14" s="77">
        <v>893.0</v>
      </c>
      <c r="W14" s="77">
        <v>889.0</v>
      </c>
      <c r="X14" s="76">
        <v>7103.0</v>
      </c>
      <c r="Y14" s="76">
        <v>5341.0</v>
      </c>
      <c r="Z14" s="76">
        <v>289.0</v>
      </c>
      <c r="AA14" s="76">
        <v>272.0</v>
      </c>
      <c r="AB14" s="75">
        <v>0.0</v>
      </c>
      <c r="AC14" s="76">
        <v>97.0</v>
      </c>
      <c r="AD14" s="75">
        <v>0.0</v>
      </c>
      <c r="AE14" s="75">
        <v>0.0</v>
      </c>
      <c r="AF14" s="75">
        <v>0.0</v>
      </c>
      <c r="AG14" s="76">
        <v>1.0</v>
      </c>
      <c r="AH14" s="75">
        <v>13.0</v>
      </c>
      <c r="AI14" s="76">
        <v>11.0</v>
      </c>
      <c r="AJ14" s="75">
        <v>0.0</v>
      </c>
      <c r="AK14" s="75">
        <v>0.0</v>
      </c>
      <c r="AL14" s="78" t="s">
        <v>25</v>
      </c>
      <c r="AM14" s="2"/>
    </row>
    <row r="15">
      <c r="A15" s="73">
        <v>6.0</v>
      </c>
      <c r="B15" s="74" t="s">
        <v>98</v>
      </c>
      <c r="C15" s="75"/>
      <c r="D15" s="76"/>
      <c r="E15" s="76"/>
      <c r="F15" s="76"/>
      <c r="G15" s="76"/>
      <c r="H15" s="75"/>
      <c r="I15" s="75"/>
      <c r="J15" s="76"/>
      <c r="K15" s="76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6"/>
      <c r="Y15" s="76"/>
      <c r="Z15" s="76"/>
      <c r="AA15" s="76"/>
      <c r="AB15" s="75"/>
      <c r="AC15" s="76"/>
      <c r="AD15" s="75"/>
      <c r="AE15" s="75"/>
      <c r="AF15" s="75"/>
      <c r="AG15" s="76"/>
      <c r="AH15" s="75"/>
      <c r="AI15" s="76"/>
      <c r="AJ15" s="75"/>
      <c r="AK15" s="75"/>
      <c r="AL15" s="78"/>
      <c r="AM15" s="2"/>
    </row>
    <row r="16">
      <c r="A16" s="73">
        <v>7.0</v>
      </c>
      <c r="B16" s="74" t="s">
        <v>99</v>
      </c>
      <c r="C16" s="75"/>
      <c r="D16" s="76"/>
      <c r="E16" s="76"/>
      <c r="F16" s="76"/>
      <c r="G16" s="76"/>
      <c r="H16" s="75"/>
      <c r="I16" s="75"/>
      <c r="J16" s="76"/>
      <c r="K16" s="76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6"/>
      <c r="Y16" s="76"/>
      <c r="Z16" s="76"/>
      <c r="AA16" s="76"/>
      <c r="AB16" s="75"/>
      <c r="AC16" s="76"/>
      <c r="AD16" s="75"/>
      <c r="AE16" s="75"/>
      <c r="AF16" s="75"/>
      <c r="AG16" s="75"/>
      <c r="AH16" s="75"/>
      <c r="AI16" s="75"/>
      <c r="AJ16" s="75"/>
      <c r="AK16" s="75"/>
      <c r="AL16" s="78"/>
      <c r="AM16" s="2"/>
    </row>
    <row r="17">
      <c r="A17" s="73">
        <v>8.0</v>
      </c>
      <c r="B17" s="74" t="s">
        <v>100</v>
      </c>
      <c r="C17" s="75"/>
      <c r="D17" s="75"/>
      <c r="E17" s="79"/>
      <c r="F17" s="79"/>
      <c r="G17" s="75"/>
      <c r="H17" s="75"/>
      <c r="I17" s="75"/>
      <c r="J17" s="79"/>
      <c r="K17" s="79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79"/>
      <c r="Y17" s="79"/>
      <c r="Z17" s="79"/>
      <c r="AA17" s="79"/>
      <c r="AB17" s="75"/>
      <c r="AC17" s="79"/>
      <c r="AD17" s="75"/>
      <c r="AE17" s="75"/>
      <c r="AF17" s="75"/>
      <c r="AG17" s="75"/>
      <c r="AH17" s="75"/>
      <c r="AI17" s="75"/>
      <c r="AJ17" s="75"/>
      <c r="AK17" s="75"/>
      <c r="AL17" s="78"/>
      <c r="AM17" s="2"/>
    </row>
    <row r="18">
      <c r="A18" s="73">
        <v>9.0</v>
      </c>
      <c r="B18" s="74" t="s">
        <v>101</v>
      </c>
      <c r="C18" s="75"/>
      <c r="D18" s="75"/>
      <c r="E18" s="76"/>
      <c r="F18" s="76"/>
      <c r="G18" s="76"/>
      <c r="H18" s="75"/>
      <c r="I18" s="75"/>
      <c r="J18" s="76"/>
      <c r="K18" s="76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6"/>
      <c r="Y18" s="76"/>
      <c r="Z18" s="76"/>
      <c r="AA18" s="76"/>
      <c r="AB18" s="75"/>
      <c r="AC18" s="76"/>
      <c r="AD18" s="75"/>
      <c r="AE18" s="75"/>
      <c r="AF18" s="75"/>
      <c r="AG18" s="75"/>
      <c r="AH18" s="75"/>
      <c r="AI18" s="75"/>
      <c r="AJ18" s="75"/>
      <c r="AK18" s="75"/>
      <c r="AL18" s="78"/>
      <c r="AM18" s="2"/>
    </row>
    <row r="19">
      <c r="A19" s="73">
        <v>10.0</v>
      </c>
      <c r="B19" s="74" t="s">
        <v>102</v>
      </c>
      <c r="C19" s="81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2"/>
    </row>
    <row r="20">
      <c r="A20" s="73">
        <v>11.0</v>
      </c>
      <c r="B20" s="74" t="s">
        <v>103</v>
      </c>
      <c r="C20" s="81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2"/>
    </row>
    <row r="21">
      <c r="A21" s="73">
        <v>12.0</v>
      </c>
      <c r="B21" s="74" t="s">
        <v>104</v>
      </c>
      <c r="C21" s="81"/>
      <c r="D21" s="78"/>
      <c r="E21" s="78"/>
      <c r="F21" s="78"/>
      <c r="G21" s="82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2"/>
    </row>
    <row r="22">
      <c r="A22" s="83" t="s">
        <v>52</v>
      </c>
      <c r="B22" s="8"/>
      <c r="C22" s="84">
        <f t="shared" ref="C22:AL22" si="1">SUM(C10:C21)</f>
        <v>59</v>
      </c>
      <c r="D22" s="84">
        <f t="shared" si="1"/>
        <v>58</v>
      </c>
      <c r="E22" s="84">
        <f t="shared" si="1"/>
        <v>669</v>
      </c>
      <c r="F22" s="84">
        <f t="shared" si="1"/>
        <v>670</v>
      </c>
      <c r="G22" s="84">
        <f t="shared" si="1"/>
        <v>0</v>
      </c>
      <c r="H22" s="84">
        <f t="shared" si="1"/>
        <v>82</v>
      </c>
      <c r="I22" s="84">
        <f t="shared" si="1"/>
        <v>81</v>
      </c>
      <c r="J22" s="84">
        <f t="shared" si="1"/>
        <v>1068</v>
      </c>
      <c r="K22" s="84">
        <f t="shared" si="1"/>
        <v>1059</v>
      </c>
      <c r="L22" s="84">
        <f t="shared" si="1"/>
        <v>600</v>
      </c>
      <c r="M22" s="84">
        <f t="shared" si="1"/>
        <v>605</v>
      </c>
      <c r="N22" s="84">
        <f t="shared" si="1"/>
        <v>7150</v>
      </c>
      <c r="O22" s="84">
        <f t="shared" si="1"/>
        <v>7142</v>
      </c>
      <c r="P22" s="84">
        <f t="shared" si="1"/>
        <v>18</v>
      </c>
      <c r="Q22" s="84">
        <f t="shared" si="1"/>
        <v>17</v>
      </c>
      <c r="R22" s="84">
        <f t="shared" si="1"/>
        <v>415</v>
      </c>
      <c r="S22" s="84">
        <f t="shared" si="1"/>
        <v>413</v>
      </c>
      <c r="T22" s="84">
        <f t="shared" si="1"/>
        <v>335</v>
      </c>
      <c r="U22" s="84">
        <f t="shared" si="1"/>
        <v>365</v>
      </c>
      <c r="V22" s="84">
        <f t="shared" si="1"/>
        <v>4463</v>
      </c>
      <c r="W22" s="84">
        <f t="shared" si="1"/>
        <v>4453</v>
      </c>
      <c r="X22" s="84">
        <f t="shared" si="1"/>
        <v>35507</v>
      </c>
      <c r="Y22" s="84">
        <f t="shared" si="1"/>
        <v>26710</v>
      </c>
      <c r="Z22" s="84">
        <f t="shared" si="1"/>
        <v>1446</v>
      </c>
      <c r="AA22" s="84">
        <f t="shared" si="1"/>
        <v>1358</v>
      </c>
      <c r="AB22" s="84">
        <f t="shared" si="1"/>
        <v>0</v>
      </c>
      <c r="AC22" s="84">
        <f t="shared" si="1"/>
        <v>485</v>
      </c>
      <c r="AD22" s="84">
        <f t="shared" si="1"/>
        <v>0</v>
      </c>
      <c r="AE22" s="84">
        <f t="shared" si="1"/>
        <v>0</v>
      </c>
      <c r="AF22" s="84">
        <f t="shared" si="1"/>
        <v>0</v>
      </c>
      <c r="AG22" s="84">
        <f t="shared" si="1"/>
        <v>10</v>
      </c>
      <c r="AH22" s="84">
        <f t="shared" si="1"/>
        <v>65</v>
      </c>
      <c r="AI22" s="84">
        <f t="shared" si="1"/>
        <v>52</v>
      </c>
      <c r="AJ22" s="84">
        <f t="shared" si="1"/>
        <v>0</v>
      </c>
      <c r="AK22" s="84">
        <f t="shared" si="1"/>
        <v>0</v>
      </c>
      <c r="AL22" s="84">
        <f t="shared" si="1"/>
        <v>0</v>
      </c>
      <c r="AM22" s="2"/>
    </row>
    <row r="23">
      <c r="A23" s="8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>
      <c r="A24" s="86" t="s">
        <v>105</v>
      </c>
      <c r="D24" s="2"/>
      <c r="E24" s="2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>
      <c r="A25" s="87" t="s">
        <v>106</v>
      </c>
      <c r="B25" s="87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A26" s="88" t="s">
        <v>107</v>
      </c>
      <c r="B26" s="87">
        <v>2026.0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89"/>
      <c r="B27" s="9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>
      <c r="A28" s="87" t="s">
        <v>108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21.0" customHeight="1">
      <c r="A29" s="92" t="s">
        <v>3</v>
      </c>
      <c r="B29" s="58" t="s">
        <v>109</v>
      </c>
      <c r="C29" s="59"/>
      <c r="D29" s="59"/>
      <c r="E29" s="53" t="s">
        <v>110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8"/>
      <c r="Q29" s="93"/>
      <c r="R29" s="9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>
      <c r="A30" s="10"/>
      <c r="B30" s="95" t="s">
        <v>111</v>
      </c>
      <c r="C30" s="95" t="s">
        <v>112</v>
      </c>
      <c r="D30" s="95" t="s">
        <v>113</v>
      </c>
      <c r="E30" s="95" t="s">
        <v>114</v>
      </c>
      <c r="F30" s="95" t="s">
        <v>115</v>
      </c>
      <c r="G30" s="95" t="s">
        <v>116</v>
      </c>
      <c r="H30" s="95" t="s">
        <v>117</v>
      </c>
      <c r="I30" s="95" t="s">
        <v>97</v>
      </c>
      <c r="J30" s="95" t="s">
        <v>118</v>
      </c>
      <c r="K30" s="95" t="s">
        <v>119</v>
      </c>
      <c r="L30" s="95" t="s">
        <v>120</v>
      </c>
      <c r="M30" s="95" t="s">
        <v>121</v>
      </c>
      <c r="N30" s="95" t="s">
        <v>122</v>
      </c>
      <c r="O30" s="95" t="s">
        <v>123</v>
      </c>
      <c r="P30" s="95" t="s">
        <v>124</v>
      </c>
      <c r="R30" s="9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>
      <c r="A31" s="96">
        <v>1.0</v>
      </c>
      <c r="B31" s="96">
        <v>2.0</v>
      </c>
      <c r="C31" s="96">
        <v>3.0</v>
      </c>
      <c r="D31" s="96">
        <v>4.0</v>
      </c>
      <c r="E31" s="96">
        <v>5.0</v>
      </c>
      <c r="F31" s="96">
        <v>6.0</v>
      </c>
      <c r="G31" s="96">
        <v>7.0</v>
      </c>
      <c r="H31" s="96">
        <v>8.0</v>
      </c>
      <c r="I31" s="96">
        <v>9.0</v>
      </c>
      <c r="J31" s="96">
        <v>10.0</v>
      </c>
      <c r="K31" s="96">
        <v>11.0</v>
      </c>
      <c r="L31" s="96">
        <v>12.0</v>
      </c>
      <c r="M31" s="96">
        <v>13.0</v>
      </c>
      <c r="N31" s="96">
        <v>14.0</v>
      </c>
      <c r="O31" s="96">
        <v>15.0</v>
      </c>
      <c r="P31" s="96">
        <v>16.0</v>
      </c>
      <c r="R31" s="97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>
      <c r="A32" s="98"/>
      <c r="B32" s="99" t="s">
        <v>125</v>
      </c>
      <c r="C32" s="100"/>
      <c r="D32" s="101"/>
      <c r="E32" s="102"/>
      <c r="F32" s="102"/>
      <c r="G32" s="102"/>
      <c r="H32" s="102"/>
      <c r="I32" s="102"/>
      <c r="J32" s="103"/>
      <c r="K32" s="103"/>
      <c r="L32" s="103"/>
      <c r="M32" s="103"/>
      <c r="N32" s="103"/>
      <c r="O32" s="103"/>
      <c r="P32" s="103"/>
      <c r="R32" s="10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>
      <c r="A33" s="21">
        <v>1.0</v>
      </c>
      <c r="B33" s="105" t="s">
        <v>126</v>
      </c>
      <c r="C33" s="106" t="s">
        <v>127</v>
      </c>
      <c r="D33" s="107"/>
      <c r="E33" s="108" t="b">
        <v>1</v>
      </c>
      <c r="F33" s="108" t="b">
        <v>1</v>
      </c>
      <c r="G33" s="108" t="b">
        <v>1</v>
      </c>
      <c r="H33" s="108" t="b">
        <v>1</v>
      </c>
      <c r="I33" s="108" t="b">
        <v>1</v>
      </c>
      <c r="J33" s="108"/>
      <c r="K33" s="108"/>
      <c r="L33" s="43"/>
      <c r="M33" s="43"/>
      <c r="N33" s="43"/>
      <c r="O33" s="43"/>
      <c r="P33" s="43"/>
      <c r="R33" s="104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21">
        <v>2.0</v>
      </c>
      <c r="B34" s="109" t="s">
        <v>128</v>
      </c>
      <c r="C34" s="106" t="s">
        <v>129</v>
      </c>
      <c r="D34" s="107"/>
      <c r="E34" s="108" t="b">
        <v>1</v>
      </c>
      <c r="F34" s="108" t="b">
        <v>1</v>
      </c>
      <c r="G34" s="110"/>
      <c r="H34" s="110"/>
      <c r="I34" s="108" t="b">
        <v>1</v>
      </c>
      <c r="J34" s="108"/>
      <c r="K34" s="110"/>
      <c r="L34" s="108"/>
      <c r="M34" s="108"/>
      <c r="N34" s="108"/>
      <c r="O34" s="108"/>
      <c r="P34" s="108"/>
      <c r="R34" s="10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21">
        <v>3.0</v>
      </c>
      <c r="B35" s="109" t="s">
        <v>130</v>
      </c>
      <c r="C35" s="106" t="s">
        <v>131</v>
      </c>
      <c r="D35" s="106"/>
      <c r="E35" s="108" t="b">
        <v>1</v>
      </c>
      <c r="F35" s="108" t="b">
        <v>1</v>
      </c>
      <c r="G35" s="108" t="b">
        <v>1</v>
      </c>
      <c r="H35" s="110"/>
      <c r="I35" s="108" t="b">
        <v>1</v>
      </c>
      <c r="J35" s="110"/>
      <c r="K35" s="110"/>
      <c r="L35" s="110"/>
      <c r="M35" s="108"/>
      <c r="N35" s="108"/>
      <c r="O35" s="108"/>
      <c r="P35" s="108"/>
      <c r="R35" s="104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>
      <c r="A36" s="21">
        <v>4.0</v>
      </c>
      <c r="B36" s="109" t="s">
        <v>132</v>
      </c>
      <c r="C36" s="106" t="s">
        <v>133</v>
      </c>
      <c r="D36" s="106"/>
      <c r="E36" s="108" t="b">
        <v>1</v>
      </c>
      <c r="F36" s="108" t="b">
        <v>1</v>
      </c>
      <c r="G36" s="110"/>
      <c r="H36" s="110"/>
      <c r="I36" s="110"/>
      <c r="J36" s="110"/>
      <c r="K36" s="110"/>
      <c r="L36" s="110"/>
      <c r="M36" s="108"/>
      <c r="N36" s="108"/>
      <c r="O36" s="108"/>
      <c r="P36" s="108"/>
      <c r="R36" s="104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98"/>
      <c r="B37" s="111" t="s">
        <v>134</v>
      </c>
      <c r="C37" s="100"/>
      <c r="D37" s="100"/>
      <c r="E37" s="102"/>
      <c r="F37" s="102"/>
      <c r="G37" s="102"/>
      <c r="H37" s="102"/>
      <c r="I37" s="102"/>
      <c r="J37" s="102"/>
      <c r="K37" s="102"/>
      <c r="L37" s="102"/>
      <c r="M37" s="103"/>
      <c r="N37" s="103"/>
      <c r="O37" s="103"/>
      <c r="P37" s="103"/>
      <c r="R37" s="104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21">
        <v>1.0</v>
      </c>
      <c r="B38" s="109" t="s">
        <v>135</v>
      </c>
      <c r="C38" s="106" t="s">
        <v>136</v>
      </c>
      <c r="D38" s="106" t="s">
        <v>137</v>
      </c>
      <c r="E38" s="110"/>
      <c r="F38" s="108" t="b">
        <v>1</v>
      </c>
      <c r="G38" s="108" t="b">
        <v>1</v>
      </c>
      <c r="H38" s="108" t="b">
        <v>1</v>
      </c>
      <c r="I38" s="108" t="b">
        <v>1</v>
      </c>
      <c r="J38" s="110"/>
      <c r="K38" s="110"/>
      <c r="L38" s="110"/>
      <c r="M38" s="110"/>
      <c r="N38" s="110"/>
      <c r="O38" s="110"/>
      <c r="P38" s="43"/>
      <c r="R38" s="104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21">
        <v>2.0</v>
      </c>
      <c r="B39" s="109" t="s">
        <v>138</v>
      </c>
      <c r="C39" s="106" t="s">
        <v>139</v>
      </c>
      <c r="D39" s="106" t="s">
        <v>140</v>
      </c>
      <c r="E39" s="108" t="b">
        <v>1</v>
      </c>
      <c r="F39" s="108" t="b">
        <v>1</v>
      </c>
      <c r="G39" s="110"/>
      <c r="H39" s="110"/>
      <c r="I39" s="108" t="b">
        <v>1</v>
      </c>
      <c r="J39" s="110"/>
      <c r="K39" s="110"/>
      <c r="L39" s="110"/>
      <c r="M39" s="110"/>
      <c r="N39" s="110"/>
      <c r="O39" s="110"/>
      <c r="P39" s="43"/>
      <c r="R39" s="104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>
      <c r="A40" s="112"/>
      <c r="B40" s="111" t="s">
        <v>141</v>
      </c>
      <c r="C40" s="113"/>
      <c r="D40" s="113"/>
      <c r="E40" s="114"/>
      <c r="F40" s="114"/>
      <c r="G40" s="114"/>
      <c r="H40" s="114"/>
      <c r="I40" s="114"/>
      <c r="J40" s="114"/>
      <c r="K40" s="114"/>
      <c r="L40" s="115"/>
      <c r="M40" s="114"/>
      <c r="N40" s="114"/>
      <c r="O40" s="114"/>
      <c r="P40" s="114"/>
      <c r="R40" s="104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>
      <c r="A41" s="21">
        <v>1.0</v>
      </c>
      <c r="B41" s="109" t="s">
        <v>142</v>
      </c>
      <c r="C41" s="106" t="s">
        <v>143</v>
      </c>
      <c r="D41" s="106" t="s">
        <v>144</v>
      </c>
      <c r="E41" s="108" t="b">
        <v>1</v>
      </c>
      <c r="F41" s="108" t="b">
        <v>1</v>
      </c>
      <c r="G41" s="108" t="b">
        <v>1</v>
      </c>
      <c r="H41" s="108" t="b">
        <v>1</v>
      </c>
      <c r="I41" s="110"/>
      <c r="J41" s="110"/>
      <c r="K41" s="110"/>
      <c r="L41" s="110"/>
      <c r="M41" s="43"/>
      <c r="N41" s="43"/>
      <c r="O41" s="43"/>
      <c r="P41" s="43"/>
      <c r="R41" s="104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>
      <c r="A42" s="21">
        <v>2.0</v>
      </c>
      <c r="B42" s="109" t="s">
        <v>145</v>
      </c>
      <c r="C42" s="106" t="s">
        <v>146</v>
      </c>
      <c r="D42" s="106" t="s">
        <v>147</v>
      </c>
      <c r="E42" s="108" t="b">
        <v>1</v>
      </c>
      <c r="F42" s="108" t="b">
        <v>1</v>
      </c>
      <c r="G42" s="108" t="b">
        <v>1</v>
      </c>
      <c r="H42" s="108" t="b">
        <v>1</v>
      </c>
      <c r="I42" s="108" t="b">
        <v>1</v>
      </c>
      <c r="J42" s="110"/>
      <c r="K42" s="108"/>
      <c r="L42" s="110"/>
      <c r="M42" s="43"/>
      <c r="N42" s="43"/>
      <c r="O42" s="43"/>
      <c r="P42" s="43"/>
      <c r="R42" s="104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>
      <c r="A43" s="21">
        <v>3.0</v>
      </c>
      <c r="B43" s="109" t="s">
        <v>148</v>
      </c>
      <c r="C43" s="106" t="s">
        <v>149</v>
      </c>
      <c r="D43" s="106" t="s">
        <v>150</v>
      </c>
      <c r="E43" s="108" t="b">
        <v>1</v>
      </c>
      <c r="F43" s="108" t="b">
        <v>1</v>
      </c>
      <c r="G43" s="108" t="b">
        <v>1</v>
      </c>
      <c r="H43" s="108" t="b">
        <v>1</v>
      </c>
      <c r="I43" s="110"/>
      <c r="J43" s="110"/>
      <c r="K43" s="110"/>
      <c r="L43" s="110"/>
      <c r="M43" s="43"/>
      <c r="N43" s="43"/>
      <c r="O43" s="43"/>
      <c r="P43" s="43"/>
      <c r="R43" s="104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>
      <c r="A44" s="116"/>
      <c r="B44" s="11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104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>
      <c r="A46" s="87" t="s">
        <v>151</v>
      </c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>
      <c r="A47" s="92" t="s">
        <v>3</v>
      </c>
      <c r="B47" s="117" t="s">
        <v>152</v>
      </c>
      <c r="C47" s="92" t="s">
        <v>153</v>
      </c>
      <c r="D47" s="92" t="s">
        <v>154</v>
      </c>
      <c r="E47" s="118" t="s">
        <v>155</v>
      </c>
      <c r="F47" s="8"/>
      <c r="G47" s="119"/>
      <c r="H47" s="118" t="s">
        <v>156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8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>
      <c r="A48" s="10"/>
      <c r="B48" s="10"/>
      <c r="C48" s="10"/>
      <c r="D48" s="10"/>
      <c r="E48" s="120" t="s">
        <v>78</v>
      </c>
      <c r="F48" s="120" t="s">
        <v>157</v>
      </c>
      <c r="G48" s="63"/>
      <c r="H48" s="120" t="s">
        <v>114</v>
      </c>
      <c r="I48" s="120" t="s">
        <v>115</v>
      </c>
      <c r="J48" s="120" t="s">
        <v>116</v>
      </c>
      <c r="K48" s="120" t="s">
        <v>117</v>
      </c>
      <c r="L48" s="120" t="s">
        <v>97</v>
      </c>
      <c r="M48" s="120" t="s">
        <v>118</v>
      </c>
      <c r="N48" s="120" t="s">
        <v>119</v>
      </c>
      <c r="O48" s="120" t="s">
        <v>120</v>
      </c>
      <c r="P48" s="120" t="s">
        <v>121</v>
      </c>
      <c r="Q48" s="120" t="s">
        <v>122</v>
      </c>
      <c r="R48" s="120" t="s">
        <v>123</v>
      </c>
      <c r="S48" s="121" t="s">
        <v>124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>
      <c r="A49" s="122">
        <v>1.0</v>
      </c>
      <c r="B49" s="122">
        <v>2.0</v>
      </c>
      <c r="C49" s="122">
        <v>3.0</v>
      </c>
      <c r="D49" s="122">
        <v>4.0</v>
      </c>
      <c r="E49" s="122">
        <v>5.0</v>
      </c>
      <c r="F49" s="122">
        <v>6.0</v>
      </c>
      <c r="G49" s="63"/>
      <c r="H49" s="122">
        <v>7.0</v>
      </c>
      <c r="I49" s="122">
        <v>8.0</v>
      </c>
      <c r="J49" s="122">
        <v>9.0</v>
      </c>
      <c r="K49" s="122">
        <v>10.0</v>
      </c>
      <c r="L49" s="122">
        <v>11.0</v>
      </c>
      <c r="M49" s="122">
        <v>12.0</v>
      </c>
      <c r="N49" s="122">
        <v>13.0</v>
      </c>
      <c r="O49" s="122">
        <v>14.0</v>
      </c>
      <c r="P49" s="122">
        <v>15.0</v>
      </c>
      <c r="Q49" s="122">
        <v>16.0</v>
      </c>
      <c r="R49" s="122">
        <v>17.0</v>
      </c>
      <c r="S49" s="122">
        <v>18.0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>
      <c r="A50" s="123">
        <v>1.0</v>
      </c>
      <c r="B50" s="108" t="s">
        <v>158</v>
      </c>
      <c r="C50" s="123" t="s">
        <v>91</v>
      </c>
      <c r="D50" s="124">
        <v>45673.0</v>
      </c>
      <c r="E50" s="108" t="s">
        <v>159</v>
      </c>
      <c r="F50" s="108" t="s">
        <v>160</v>
      </c>
      <c r="G50" s="63"/>
      <c r="H50" s="108" t="b">
        <v>1</v>
      </c>
      <c r="I50" s="110"/>
      <c r="J50" s="110"/>
      <c r="K50" s="110"/>
      <c r="L50" s="108" t="b">
        <v>1</v>
      </c>
      <c r="M50" s="43"/>
      <c r="N50" s="43"/>
      <c r="O50" s="43"/>
      <c r="P50" s="43"/>
      <c r="Q50" s="43"/>
      <c r="R50" s="43"/>
      <c r="S50" s="4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>
      <c r="A51" s="123">
        <v>2.0</v>
      </c>
      <c r="B51" s="108" t="s">
        <v>161</v>
      </c>
      <c r="C51" s="123" t="s">
        <v>92</v>
      </c>
      <c r="D51" s="124">
        <v>45709.0</v>
      </c>
      <c r="E51" s="108" t="s">
        <v>162</v>
      </c>
      <c r="F51" s="108" t="s">
        <v>163</v>
      </c>
      <c r="G51" s="63"/>
      <c r="H51" s="110"/>
      <c r="I51" s="108" t="b">
        <v>1</v>
      </c>
      <c r="J51" s="110"/>
      <c r="K51" s="110"/>
      <c r="L51" s="110"/>
      <c r="M51" s="43"/>
      <c r="N51" s="43"/>
      <c r="O51" s="43"/>
      <c r="P51" s="43"/>
      <c r="Q51" s="43"/>
      <c r="R51" s="43"/>
      <c r="S51" s="4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>
      <c r="A52" s="123">
        <v>3.0</v>
      </c>
      <c r="B52" s="108" t="s">
        <v>164</v>
      </c>
      <c r="C52" s="123" t="s">
        <v>91</v>
      </c>
      <c r="D52" s="124">
        <v>45741.0</v>
      </c>
      <c r="E52" s="108" t="s">
        <v>165</v>
      </c>
      <c r="F52" s="108" t="s">
        <v>166</v>
      </c>
      <c r="G52" s="63"/>
      <c r="H52" s="110"/>
      <c r="I52" s="110"/>
      <c r="J52" s="108" t="b">
        <v>1</v>
      </c>
      <c r="K52" s="110"/>
      <c r="L52" s="108" t="b">
        <v>1</v>
      </c>
      <c r="M52" s="43"/>
      <c r="N52" s="43"/>
      <c r="O52" s="43"/>
      <c r="P52" s="43"/>
      <c r="Q52" s="43"/>
      <c r="R52" s="43"/>
      <c r="S52" s="4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>
      <c r="A53" s="123">
        <v>4.0</v>
      </c>
      <c r="B53" s="108" t="s">
        <v>167</v>
      </c>
      <c r="C53" s="123" t="s">
        <v>92</v>
      </c>
      <c r="D53" s="124">
        <v>45811.0</v>
      </c>
      <c r="E53" s="108" t="s">
        <v>168</v>
      </c>
      <c r="F53" s="108" t="s">
        <v>169</v>
      </c>
      <c r="G53" s="63"/>
      <c r="H53" s="108"/>
      <c r="I53" s="110"/>
      <c r="J53" s="108" t="b">
        <v>1</v>
      </c>
      <c r="K53" s="110"/>
      <c r="L53" s="108" t="b">
        <v>1</v>
      </c>
      <c r="M53" s="110"/>
      <c r="N53" s="108"/>
      <c r="O53" s="43"/>
      <c r="P53" s="43"/>
      <c r="Q53" s="43"/>
      <c r="R53" s="43"/>
      <c r="S53" s="4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>
      <c r="A54" s="123">
        <v>5.0</v>
      </c>
      <c r="B54" s="108" t="s">
        <v>170</v>
      </c>
      <c r="C54" s="123" t="s">
        <v>92</v>
      </c>
      <c r="D54" s="124">
        <v>45852.0</v>
      </c>
      <c r="E54" s="108" t="s">
        <v>171</v>
      </c>
      <c r="F54" s="108" t="s">
        <v>172</v>
      </c>
      <c r="G54" s="63"/>
      <c r="H54" s="110"/>
      <c r="I54" s="110"/>
      <c r="J54" s="110"/>
      <c r="K54" s="110"/>
      <c r="L54" s="110"/>
      <c r="M54" s="108"/>
      <c r="N54" s="110"/>
      <c r="O54" s="43"/>
      <c r="P54" s="43"/>
      <c r="Q54" s="43"/>
      <c r="R54" s="43"/>
      <c r="S54" s="4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>
      <c r="A55" s="123">
        <v>6.0</v>
      </c>
      <c r="B55" s="108" t="s">
        <v>173</v>
      </c>
      <c r="C55" s="123" t="s">
        <v>91</v>
      </c>
      <c r="D55" s="124">
        <v>45928.0</v>
      </c>
      <c r="E55" s="108" t="s">
        <v>145</v>
      </c>
      <c r="F55" s="108" t="s">
        <v>174</v>
      </c>
      <c r="G55" s="63"/>
      <c r="H55" s="110"/>
      <c r="I55" s="110"/>
      <c r="J55" s="108" t="b">
        <v>1</v>
      </c>
      <c r="K55" s="110"/>
      <c r="L55" s="110"/>
      <c r="M55" s="110"/>
      <c r="N55" s="110"/>
      <c r="O55" s="43"/>
      <c r="P55" s="43"/>
      <c r="Q55" s="43"/>
      <c r="R55" s="43"/>
      <c r="S55" s="4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>
      <c r="A56" s="123">
        <v>7.0</v>
      </c>
      <c r="B56" s="108" t="s">
        <v>175</v>
      </c>
      <c r="C56" s="123" t="s">
        <v>91</v>
      </c>
      <c r="D56" s="125">
        <v>45988.0</v>
      </c>
      <c r="E56" s="108" t="s">
        <v>176</v>
      </c>
      <c r="F56" s="108" t="s">
        <v>139</v>
      </c>
      <c r="G56" s="63"/>
      <c r="H56" s="108" t="b">
        <v>1</v>
      </c>
      <c r="I56" s="110"/>
      <c r="J56" s="110"/>
      <c r="K56" s="108" t="b">
        <v>1</v>
      </c>
      <c r="L56" s="110"/>
      <c r="M56" s="108"/>
      <c r="N56" s="110"/>
      <c r="O56" s="43"/>
      <c r="P56" s="43"/>
      <c r="Q56" s="43"/>
      <c r="R56" s="43"/>
      <c r="S56" s="4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>
      <c r="A57" s="123">
        <v>8.0</v>
      </c>
      <c r="B57" s="108" t="s">
        <v>177</v>
      </c>
      <c r="C57" s="123" t="s">
        <v>91</v>
      </c>
      <c r="D57" s="125">
        <v>46005.0</v>
      </c>
      <c r="E57" s="108" t="s">
        <v>178</v>
      </c>
      <c r="F57" s="108" t="s">
        <v>136</v>
      </c>
      <c r="G57" s="10"/>
      <c r="H57" s="110"/>
      <c r="I57" s="108" t="b">
        <v>1</v>
      </c>
      <c r="J57" s="110"/>
      <c r="K57" s="110"/>
      <c r="L57" s="110"/>
      <c r="M57" s="110"/>
      <c r="N57" s="110"/>
      <c r="O57" s="43"/>
      <c r="P57" s="43"/>
      <c r="Q57" s="43"/>
      <c r="R57" s="43"/>
      <c r="S57" s="4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116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16"/>
      <c r="N59" s="11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1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>
      <c r="A61" s="87" t="s">
        <v>179</v>
      </c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>
      <c r="A62" s="92" t="s">
        <v>3</v>
      </c>
      <c r="B62" s="92" t="s">
        <v>180</v>
      </c>
      <c r="C62" s="92" t="s">
        <v>153</v>
      </c>
      <c r="D62" s="92" t="s">
        <v>154</v>
      </c>
      <c r="E62" s="53" t="s">
        <v>155</v>
      </c>
      <c r="F62" s="8"/>
      <c r="G62" s="92"/>
      <c r="H62" s="53" t="s">
        <v>181</v>
      </c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8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>
      <c r="A63" s="10"/>
      <c r="B63" s="10"/>
      <c r="C63" s="10"/>
      <c r="D63" s="10"/>
      <c r="E63" s="95" t="s">
        <v>78</v>
      </c>
      <c r="F63" s="95" t="s">
        <v>157</v>
      </c>
      <c r="G63" s="63"/>
      <c r="H63" s="95" t="s">
        <v>114</v>
      </c>
      <c r="I63" s="95" t="s">
        <v>115</v>
      </c>
      <c r="J63" s="95" t="s">
        <v>116</v>
      </c>
      <c r="K63" s="95" t="s">
        <v>117</v>
      </c>
      <c r="L63" s="95" t="s">
        <v>97</v>
      </c>
      <c r="M63" s="95" t="s">
        <v>118</v>
      </c>
      <c r="N63" s="95" t="s">
        <v>119</v>
      </c>
      <c r="O63" s="95" t="s">
        <v>120</v>
      </c>
      <c r="P63" s="95" t="s">
        <v>121</v>
      </c>
      <c r="Q63" s="95" t="s">
        <v>122</v>
      </c>
      <c r="R63" s="95" t="s">
        <v>123</v>
      </c>
      <c r="S63" s="126" t="s">
        <v>124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>
      <c r="A64" s="96">
        <v>1.0</v>
      </c>
      <c r="B64" s="96">
        <v>2.0</v>
      </c>
      <c r="C64" s="96">
        <v>3.0</v>
      </c>
      <c r="D64" s="96">
        <v>4.0</v>
      </c>
      <c r="E64" s="96">
        <v>5.0</v>
      </c>
      <c r="F64" s="96">
        <v>6.0</v>
      </c>
      <c r="G64" s="63"/>
      <c r="H64" s="96">
        <v>7.0</v>
      </c>
      <c r="I64" s="96">
        <v>8.0</v>
      </c>
      <c r="J64" s="96">
        <v>9.0</v>
      </c>
      <c r="K64" s="96">
        <v>10.0</v>
      </c>
      <c r="L64" s="96">
        <v>11.0</v>
      </c>
      <c r="M64" s="96">
        <v>12.0</v>
      </c>
      <c r="N64" s="96">
        <v>13.0</v>
      </c>
      <c r="O64" s="96">
        <v>14.0</v>
      </c>
      <c r="P64" s="96">
        <v>15.0</v>
      </c>
      <c r="Q64" s="96">
        <v>16.0</v>
      </c>
      <c r="R64" s="96">
        <v>17.0</v>
      </c>
      <c r="S64" s="96">
        <v>18.0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>
      <c r="A65" s="123">
        <v>1.0</v>
      </c>
      <c r="B65" s="108" t="s">
        <v>182</v>
      </c>
      <c r="C65" s="123" t="s">
        <v>92</v>
      </c>
      <c r="D65" s="125">
        <v>40904.0</v>
      </c>
      <c r="E65" s="108" t="s">
        <v>183</v>
      </c>
      <c r="F65" s="108" t="s">
        <v>184</v>
      </c>
      <c r="G65" s="63"/>
      <c r="H65" s="110"/>
      <c r="I65" s="110"/>
      <c r="J65" s="110"/>
      <c r="K65" s="110"/>
      <c r="L65" s="108" t="b">
        <v>1</v>
      </c>
      <c r="M65" s="110"/>
      <c r="N65" s="110"/>
      <c r="O65" s="110"/>
      <c r="P65" s="110"/>
      <c r="Q65" s="110"/>
      <c r="R65" s="110"/>
      <c r="S65" s="4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>
      <c r="A66" s="123">
        <v>2.0</v>
      </c>
      <c r="B66" s="108" t="s">
        <v>185</v>
      </c>
      <c r="C66" s="123" t="s">
        <v>92</v>
      </c>
      <c r="D66" s="124">
        <v>39623.0</v>
      </c>
      <c r="E66" s="108" t="s">
        <v>186</v>
      </c>
      <c r="F66" s="108" t="s">
        <v>187</v>
      </c>
      <c r="G66" s="63"/>
      <c r="H66" s="110"/>
      <c r="I66" s="110"/>
      <c r="J66" s="110"/>
      <c r="K66" s="110"/>
      <c r="L66" s="110"/>
      <c r="N66" s="110"/>
      <c r="O66" s="110"/>
      <c r="P66" s="110"/>
      <c r="Q66" s="110"/>
      <c r="R66" s="43"/>
      <c r="S66" s="4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>
      <c r="A67" s="123">
        <v>3.0</v>
      </c>
      <c r="B67" s="108" t="s">
        <v>188</v>
      </c>
      <c r="C67" s="123" t="s">
        <v>91</v>
      </c>
      <c r="D67" s="124">
        <v>41041.0</v>
      </c>
      <c r="E67" s="108" t="s">
        <v>189</v>
      </c>
      <c r="F67" s="108" t="s">
        <v>190</v>
      </c>
      <c r="G67" s="63"/>
      <c r="H67" s="108" t="b">
        <v>1</v>
      </c>
      <c r="I67" s="108" t="b">
        <v>1</v>
      </c>
      <c r="J67" s="108" t="b">
        <v>1</v>
      </c>
      <c r="K67" s="110"/>
      <c r="L67" s="110"/>
      <c r="M67" s="110"/>
      <c r="N67" s="110"/>
      <c r="O67" s="110"/>
      <c r="P67" s="110"/>
      <c r="Q67" s="110"/>
      <c r="R67" s="43"/>
      <c r="S67" s="4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>
      <c r="A68" s="123">
        <v>4.0</v>
      </c>
      <c r="B68" s="108" t="s">
        <v>191</v>
      </c>
      <c r="C68" s="123" t="s">
        <v>91</v>
      </c>
      <c r="D68" s="124">
        <v>40195.0</v>
      </c>
      <c r="E68" s="108" t="s">
        <v>192</v>
      </c>
      <c r="F68" s="108" t="s">
        <v>193</v>
      </c>
      <c r="G68" s="63"/>
      <c r="H68" s="110"/>
      <c r="I68" s="110"/>
      <c r="J68" s="110"/>
      <c r="K68" s="108" t="b">
        <v>1</v>
      </c>
      <c r="L68" s="110"/>
      <c r="M68" s="110"/>
      <c r="N68" s="110"/>
      <c r="O68" s="108"/>
      <c r="P68" s="110"/>
      <c r="Q68" s="110"/>
      <c r="R68" s="43"/>
      <c r="S68" s="4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>
      <c r="A69" s="123">
        <v>5.0</v>
      </c>
      <c r="B69" s="108" t="s">
        <v>194</v>
      </c>
      <c r="C69" s="123" t="s">
        <v>92</v>
      </c>
      <c r="D69" s="123" t="s">
        <v>195</v>
      </c>
      <c r="E69" s="108" t="s">
        <v>196</v>
      </c>
      <c r="F69" s="108" t="s">
        <v>197</v>
      </c>
      <c r="G69" s="63"/>
      <c r="H69" s="110"/>
      <c r="I69" s="110"/>
      <c r="J69" s="110"/>
      <c r="K69" s="110"/>
      <c r="L69" s="110"/>
      <c r="M69" s="110"/>
      <c r="N69" s="110"/>
      <c r="O69" s="110"/>
      <c r="P69" s="43"/>
      <c r="Q69" s="110"/>
      <c r="R69" s="43"/>
      <c r="S69" s="4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>
      <c r="A70" s="123">
        <v>6.0</v>
      </c>
      <c r="B70" s="108" t="s">
        <v>198</v>
      </c>
      <c r="C70" s="123" t="s">
        <v>92</v>
      </c>
      <c r="D70" s="124">
        <v>39600.0</v>
      </c>
      <c r="E70" s="108" t="s">
        <v>199</v>
      </c>
      <c r="F70" s="108" t="s">
        <v>200</v>
      </c>
      <c r="G70" s="10"/>
      <c r="H70" s="110"/>
      <c r="I70" s="108" t="b">
        <v>1</v>
      </c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>
      <c r="A71" s="3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>
      <c r="A74" s="87" t="s">
        <v>201</v>
      </c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>
      <c r="A75" s="92" t="s">
        <v>3</v>
      </c>
      <c r="B75" s="92" t="s">
        <v>155</v>
      </c>
      <c r="C75" s="92" t="s">
        <v>153</v>
      </c>
      <c r="D75" s="92" t="s">
        <v>154</v>
      </c>
      <c r="E75" s="53" t="s">
        <v>155</v>
      </c>
      <c r="F75" s="8"/>
      <c r="G75" s="92"/>
      <c r="H75" s="53" t="s">
        <v>202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8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>
      <c r="A76" s="10"/>
      <c r="B76" s="10"/>
      <c r="C76" s="10"/>
      <c r="D76" s="10"/>
      <c r="E76" s="95" t="s">
        <v>78</v>
      </c>
      <c r="F76" s="95" t="s">
        <v>157</v>
      </c>
      <c r="G76" s="63"/>
      <c r="H76" s="95" t="s">
        <v>114</v>
      </c>
      <c r="I76" s="95" t="s">
        <v>115</v>
      </c>
      <c r="J76" s="95" t="s">
        <v>116</v>
      </c>
      <c r="K76" s="95" t="s">
        <v>117</v>
      </c>
      <c r="L76" s="95" t="s">
        <v>97</v>
      </c>
      <c r="M76" s="95" t="s">
        <v>118</v>
      </c>
      <c r="N76" s="95" t="s">
        <v>119</v>
      </c>
      <c r="O76" s="95" t="s">
        <v>120</v>
      </c>
      <c r="P76" s="95" t="s">
        <v>121</v>
      </c>
      <c r="Q76" s="95" t="s">
        <v>122</v>
      </c>
      <c r="R76" s="95" t="s">
        <v>123</v>
      </c>
      <c r="S76" s="126" t="s">
        <v>124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>
      <c r="A77" s="96">
        <v>1.0</v>
      </c>
      <c r="B77" s="96">
        <v>2.0</v>
      </c>
      <c r="C77" s="96">
        <v>3.0</v>
      </c>
      <c r="D77" s="96">
        <v>4.0</v>
      </c>
      <c r="E77" s="96">
        <v>5.0</v>
      </c>
      <c r="F77" s="96">
        <v>6.0</v>
      </c>
      <c r="G77" s="63"/>
      <c r="H77" s="96">
        <v>7.0</v>
      </c>
      <c r="I77" s="96">
        <v>8.0</v>
      </c>
      <c r="J77" s="96">
        <v>9.0</v>
      </c>
      <c r="K77" s="96">
        <v>10.0</v>
      </c>
      <c r="L77" s="96">
        <v>11.0</v>
      </c>
      <c r="M77" s="96">
        <v>12.0</v>
      </c>
      <c r="N77" s="96">
        <v>13.0</v>
      </c>
      <c r="O77" s="96">
        <v>14.0</v>
      </c>
      <c r="P77" s="96">
        <v>15.0</v>
      </c>
      <c r="Q77" s="96"/>
      <c r="R77" s="96">
        <v>17.0</v>
      </c>
      <c r="S77" s="96">
        <v>18.0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>
      <c r="A78" s="123">
        <v>1.0</v>
      </c>
      <c r="B78" s="108" t="s">
        <v>199</v>
      </c>
      <c r="C78" s="127" t="s">
        <v>92</v>
      </c>
      <c r="D78" s="128">
        <v>27669.0</v>
      </c>
      <c r="E78" s="108" t="s">
        <v>203</v>
      </c>
      <c r="F78" s="108" t="s">
        <v>204</v>
      </c>
      <c r="G78" s="63"/>
      <c r="H78" s="110"/>
      <c r="I78" s="108" t="b">
        <v>1</v>
      </c>
      <c r="J78" s="110"/>
      <c r="K78" s="110"/>
      <c r="L78" s="110"/>
      <c r="M78" s="110"/>
      <c r="N78" s="110"/>
      <c r="O78" s="110"/>
      <c r="P78" s="110"/>
      <c r="Q78" s="108"/>
      <c r="R78" s="110"/>
      <c r="S78" s="110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>
      <c r="A79" s="123">
        <v>2.0</v>
      </c>
      <c r="B79" s="108" t="s">
        <v>205</v>
      </c>
      <c r="C79" s="127" t="s">
        <v>92</v>
      </c>
      <c r="D79" s="129">
        <v>36615.0</v>
      </c>
      <c r="E79" s="108" t="s">
        <v>206</v>
      </c>
      <c r="F79" s="108" t="s">
        <v>207</v>
      </c>
      <c r="G79" s="63"/>
      <c r="H79" s="110"/>
      <c r="I79" s="110"/>
      <c r="J79" s="108" t="b">
        <v>1</v>
      </c>
      <c r="K79" s="110"/>
      <c r="L79" s="110"/>
      <c r="M79" s="110"/>
      <c r="N79" s="110"/>
      <c r="O79" s="110"/>
      <c r="P79" s="108"/>
      <c r="Q79" s="110"/>
      <c r="R79" s="110"/>
      <c r="S79" s="110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>
      <c r="A80" s="123">
        <v>3.0</v>
      </c>
      <c r="B80" s="108" t="s">
        <v>208</v>
      </c>
      <c r="C80" s="127" t="s">
        <v>92</v>
      </c>
      <c r="D80" s="128">
        <v>28978.0</v>
      </c>
      <c r="E80" s="108" t="s">
        <v>209</v>
      </c>
      <c r="F80" s="108" t="s">
        <v>210</v>
      </c>
      <c r="G80" s="63"/>
      <c r="H80" s="110"/>
      <c r="I80" s="110"/>
      <c r="J80" s="110"/>
      <c r="K80" s="108" t="b">
        <v>1</v>
      </c>
      <c r="L80" s="110"/>
      <c r="M80" s="110"/>
      <c r="N80" s="110"/>
      <c r="O80" s="110"/>
      <c r="P80" s="110"/>
      <c r="Q80" s="110"/>
      <c r="R80" s="110"/>
      <c r="S80" s="110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>
      <c r="A81" s="123">
        <v>4.0</v>
      </c>
      <c r="B81" s="108" t="s">
        <v>211</v>
      </c>
      <c r="C81" s="127" t="s">
        <v>92</v>
      </c>
      <c r="D81" s="128">
        <v>27656.0</v>
      </c>
      <c r="E81" s="108" t="s">
        <v>212</v>
      </c>
      <c r="F81" s="108" t="s">
        <v>213</v>
      </c>
      <c r="G81" s="63"/>
      <c r="H81" s="108" t="b">
        <v>1</v>
      </c>
      <c r="I81" s="110"/>
      <c r="J81" s="110"/>
      <c r="K81" s="110"/>
      <c r="L81" s="108" t="b">
        <v>1</v>
      </c>
      <c r="M81" s="110"/>
      <c r="N81" s="110"/>
      <c r="O81" s="110"/>
      <c r="P81" s="110"/>
      <c r="Q81" s="110"/>
      <c r="R81" s="110"/>
      <c r="S81" s="110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>
      <c r="A82" s="123">
        <v>5.0</v>
      </c>
      <c r="B82" s="108" t="s">
        <v>212</v>
      </c>
      <c r="C82" s="127" t="s">
        <v>92</v>
      </c>
      <c r="D82" s="128">
        <v>16194.0</v>
      </c>
      <c r="E82" s="108" t="s">
        <v>214</v>
      </c>
      <c r="F82" s="108" t="s">
        <v>215</v>
      </c>
      <c r="G82" s="63"/>
      <c r="H82" s="110"/>
      <c r="I82" s="110"/>
      <c r="J82" s="110"/>
      <c r="K82" s="108" t="b">
        <v>1</v>
      </c>
      <c r="L82" s="110"/>
      <c r="M82" s="110"/>
      <c r="N82" s="110"/>
      <c r="O82" s="43"/>
      <c r="P82" s="43"/>
      <c r="Q82" s="43"/>
      <c r="R82" s="43"/>
      <c r="S82" s="110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>
      <c r="A83" s="123">
        <v>6.0</v>
      </c>
      <c r="B83" s="108" t="s">
        <v>216</v>
      </c>
      <c r="C83" s="127" t="s">
        <v>92</v>
      </c>
      <c r="D83" s="128">
        <v>17349.0</v>
      </c>
      <c r="E83" s="108" t="s">
        <v>217</v>
      </c>
      <c r="F83" s="108" t="s">
        <v>218</v>
      </c>
      <c r="G83" s="10"/>
      <c r="H83" s="110"/>
      <c r="I83" s="110"/>
      <c r="J83" s="110"/>
      <c r="K83" s="110"/>
      <c r="L83" s="110"/>
      <c r="M83" s="110"/>
      <c r="N83" s="110"/>
      <c r="O83" s="43"/>
      <c r="P83" s="43"/>
      <c r="Q83" s="43"/>
      <c r="R83" s="43"/>
      <c r="S83" s="110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</sheetData>
  <mergeCells count="63">
    <mergeCell ref="C5:K5"/>
    <mergeCell ref="L5:O6"/>
    <mergeCell ref="C6:F6"/>
    <mergeCell ref="H6:K6"/>
    <mergeCell ref="N7:O7"/>
    <mergeCell ref="P7:Q7"/>
    <mergeCell ref="R7:S7"/>
    <mergeCell ref="T7:U7"/>
    <mergeCell ref="A1:AL1"/>
    <mergeCell ref="A4:A8"/>
    <mergeCell ref="C4:AA4"/>
    <mergeCell ref="AB4:AG4"/>
    <mergeCell ref="AH4:AK4"/>
    <mergeCell ref="AL4:AL8"/>
    <mergeCell ref="AJ5:AK7"/>
    <mergeCell ref="V7:W7"/>
    <mergeCell ref="C62:C63"/>
    <mergeCell ref="A74:C74"/>
    <mergeCell ref="A75:A76"/>
    <mergeCell ref="B75:B76"/>
    <mergeCell ref="C75:C76"/>
    <mergeCell ref="D75:D76"/>
    <mergeCell ref="E75:F75"/>
    <mergeCell ref="G75:G83"/>
    <mergeCell ref="C47:C48"/>
    <mergeCell ref="A61:C61"/>
    <mergeCell ref="A62:A63"/>
    <mergeCell ref="B62:B63"/>
    <mergeCell ref="D62:D63"/>
    <mergeCell ref="E62:F62"/>
    <mergeCell ref="G62:G70"/>
    <mergeCell ref="H62:S62"/>
    <mergeCell ref="H75:S75"/>
    <mergeCell ref="A46:C46"/>
    <mergeCell ref="A47:A48"/>
    <mergeCell ref="B47:B48"/>
    <mergeCell ref="D47:D48"/>
    <mergeCell ref="E47:F47"/>
    <mergeCell ref="G47:G57"/>
    <mergeCell ref="H47:S47"/>
    <mergeCell ref="P5:S6"/>
    <mergeCell ref="T5:W6"/>
    <mergeCell ref="X5:X8"/>
    <mergeCell ref="Y5:AA5"/>
    <mergeCell ref="Y6:Y8"/>
    <mergeCell ref="Z6:Z8"/>
    <mergeCell ref="AA6:AA8"/>
    <mergeCell ref="AB5:AC7"/>
    <mergeCell ref="AD5:AE7"/>
    <mergeCell ref="AF5:AG7"/>
    <mergeCell ref="AH5:AI7"/>
    <mergeCell ref="E7:F7"/>
    <mergeCell ref="H7:I7"/>
    <mergeCell ref="E29:P29"/>
    <mergeCell ref="J7:K7"/>
    <mergeCell ref="L7:M7"/>
    <mergeCell ref="B4:B8"/>
    <mergeCell ref="C7:D7"/>
    <mergeCell ref="A22:B22"/>
    <mergeCell ref="A24:C24"/>
    <mergeCell ref="A28:D28"/>
    <mergeCell ref="A29:A30"/>
    <mergeCell ref="B29:D29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2.25"/>
    <col customWidth="1" min="3" max="3" width="14.13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5.5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4.5"/>
    <col customWidth="1" min="23" max="23" width="17.25"/>
    <col customWidth="1" min="24" max="24" width="16.63"/>
    <col customWidth="1" min="26" max="26" width="15.88"/>
    <col customWidth="1" min="27" max="27" width="27.88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130" t="s">
        <v>219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131" t="s">
        <v>1</v>
      </c>
      <c r="B2" s="131" t="s">
        <v>55</v>
      </c>
      <c r="C2" s="13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3</v>
      </c>
      <c r="B4" s="55" t="s">
        <v>68</v>
      </c>
      <c r="C4" s="54" t="s">
        <v>220</v>
      </c>
      <c r="D4" s="25"/>
      <c r="E4" s="8"/>
      <c r="F4" s="133" t="s">
        <v>221</v>
      </c>
      <c r="G4" s="54" t="s">
        <v>222</v>
      </c>
      <c r="H4" s="25"/>
      <c r="I4" s="25"/>
      <c r="J4" s="25"/>
      <c r="K4" s="25"/>
      <c r="L4" s="25"/>
      <c r="M4" s="25"/>
      <c r="N4" s="8"/>
      <c r="O4" s="54" t="s">
        <v>223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8"/>
      <c r="AA4" s="134" t="s">
        <v>224</v>
      </c>
      <c r="AB4" s="135" t="s">
        <v>225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57" t="s">
        <v>226</v>
      </c>
      <c r="BA4" s="25"/>
      <c r="BB4" s="25"/>
      <c r="BC4" s="8"/>
      <c r="BD4" s="55" t="s">
        <v>227</v>
      </c>
    </row>
    <row r="5">
      <c r="A5" s="63"/>
      <c r="B5" s="63"/>
      <c r="C5" s="136" t="s">
        <v>52</v>
      </c>
      <c r="D5" s="136" t="s">
        <v>228</v>
      </c>
      <c r="E5" s="136" t="s">
        <v>229</v>
      </c>
      <c r="F5" s="63"/>
      <c r="G5" s="136" t="s">
        <v>230</v>
      </c>
      <c r="H5" s="136" t="s">
        <v>231</v>
      </c>
      <c r="I5" s="136" t="s">
        <v>232</v>
      </c>
      <c r="J5" s="136" t="s">
        <v>233</v>
      </c>
      <c r="K5" s="136" t="s">
        <v>234</v>
      </c>
      <c r="L5" s="136" t="s">
        <v>235</v>
      </c>
      <c r="M5" s="136" t="s">
        <v>236</v>
      </c>
      <c r="N5" s="136" t="s">
        <v>237</v>
      </c>
      <c r="O5" s="137" t="s">
        <v>238</v>
      </c>
      <c r="P5" s="60"/>
      <c r="Q5" s="137" t="s">
        <v>239</v>
      </c>
      <c r="R5" s="60"/>
      <c r="S5" s="137" t="s">
        <v>240</v>
      </c>
      <c r="T5" s="60"/>
      <c r="U5" s="137" t="s">
        <v>241</v>
      </c>
      <c r="V5" s="60"/>
      <c r="W5" s="137" t="s">
        <v>242</v>
      </c>
      <c r="X5" s="60"/>
      <c r="Y5" s="137" t="s">
        <v>243</v>
      </c>
      <c r="Z5" s="60"/>
      <c r="AA5" s="63"/>
      <c r="AB5" s="138">
        <v>349.0</v>
      </c>
      <c r="AC5" s="60"/>
      <c r="AD5" s="137" t="s">
        <v>244</v>
      </c>
      <c r="AE5" s="59"/>
      <c r="AF5" s="59"/>
      <c r="AG5" s="59"/>
      <c r="AH5" s="59"/>
      <c r="AI5" s="60"/>
      <c r="AJ5" s="137" t="s">
        <v>245</v>
      </c>
      <c r="AK5" s="59"/>
      <c r="AL5" s="59"/>
      <c r="AM5" s="59"/>
      <c r="AN5" s="59"/>
      <c r="AO5" s="59"/>
      <c r="AP5" s="59"/>
      <c r="AQ5" s="60"/>
      <c r="AR5" s="137" t="s">
        <v>246</v>
      </c>
      <c r="AS5" s="60"/>
      <c r="AT5" s="137" t="s">
        <v>247</v>
      </c>
      <c r="AU5" s="59"/>
      <c r="AV5" s="59"/>
      <c r="AW5" s="59"/>
      <c r="AX5" s="59"/>
      <c r="AY5" s="60"/>
      <c r="AZ5" s="137" t="s">
        <v>52</v>
      </c>
      <c r="BA5" s="60"/>
      <c r="BB5" s="137" t="s">
        <v>248</v>
      </c>
      <c r="BC5" s="60"/>
      <c r="BD5" s="63"/>
    </row>
    <row r="6" ht="8.25" customHeight="1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6"/>
      <c r="P6" s="41"/>
      <c r="Q6" s="56"/>
      <c r="R6" s="41"/>
      <c r="S6" s="56"/>
      <c r="T6" s="41"/>
      <c r="U6" s="56"/>
      <c r="V6" s="41"/>
      <c r="W6" s="56"/>
      <c r="X6" s="41"/>
      <c r="Y6" s="56"/>
      <c r="Z6" s="41"/>
      <c r="AA6" s="63"/>
      <c r="AB6" s="56"/>
      <c r="AC6" s="41"/>
      <c r="AD6" s="65"/>
      <c r="AE6" s="45"/>
      <c r="AF6" s="45"/>
      <c r="AG6" s="45"/>
      <c r="AH6" s="45"/>
      <c r="AI6" s="46"/>
      <c r="AJ6" s="65"/>
      <c r="AK6" s="45"/>
      <c r="AL6" s="45"/>
      <c r="AM6" s="45"/>
      <c r="AN6" s="45"/>
      <c r="AO6" s="45"/>
      <c r="AP6" s="45"/>
      <c r="AQ6" s="46"/>
      <c r="AR6" s="56"/>
      <c r="AS6" s="41"/>
      <c r="AT6" s="65"/>
      <c r="AU6" s="45"/>
      <c r="AV6" s="45"/>
      <c r="AW6" s="45"/>
      <c r="AX6" s="45"/>
      <c r="AY6" s="46"/>
      <c r="AZ6" s="56"/>
      <c r="BA6" s="41"/>
      <c r="BB6" s="56"/>
      <c r="BC6" s="4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6"/>
      <c r="P7" s="41"/>
      <c r="Q7" s="56"/>
      <c r="R7" s="41"/>
      <c r="S7" s="56"/>
      <c r="T7" s="41"/>
      <c r="U7" s="56"/>
      <c r="V7" s="41"/>
      <c r="W7" s="56"/>
      <c r="X7" s="41"/>
      <c r="Y7" s="56"/>
      <c r="Z7" s="41"/>
      <c r="AA7" s="63"/>
      <c r="AB7" s="56"/>
      <c r="AC7" s="41"/>
      <c r="AD7" s="137" t="s">
        <v>249</v>
      </c>
      <c r="AE7" s="60"/>
      <c r="AF7" s="137" t="s">
        <v>250</v>
      </c>
      <c r="AG7" s="60"/>
      <c r="AH7" s="137" t="s">
        <v>251</v>
      </c>
      <c r="AI7" s="60"/>
      <c r="AJ7" s="137" t="s">
        <v>249</v>
      </c>
      <c r="AK7" s="60"/>
      <c r="AL7" s="137" t="s">
        <v>250</v>
      </c>
      <c r="AM7" s="60"/>
      <c r="AN7" s="137" t="s">
        <v>251</v>
      </c>
      <c r="AO7" s="60"/>
      <c r="AP7" s="137" t="s">
        <v>252</v>
      </c>
      <c r="AQ7" s="60"/>
      <c r="AR7" s="56"/>
      <c r="AS7" s="41"/>
      <c r="AT7" s="137" t="s">
        <v>249</v>
      </c>
      <c r="AU7" s="60"/>
      <c r="AV7" s="137" t="s">
        <v>250</v>
      </c>
      <c r="AW7" s="60"/>
      <c r="AX7" s="137" t="s">
        <v>251</v>
      </c>
      <c r="AY7" s="60"/>
      <c r="AZ7" s="56"/>
      <c r="BA7" s="41"/>
      <c r="BB7" s="56"/>
      <c r="BC7" s="41"/>
      <c r="BD7" s="63"/>
    </row>
    <row r="8" ht="3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6"/>
      <c r="P8" s="41"/>
      <c r="Q8" s="65"/>
      <c r="R8" s="46"/>
      <c r="S8" s="65"/>
      <c r="T8" s="46"/>
      <c r="U8" s="65"/>
      <c r="V8" s="46"/>
      <c r="W8" s="65"/>
      <c r="X8" s="46"/>
      <c r="Y8" s="65"/>
      <c r="Z8" s="46"/>
      <c r="AA8" s="10"/>
      <c r="AB8" s="65"/>
      <c r="AC8" s="46"/>
      <c r="AD8" s="65"/>
      <c r="AE8" s="46"/>
      <c r="AF8" s="65"/>
      <c r="AG8" s="46"/>
      <c r="AH8" s="65"/>
      <c r="AI8" s="46"/>
      <c r="AJ8" s="65"/>
      <c r="AK8" s="46"/>
      <c r="AL8" s="65"/>
      <c r="AM8" s="46"/>
      <c r="AN8" s="65"/>
      <c r="AO8" s="46"/>
      <c r="AP8" s="65"/>
      <c r="AQ8" s="46"/>
      <c r="AR8" s="65"/>
      <c r="AS8" s="46"/>
      <c r="AT8" s="65"/>
      <c r="AU8" s="46"/>
      <c r="AV8" s="65"/>
      <c r="AW8" s="46"/>
      <c r="AX8" s="65"/>
      <c r="AY8" s="46"/>
      <c r="AZ8" s="65"/>
      <c r="BA8" s="46"/>
      <c r="BB8" s="65"/>
      <c r="BC8" s="4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9" t="s">
        <v>91</v>
      </c>
      <c r="P9" s="139" t="s">
        <v>92</v>
      </c>
      <c r="Q9" s="140" t="s">
        <v>91</v>
      </c>
      <c r="R9" s="140" t="s">
        <v>92</v>
      </c>
      <c r="S9" s="140" t="s">
        <v>91</v>
      </c>
      <c r="T9" s="140" t="s">
        <v>92</v>
      </c>
      <c r="U9" s="140" t="s">
        <v>91</v>
      </c>
      <c r="V9" s="140" t="s">
        <v>92</v>
      </c>
      <c r="W9" s="140" t="s">
        <v>91</v>
      </c>
      <c r="X9" s="140" t="s">
        <v>92</v>
      </c>
      <c r="Y9" s="140" t="s">
        <v>91</v>
      </c>
      <c r="Z9" s="140" t="s">
        <v>92</v>
      </c>
      <c r="AA9" s="141"/>
      <c r="AB9" s="140" t="s">
        <v>91</v>
      </c>
      <c r="AC9" s="140" t="s">
        <v>92</v>
      </c>
      <c r="AD9" s="140" t="s">
        <v>91</v>
      </c>
      <c r="AE9" s="140" t="s">
        <v>92</v>
      </c>
      <c r="AF9" s="140" t="s">
        <v>91</v>
      </c>
      <c r="AG9" s="140" t="s">
        <v>92</v>
      </c>
      <c r="AH9" s="140" t="s">
        <v>91</v>
      </c>
      <c r="AI9" s="140" t="s">
        <v>92</v>
      </c>
      <c r="AJ9" s="140" t="s">
        <v>91</v>
      </c>
      <c r="AK9" s="140" t="s">
        <v>92</v>
      </c>
      <c r="AL9" s="140" t="s">
        <v>91</v>
      </c>
      <c r="AM9" s="140" t="s">
        <v>92</v>
      </c>
      <c r="AN9" s="140" t="s">
        <v>91</v>
      </c>
      <c r="AO9" s="140" t="s">
        <v>92</v>
      </c>
      <c r="AP9" s="140" t="s">
        <v>91</v>
      </c>
      <c r="AQ9" s="140" t="s">
        <v>92</v>
      </c>
      <c r="AR9" s="140" t="s">
        <v>91</v>
      </c>
      <c r="AS9" s="140" t="s">
        <v>92</v>
      </c>
      <c r="AT9" s="140" t="s">
        <v>91</v>
      </c>
      <c r="AU9" s="140" t="s">
        <v>92</v>
      </c>
      <c r="AV9" s="140" t="s">
        <v>91</v>
      </c>
      <c r="AW9" s="140" t="s">
        <v>92</v>
      </c>
      <c r="AX9" s="140" t="s">
        <v>91</v>
      </c>
      <c r="AY9" s="140" t="s">
        <v>92</v>
      </c>
      <c r="AZ9" s="140" t="s">
        <v>91</v>
      </c>
      <c r="BA9" s="140" t="s">
        <v>92</v>
      </c>
      <c r="BB9" s="140" t="s">
        <v>91</v>
      </c>
      <c r="BC9" s="140" t="s">
        <v>92</v>
      </c>
      <c r="BD9" s="141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142">
        <v>1.0</v>
      </c>
      <c r="B11" s="143" t="s">
        <v>93</v>
      </c>
      <c r="C11" s="76">
        <v>289.0</v>
      </c>
      <c r="D11" s="76">
        <v>289.0</v>
      </c>
      <c r="E11" s="76">
        <v>289.0</v>
      </c>
      <c r="F11" s="76">
        <v>273.0</v>
      </c>
      <c r="G11" s="75">
        <v>19.0</v>
      </c>
      <c r="H11" s="75">
        <v>317.0</v>
      </c>
      <c r="I11" s="75">
        <v>1255.0</v>
      </c>
      <c r="J11" s="76">
        <v>0.0</v>
      </c>
      <c r="K11" s="76">
        <v>140.0</v>
      </c>
      <c r="L11" s="76">
        <v>202.0</v>
      </c>
      <c r="M11" s="76">
        <v>2568.0</v>
      </c>
      <c r="N11" s="76">
        <v>0.0</v>
      </c>
      <c r="O11" s="76">
        <v>349.0</v>
      </c>
      <c r="P11" s="76">
        <v>345.0</v>
      </c>
      <c r="Q11" s="76">
        <v>349.0</v>
      </c>
      <c r="R11" s="76">
        <v>345.0</v>
      </c>
      <c r="S11" s="76">
        <v>339.0</v>
      </c>
      <c r="T11" s="76">
        <v>334.0</v>
      </c>
      <c r="U11" s="76">
        <v>298.0</v>
      </c>
      <c r="V11" s="76">
        <v>287.0</v>
      </c>
      <c r="W11" s="76">
        <v>0.0</v>
      </c>
      <c r="X11" s="76">
        <v>0.0</v>
      </c>
      <c r="Y11" s="76">
        <v>349.0</v>
      </c>
      <c r="Z11" s="76">
        <v>345.0</v>
      </c>
      <c r="AA11" s="76">
        <v>289.0</v>
      </c>
      <c r="AB11" s="79">
        <v>13.0</v>
      </c>
      <c r="AC11" s="79">
        <v>10.0</v>
      </c>
      <c r="AD11" s="79">
        <v>12.0</v>
      </c>
      <c r="AE11" s="79">
        <v>11.0</v>
      </c>
      <c r="AF11" s="79">
        <v>12.0</v>
      </c>
      <c r="AG11" s="79">
        <v>11.0</v>
      </c>
      <c r="AH11" s="79">
        <v>12.0</v>
      </c>
      <c r="AI11" s="79">
        <v>11.0</v>
      </c>
      <c r="AJ11" s="79">
        <v>13.0</v>
      </c>
      <c r="AK11" s="79">
        <v>10.0</v>
      </c>
      <c r="AL11" s="79">
        <v>12.0</v>
      </c>
      <c r="AM11" s="79">
        <v>11.0</v>
      </c>
      <c r="AN11" s="79">
        <v>12.0</v>
      </c>
      <c r="AO11" s="79">
        <v>11.0</v>
      </c>
      <c r="AP11" s="79">
        <v>12.0</v>
      </c>
      <c r="AQ11" s="79">
        <v>11.0</v>
      </c>
      <c r="AR11" s="79">
        <v>13.0</v>
      </c>
      <c r="AS11" s="79">
        <v>10.0</v>
      </c>
      <c r="AT11" s="79">
        <v>12.0</v>
      </c>
      <c r="AU11" s="79">
        <v>11.0</v>
      </c>
      <c r="AV11" s="79">
        <v>12.0</v>
      </c>
      <c r="AW11" s="79">
        <v>11.0</v>
      </c>
      <c r="AX11" s="79">
        <v>12.0</v>
      </c>
      <c r="AY11" s="79">
        <v>11.0</v>
      </c>
      <c r="AZ11" s="79">
        <v>0.0</v>
      </c>
      <c r="BA11" s="79">
        <v>1.0</v>
      </c>
      <c r="BB11" s="79">
        <v>0.0</v>
      </c>
      <c r="BC11" s="79">
        <v>1.0</v>
      </c>
      <c r="BD11" s="82"/>
    </row>
    <row r="12">
      <c r="A12" s="142">
        <v>2.0</v>
      </c>
      <c r="B12" s="143" t="s">
        <v>94</v>
      </c>
      <c r="C12" s="76">
        <v>289.0</v>
      </c>
      <c r="D12" s="76">
        <v>289.0</v>
      </c>
      <c r="E12" s="76">
        <v>289.0</v>
      </c>
      <c r="F12" s="76">
        <v>270.0</v>
      </c>
      <c r="G12" s="75">
        <v>21.0</v>
      </c>
      <c r="H12" s="75">
        <v>315.0</v>
      </c>
      <c r="I12" s="75">
        <v>1257.0</v>
      </c>
      <c r="J12" s="76">
        <v>0.0</v>
      </c>
      <c r="K12" s="76">
        <v>138.0</v>
      </c>
      <c r="L12" s="76">
        <v>211.0</v>
      </c>
      <c r="M12" s="76">
        <v>2561.0</v>
      </c>
      <c r="N12" s="76">
        <v>0.0</v>
      </c>
      <c r="O12" s="76">
        <v>346.0</v>
      </c>
      <c r="P12" s="76">
        <v>346.0</v>
      </c>
      <c r="Q12" s="76">
        <v>346.0</v>
      </c>
      <c r="R12" s="76">
        <v>346.0</v>
      </c>
      <c r="S12" s="76">
        <v>338.0</v>
      </c>
      <c r="T12" s="76">
        <v>339.0</v>
      </c>
      <c r="U12" s="76">
        <v>297.0</v>
      </c>
      <c r="V12" s="76">
        <v>291.0</v>
      </c>
      <c r="W12" s="76">
        <v>245.0</v>
      </c>
      <c r="X12" s="76">
        <v>231.0</v>
      </c>
      <c r="Y12" s="76">
        <v>346.0</v>
      </c>
      <c r="Z12" s="76">
        <v>346.0</v>
      </c>
      <c r="AA12" s="76">
        <v>289.0</v>
      </c>
      <c r="AB12" s="79">
        <v>12.0</v>
      </c>
      <c r="AC12" s="79">
        <v>13.0</v>
      </c>
      <c r="AD12" s="79">
        <v>12.0</v>
      </c>
      <c r="AE12" s="79">
        <v>12.0</v>
      </c>
      <c r="AF12" s="79">
        <v>12.0</v>
      </c>
      <c r="AG12" s="79">
        <v>12.0</v>
      </c>
      <c r="AH12" s="79">
        <v>12.0</v>
      </c>
      <c r="AI12" s="79">
        <v>11.0</v>
      </c>
      <c r="AJ12" s="79">
        <v>12.0</v>
      </c>
      <c r="AK12" s="79">
        <v>13.0</v>
      </c>
      <c r="AL12" s="79">
        <v>12.0</v>
      </c>
      <c r="AM12" s="79">
        <v>12.0</v>
      </c>
      <c r="AN12" s="79">
        <v>12.0</v>
      </c>
      <c r="AO12" s="79">
        <v>12.0</v>
      </c>
      <c r="AP12" s="79">
        <v>12.0</v>
      </c>
      <c r="AQ12" s="79">
        <v>11.0</v>
      </c>
      <c r="AR12" s="79">
        <v>11.0</v>
      </c>
      <c r="AS12" s="79">
        <v>12.0</v>
      </c>
      <c r="AT12" s="79">
        <v>12.0</v>
      </c>
      <c r="AU12" s="79">
        <v>12.0</v>
      </c>
      <c r="AV12" s="79">
        <v>12.0</v>
      </c>
      <c r="AW12" s="79">
        <v>12.0</v>
      </c>
      <c r="AX12" s="79">
        <v>12.0</v>
      </c>
      <c r="AY12" s="79">
        <v>11.0</v>
      </c>
      <c r="AZ12" s="79">
        <v>2.0</v>
      </c>
      <c r="BA12" s="79">
        <v>0.0</v>
      </c>
      <c r="BB12" s="79">
        <v>2.0</v>
      </c>
      <c r="BC12" s="79">
        <v>0.0</v>
      </c>
      <c r="BD12" s="82"/>
    </row>
    <row r="13">
      <c r="A13" s="142">
        <v>3.0</v>
      </c>
      <c r="B13" s="143" t="s">
        <v>95</v>
      </c>
      <c r="C13" s="76">
        <v>289.0</v>
      </c>
      <c r="D13" s="76">
        <v>289.0</v>
      </c>
      <c r="E13" s="76">
        <v>289.0</v>
      </c>
      <c r="F13" s="75">
        <v>271.0</v>
      </c>
      <c r="G13" s="75">
        <v>23.0</v>
      </c>
      <c r="H13" s="75">
        <v>313.0</v>
      </c>
      <c r="I13" s="75">
        <v>1460.0</v>
      </c>
      <c r="J13" s="76">
        <v>0.0</v>
      </c>
      <c r="K13" s="76">
        <v>139.0</v>
      </c>
      <c r="L13" s="76">
        <v>205.0</v>
      </c>
      <c r="M13" s="76">
        <v>2572.0</v>
      </c>
      <c r="N13" s="76">
        <v>0.0</v>
      </c>
      <c r="O13" s="76">
        <v>348.0</v>
      </c>
      <c r="P13" s="76">
        <v>347.0</v>
      </c>
      <c r="Q13" s="76">
        <v>348.0</v>
      </c>
      <c r="R13" s="76">
        <v>347.0</v>
      </c>
      <c r="S13" s="76">
        <v>337.0</v>
      </c>
      <c r="T13" s="76">
        <v>338.0</v>
      </c>
      <c r="U13" s="76">
        <v>286.0</v>
      </c>
      <c r="V13" s="76">
        <v>298.0</v>
      </c>
      <c r="W13" s="76">
        <v>0.0</v>
      </c>
      <c r="X13" s="76">
        <v>0.0</v>
      </c>
      <c r="Y13" s="76">
        <v>348.0</v>
      </c>
      <c r="Z13" s="76">
        <v>347.0</v>
      </c>
      <c r="AA13" s="76">
        <v>289.0</v>
      </c>
      <c r="AB13" s="79">
        <v>13.0</v>
      </c>
      <c r="AC13" s="79">
        <v>12.0</v>
      </c>
      <c r="AD13" s="79">
        <v>13.0</v>
      </c>
      <c r="AE13" s="79">
        <v>11.0</v>
      </c>
      <c r="AF13" s="79">
        <v>13.0</v>
      </c>
      <c r="AG13" s="79">
        <v>11.0</v>
      </c>
      <c r="AH13" s="79">
        <v>12.0</v>
      </c>
      <c r="AI13" s="79">
        <v>12.0</v>
      </c>
      <c r="AJ13" s="79">
        <v>13.0</v>
      </c>
      <c r="AK13" s="79">
        <v>12.0</v>
      </c>
      <c r="AL13" s="79">
        <v>13.0</v>
      </c>
      <c r="AM13" s="79">
        <v>11.0</v>
      </c>
      <c r="AN13" s="79">
        <v>13.0</v>
      </c>
      <c r="AO13" s="79">
        <v>11.0</v>
      </c>
      <c r="AP13" s="79">
        <v>12.0</v>
      </c>
      <c r="AQ13" s="79">
        <v>12.0</v>
      </c>
      <c r="AR13" s="79">
        <v>13.0</v>
      </c>
      <c r="AS13" s="79">
        <v>11.0</v>
      </c>
      <c r="AT13" s="79">
        <v>13.0</v>
      </c>
      <c r="AU13" s="79">
        <v>11.0</v>
      </c>
      <c r="AV13" s="79">
        <v>13.0</v>
      </c>
      <c r="AW13" s="79">
        <v>11.0</v>
      </c>
      <c r="AX13" s="79">
        <v>12.0</v>
      </c>
      <c r="AY13" s="79">
        <v>12.0</v>
      </c>
      <c r="AZ13" s="79">
        <v>0.0</v>
      </c>
      <c r="BA13" s="79">
        <v>2.0</v>
      </c>
      <c r="BB13" s="79">
        <v>0.0</v>
      </c>
      <c r="BC13" s="79">
        <v>2.0</v>
      </c>
      <c r="BD13" s="82"/>
    </row>
    <row r="14">
      <c r="A14" s="142">
        <v>4.0</v>
      </c>
      <c r="B14" s="143" t="s">
        <v>96</v>
      </c>
      <c r="C14" s="76">
        <v>290.0</v>
      </c>
      <c r="D14" s="76">
        <v>290.0</v>
      </c>
      <c r="E14" s="76">
        <v>290.0</v>
      </c>
      <c r="F14" s="75">
        <v>272.0</v>
      </c>
      <c r="G14" s="75">
        <v>18.0</v>
      </c>
      <c r="H14" s="75">
        <v>317.0</v>
      </c>
      <c r="I14" s="75">
        <v>1254.0</v>
      </c>
      <c r="J14" s="76">
        <v>0.0</v>
      </c>
      <c r="K14" s="76">
        <v>141.0</v>
      </c>
      <c r="L14" s="76">
        <v>203.0</v>
      </c>
      <c r="M14" s="76">
        <v>2567.0</v>
      </c>
      <c r="N14" s="76">
        <v>0.0</v>
      </c>
      <c r="O14" s="76">
        <v>346.0</v>
      </c>
      <c r="P14" s="76">
        <v>346.0</v>
      </c>
      <c r="Q14" s="76">
        <v>346.0</v>
      </c>
      <c r="R14" s="76">
        <v>346.0</v>
      </c>
      <c r="S14" s="76">
        <v>338.0</v>
      </c>
      <c r="T14" s="76">
        <v>334.0</v>
      </c>
      <c r="U14" s="76">
        <v>298.0</v>
      </c>
      <c r="V14" s="76">
        <v>291.0</v>
      </c>
      <c r="W14" s="76">
        <v>0.0</v>
      </c>
      <c r="X14" s="76">
        <v>0.0</v>
      </c>
      <c r="Y14" s="76">
        <v>346.0</v>
      </c>
      <c r="Z14" s="76">
        <v>346.0</v>
      </c>
      <c r="AA14" s="76">
        <v>290.0</v>
      </c>
      <c r="AB14" s="79">
        <v>11.0</v>
      </c>
      <c r="AC14" s="79">
        <v>13.0</v>
      </c>
      <c r="AD14" s="79">
        <v>11.0</v>
      </c>
      <c r="AE14" s="79">
        <v>12.0</v>
      </c>
      <c r="AF14" s="79">
        <v>11.0</v>
      </c>
      <c r="AG14" s="79">
        <v>12.0</v>
      </c>
      <c r="AH14" s="79">
        <v>14.0</v>
      </c>
      <c r="AI14" s="79">
        <v>11.0</v>
      </c>
      <c r="AJ14" s="79">
        <v>11.0</v>
      </c>
      <c r="AK14" s="79">
        <v>13.0</v>
      </c>
      <c r="AL14" s="79">
        <v>11.0</v>
      </c>
      <c r="AM14" s="79">
        <v>12.0</v>
      </c>
      <c r="AN14" s="79">
        <v>11.0</v>
      </c>
      <c r="AO14" s="79">
        <v>12.0</v>
      </c>
      <c r="AP14" s="79">
        <v>14.0</v>
      </c>
      <c r="AQ14" s="79">
        <v>11.0</v>
      </c>
      <c r="AR14" s="79">
        <v>13.0</v>
      </c>
      <c r="AS14" s="79">
        <v>12.0</v>
      </c>
      <c r="AT14" s="79">
        <v>11.0</v>
      </c>
      <c r="AU14" s="79">
        <v>12.0</v>
      </c>
      <c r="AV14" s="79">
        <v>11.0</v>
      </c>
      <c r="AW14" s="79">
        <v>12.0</v>
      </c>
      <c r="AX14" s="79">
        <v>14.0</v>
      </c>
      <c r="AY14" s="79">
        <v>11.0</v>
      </c>
      <c r="AZ14" s="79">
        <v>1.0</v>
      </c>
      <c r="BA14" s="79">
        <v>1.0</v>
      </c>
      <c r="BB14" s="79">
        <v>1.0</v>
      </c>
      <c r="BC14" s="79">
        <v>1.0</v>
      </c>
      <c r="BD14" s="82"/>
    </row>
    <row r="15">
      <c r="A15" s="142">
        <v>5.0</v>
      </c>
      <c r="B15" s="143" t="s">
        <v>97</v>
      </c>
      <c r="C15" s="76">
        <v>285.0</v>
      </c>
      <c r="D15" s="76">
        <v>289.0</v>
      </c>
      <c r="E15" s="76">
        <v>289.0</v>
      </c>
      <c r="F15" s="75">
        <v>272.0</v>
      </c>
      <c r="G15" s="76">
        <v>19.0</v>
      </c>
      <c r="H15" s="75">
        <v>315.0</v>
      </c>
      <c r="I15" s="75">
        <v>1256.0</v>
      </c>
      <c r="J15" s="76">
        <v>0.0</v>
      </c>
      <c r="K15" s="76">
        <v>139.0</v>
      </c>
      <c r="L15" s="76">
        <v>201.0</v>
      </c>
      <c r="M15" s="76">
        <v>2570.0</v>
      </c>
      <c r="N15" s="76">
        <v>0.0</v>
      </c>
      <c r="O15" s="76">
        <v>348.0</v>
      </c>
      <c r="P15" s="76">
        <v>345.0</v>
      </c>
      <c r="Q15" s="76">
        <v>348.0</v>
      </c>
      <c r="R15" s="76">
        <v>345.0</v>
      </c>
      <c r="S15" s="76">
        <v>340.0</v>
      </c>
      <c r="T15" s="76">
        <v>335.0</v>
      </c>
      <c r="U15" s="76">
        <v>300.0</v>
      </c>
      <c r="V15" s="76">
        <v>289.0</v>
      </c>
      <c r="W15" s="76">
        <v>0.0</v>
      </c>
      <c r="X15" s="76">
        <v>0.0</v>
      </c>
      <c r="Y15" s="76">
        <v>348.0</v>
      </c>
      <c r="Z15" s="76">
        <v>345.0</v>
      </c>
      <c r="AA15" s="76">
        <v>289.0</v>
      </c>
      <c r="AB15" s="79">
        <v>13.0</v>
      </c>
      <c r="AC15" s="79">
        <v>12.0</v>
      </c>
      <c r="AD15" s="79">
        <v>13.0</v>
      </c>
      <c r="AE15" s="79">
        <v>12.0</v>
      </c>
      <c r="AF15" s="79">
        <v>12.0</v>
      </c>
      <c r="AG15" s="79">
        <v>12.0</v>
      </c>
      <c r="AH15" s="79">
        <v>13.0</v>
      </c>
      <c r="AI15" s="79">
        <v>12.0</v>
      </c>
      <c r="AJ15" s="79">
        <v>13.0</v>
      </c>
      <c r="AK15" s="79">
        <v>12.0</v>
      </c>
      <c r="AL15" s="79">
        <v>13.0</v>
      </c>
      <c r="AM15" s="79">
        <v>12.0</v>
      </c>
      <c r="AN15" s="79">
        <v>12.0</v>
      </c>
      <c r="AO15" s="79">
        <v>12.0</v>
      </c>
      <c r="AP15" s="79">
        <v>13.0</v>
      </c>
      <c r="AQ15" s="79">
        <v>12.0</v>
      </c>
      <c r="AR15" s="79">
        <v>12.0</v>
      </c>
      <c r="AS15" s="79">
        <v>13.0</v>
      </c>
      <c r="AT15" s="79">
        <v>13.0</v>
      </c>
      <c r="AU15" s="79">
        <v>12.0</v>
      </c>
      <c r="AV15" s="79">
        <v>12.0</v>
      </c>
      <c r="AW15" s="79">
        <v>12.0</v>
      </c>
      <c r="AX15" s="79">
        <v>13.0</v>
      </c>
      <c r="AY15" s="79">
        <v>12.0</v>
      </c>
      <c r="AZ15" s="79">
        <v>0.0</v>
      </c>
      <c r="BA15" s="79">
        <v>3.0</v>
      </c>
      <c r="BB15" s="79">
        <v>0.0</v>
      </c>
      <c r="BC15" s="79">
        <v>3.0</v>
      </c>
      <c r="BD15" s="82"/>
    </row>
    <row r="16">
      <c r="A16" s="142">
        <v>6.0</v>
      </c>
      <c r="B16" s="143" t="s">
        <v>98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82"/>
    </row>
    <row r="17">
      <c r="A17" s="142">
        <v>7.0</v>
      </c>
      <c r="B17" s="143" t="s">
        <v>99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82"/>
    </row>
    <row r="18">
      <c r="A18" s="142">
        <v>8.0</v>
      </c>
      <c r="B18" s="143" t="s">
        <v>100</v>
      </c>
      <c r="C18" s="79"/>
      <c r="D18" s="79"/>
      <c r="E18" s="79"/>
      <c r="F18" s="75"/>
      <c r="G18" s="75"/>
      <c r="H18" s="75"/>
      <c r="I18" s="75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82"/>
    </row>
    <row r="19">
      <c r="A19" s="142">
        <v>9.0</v>
      </c>
      <c r="B19" s="143" t="s">
        <v>101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9"/>
      <c r="AK19" s="79"/>
      <c r="AL19" s="79"/>
      <c r="AM19" s="79"/>
      <c r="AN19" s="76"/>
      <c r="AO19" s="79"/>
      <c r="AP19" s="79"/>
      <c r="AQ19" s="79"/>
      <c r="AR19" s="79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82"/>
    </row>
    <row r="20">
      <c r="A20" s="142">
        <v>10.0</v>
      </c>
      <c r="B20" s="143" t="s">
        <v>102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82"/>
    </row>
    <row r="21">
      <c r="A21" s="142">
        <v>11.0</v>
      </c>
      <c r="B21" s="143" t="s">
        <v>103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82"/>
    </row>
    <row r="22">
      <c r="A22" s="142">
        <v>12.0</v>
      </c>
      <c r="B22" s="143" t="s">
        <v>104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82"/>
    </row>
    <row r="23">
      <c r="A23" s="144" t="s">
        <v>52</v>
      </c>
      <c r="B23" s="8"/>
      <c r="C23" s="145">
        <f t="shared" ref="C23:BD23" si="1">SUM(C11:C22)</f>
        <v>1442</v>
      </c>
      <c r="D23" s="145">
        <f t="shared" si="1"/>
        <v>1446</v>
      </c>
      <c r="E23" s="145">
        <f t="shared" si="1"/>
        <v>1446</v>
      </c>
      <c r="F23" s="145">
        <f t="shared" si="1"/>
        <v>1358</v>
      </c>
      <c r="G23" s="145">
        <f t="shared" si="1"/>
        <v>100</v>
      </c>
      <c r="H23" s="145">
        <f t="shared" si="1"/>
        <v>1577</v>
      </c>
      <c r="I23" s="145">
        <f t="shared" si="1"/>
        <v>6482</v>
      </c>
      <c r="J23" s="145">
        <f t="shared" si="1"/>
        <v>0</v>
      </c>
      <c r="K23" s="145">
        <f t="shared" si="1"/>
        <v>697</v>
      </c>
      <c r="L23" s="145">
        <f t="shared" si="1"/>
        <v>1022</v>
      </c>
      <c r="M23" s="145">
        <f t="shared" si="1"/>
        <v>12838</v>
      </c>
      <c r="N23" s="145">
        <f t="shared" si="1"/>
        <v>0</v>
      </c>
      <c r="O23" s="145">
        <f t="shared" si="1"/>
        <v>1737</v>
      </c>
      <c r="P23" s="145">
        <f t="shared" si="1"/>
        <v>1729</v>
      </c>
      <c r="Q23" s="145">
        <f t="shared" si="1"/>
        <v>1737</v>
      </c>
      <c r="R23" s="145">
        <f t="shared" si="1"/>
        <v>1729</v>
      </c>
      <c r="S23" s="145">
        <f t="shared" si="1"/>
        <v>1692</v>
      </c>
      <c r="T23" s="145">
        <f t="shared" si="1"/>
        <v>1680</v>
      </c>
      <c r="U23" s="145">
        <f t="shared" si="1"/>
        <v>1479</v>
      </c>
      <c r="V23" s="145">
        <f t="shared" si="1"/>
        <v>1456</v>
      </c>
      <c r="W23" s="145">
        <f t="shared" si="1"/>
        <v>245</v>
      </c>
      <c r="X23" s="145">
        <f t="shared" si="1"/>
        <v>231</v>
      </c>
      <c r="Y23" s="145">
        <f t="shared" si="1"/>
        <v>1737</v>
      </c>
      <c r="Z23" s="145">
        <f t="shared" si="1"/>
        <v>1729</v>
      </c>
      <c r="AA23" s="145">
        <f t="shared" si="1"/>
        <v>1446</v>
      </c>
      <c r="AB23" s="145">
        <f t="shared" si="1"/>
        <v>62</v>
      </c>
      <c r="AC23" s="145">
        <f t="shared" si="1"/>
        <v>60</v>
      </c>
      <c r="AD23" s="145">
        <f t="shared" si="1"/>
        <v>61</v>
      </c>
      <c r="AE23" s="145">
        <f t="shared" si="1"/>
        <v>58</v>
      </c>
      <c r="AF23" s="145">
        <f t="shared" si="1"/>
        <v>60</v>
      </c>
      <c r="AG23" s="145">
        <f t="shared" si="1"/>
        <v>58</v>
      </c>
      <c r="AH23" s="145">
        <f t="shared" si="1"/>
        <v>63</v>
      </c>
      <c r="AI23" s="145">
        <f t="shared" si="1"/>
        <v>57</v>
      </c>
      <c r="AJ23" s="145">
        <f t="shared" si="1"/>
        <v>62</v>
      </c>
      <c r="AK23" s="145">
        <f t="shared" si="1"/>
        <v>60</v>
      </c>
      <c r="AL23" s="145">
        <f t="shared" si="1"/>
        <v>61</v>
      </c>
      <c r="AM23" s="145">
        <f t="shared" si="1"/>
        <v>58</v>
      </c>
      <c r="AN23" s="145">
        <f t="shared" si="1"/>
        <v>60</v>
      </c>
      <c r="AO23" s="145">
        <f t="shared" si="1"/>
        <v>58</v>
      </c>
      <c r="AP23" s="145">
        <f t="shared" si="1"/>
        <v>63</v>
      </c>
      <c r="AQ23" s="145">
        <f t="shared" si="1"/>
        <v>57</v>
      </c>
      <c r="AR23" s="145">
        <f t="shared" si="1"/>
        <v>62</v>
      </c>
      <c r="AS23" s="145">
        <f t="shared" si="1"/>
        <v>58</v>
      </c>
      <c r="AT23" s="145">
        <f t="shared" si="1"/>
        <v>61</v>
      </c>
      <c r="AU23" s="145">
        <f t="shared" si="1"/>
        <v>58</v>
      </c>
      <c r="AV23" s="145">
        <f t="shared" si="1"/>
        <v>60</v>
      </c>
      <c r="AW23" s="145">
        <f t="shared" si="1"/>
        <v>58</v>
      </c>
      <c r="AX23" s="145">
        <f t="shared" si="1"/>
        <v>63</v>
      </c>
      <c r="AY23" s="145">
        <f t="shared" si="1"/>
        <v>57</v>
      </c>
      <c r="AZ23" s="145">
        <f t="shared" si="1"/>
        <v>3</v>
      </c>
      <c r="BA23" s="145">
        <f t="shared" si="1"/>
        <v>7</v>
      </c>
      <c r="BB23" s="145">
        <f t="shared" si="1"/>
        <v>3</v>
      </c>
      <c r="BC23" s="145">
        <f t="shared" si="1"/>
        <v>7</v>
      </c>
      <c r="BD23" s="146">
        <f t="shared" si="1"/>
        <v>0</v>
      </c>
    </row>
    <row r="25">
      <c r="A25" s="2"/>
      <c r="B25" s="2"/>
      <c r="C25" s="2"/>
      <c r="D25" s="2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32" t="s">
        <v>253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47" t="s">
        <v>254</v>
      </c>
      <c r="B28" s="91"/>
      <c r="C28" s="91"/>
      <c r="D28" s="91"/>
      <c r="E28" s="91"/>
      <c r="F28" s="91"/>
      <c r="G28" s="91"/>
      <c r="H28" s="9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48" t="s">
        <v>255</v>
      </c>
      <c r="B29" s="148" t="s">
        <v>256</v>
      </c>
      <c r="C29" s="149" t="s">
        <v>257</v>
      </c>
      <c r="D29" s="150" t="s">
        <v>258</v>
      </c>
      <c r="E29" s="25"/>
      <c r="F29" s="25"/>
      <c r="G29" s="8"/>
      <c r="H29" s="150" t="s">
        <v>259</v>
      </c>
      <c r="I29" s="25"/>
      <c r="J29" s="25"/>
      <c r="K29" s="25"/>
      <c r="L29" s="25"/>
      <c r="M29" s="25"/>
      <c r="N29" s="8"/>
      <c r="O29" s="150" t="s">
        <v>260</v>
      </c>
      <c r="P29" s="25"/>
      <c r="Q29" s="8"/>
      <c r="R29" s="150" t="s">
        <v>261</v>
      </c>
      <c r="S29" s="25"/>
      <c r="T29" s="8"/>
      <c r="U29" s="151" t="s">
        <v>262</v>
      </c>
      <c r="V29" s="60"/>
      <c r="W29" s="151" t="s">
        <v>263</v>
      </c>
      <c r="X29" s="60"/>
      <c r="Y29" s="152" t="s">
        <v>264</v>
      </c>
      <c r="Z29" s="60"/>
      <c r="AA29" s="149" t="s">
        <v>265</v>
      </c>
      <c r="AB29" s="153" t="s">
        <v>266</v>
      </c>
      <c r="AC29" s="60"/>
      <c r="AD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63"/>
      <c r="B30" s="63"/>
      <c r="C30" s="63"/>
      <c r="D30" s="150" t="s">
        <v>267</v>
      </c>
      <c r="E30" s="8"/>
      <c r="F30" s="150" t="s">
        <v>268</v>
      </c>
      <c r="G30" s="8"/>
      <c r="H30" s="150" t="s">
        <v>269</v>
      </c>
      <c r="I30" s="8"/>
      <c r="J30" s="150" t="s">
        <v>270</v>
      </c>
      <c r="K30" s="8"/>
      <c r="L30" s="150" t="s">
        <v>271</v>
      </c>
      <c r="M30" s="8"/>
      <c r="N30" s="148" t="s">
        <v>272</v>
      </c>
      <c r="O30" s="149" t="s">
        <v>273</v>
      </c>
      <c r="P30" s="150" t="s">
        <v>274</v>
      </c>
      <c r="Q30" s="8"/>
      <c r="R30" s="149" t="s">
        <v>273</v>
      </c>
      <c r="S30" s="150" t="s">
        <v>275</v>
      </c>
      <c r="T30" s="8"/>
      <c r="U30" s="65"/>
      <c r="V30" s="46"/>
      <c r="W30" s="65"/>
      <c r="X30" s="46"/>
      <c r="Y30" s="154" t="s">
        <v>276</v>
      </c>
      <c r="Z30" s="155"/>
      <c r="AA30" s="156" t="s">
        <v>277</v>
      </c>
      <c r="AB30" s="45"/>
      <c r="AC30" s="46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0"/>
      <c r="B31" s="10"/>
      <c r="C31" s="10"/>
      <c r="D31" s="157" t="s">
        <v>256</v>
      </c>
      <c r="E31" s="157" t="s">
        <v>257</v>
      </c>
      <c r="F31" s="157" t="s">
        <v>256</v>
      </c>
      <c r="G31" s="157" t="s">
        <v>257</v>
      </c>
      <c r="H31" s="157" t="s">
        <v>278</v>
      </c>
      <c r="I31" s="157" t="s">
        <v>279</v>
      </c>
      <c r="J31" s="157" t="s">
        <v>278</v>
      </c>
      <c r="K31" s="157" t="s">
        <v>280</v>
      </c>
      <c r="L31" s="157" t="s">
        <v>278</v>
      </c>
      <c r="M31" s="157" t="s">
        <v>279</v>
      </c>
      <c r="N31" s="10"/>
      <c r="O31" s="158" t="s">
        <v>281</v>
      </c>
      <c r="P31" s="157" t="s">
        <v>282</v>
      </c>
      <c r="Q31" s="157" t="s">
        <v>283</v>
      </c>
      <c r="R31" s="158" t="s">
        <v>284</v>
      </c>
      <c r="S31" s="157" t="s">
        <v>282</v>
      </c>
      <c r="T31" s="157" t="s">
        <v>283</v>
      </c>
      <c r="U31" s="157" t="s">
        <v>285</v>
      </c>
      <c r="V31" s="157" t="s">
        <v>283</v>
      </c>
      <c r="W31" s="157" t="s">
        <v>285</v>
      </c>
      <c r="X31" s="157" t="s">
        <v>283</v>
      </c>
      <c r="Y31" s="157" t="s">
        <v>285</v>
      </c>
      <c r="Z31" s="150" t="s">
        <v>283</v>
      </c>
      <c r="AA31" s="159"/>
      <c r="AB31" s="160" t="s">
        <v>256</v>
      </c>
      <c r="AC31" s="157" t="s">
        <v>286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61">
        <v>1.0</v>
      </c>
      <c r="B32" s="161">
        <v>2.0</v>
      </c>
      <c r="C32" s="161">
        <v>3.0</v>
      </c>
      <c r="D32" s="161">
        <v>4.0</v>
      </c>
      <c r="E32" s="161">
        <v>5.0</v>
      </c>
      <c r="F32" s="161">
        <v>6.0</v>
      </c>
      <c r="G32" s="161">
        <v>7.0</v>
      </c>
      <c r="H32" s="161">
        <v>8.0</v>
      </c>
      <c r="I32" s="161">
        <v>9.0</v>
      </c>
      <c r="J32" s="161">
        <v>10.0</v>
      </c>
      <c r="K32" s="161">
        <v>11.0</v>
      </c>
      <c r="L32" s="161">
        <v>12.0</v>
      </c>
      <c r="M32" s="161">
        <v>13.0</v>
      </c>
      <c r="N32" s="161">
        <v>14.0</v>
      </c>
      <c r="O32" s="162">
        <v>15.0</v>
      </c>
      <c r="P32" s="161">
        <v>16.0</v>
      </c>
      <c r="Q32" s="161">
        <v>17.0</v>
      </c>
      <c r="R32" s="162">
        <v>18.0</v>
      </c>
      <c r="S32" s="161">
        <v>19.0</v>
      </c>
      <c r="T32" s="161">
        <v>20.0</v>
      </c>
      <c r="U32" s="161">
        <v>21.0</v>
      </c>
      <c r="V32" s="161">
        <v>22.0</v>
      </c>
      <c r="W32" s="161">
        <v>23.0</v>
      </c>
      <c r="X32" s="161">
        <v>24.0</v>
      </c>
      <c r="Y32" s="161">
        <v>25.0</v>
      </c>
      <c r="Z32" s="163">
        <v>26.0</v>
      </c>
      <c r="AA32" s="162">
        <v>27.0</v>
      </c>
      <c r="AB32" s="164">
        <v>28.0</v>
      </c>
      <c r="AC32" s="161">
        <v>29.0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65">
        <v>46023.0</v>
      </c>
      <c r="B33" s="166">
        <v>289.0</v>
      </c>
      <c r="C33" s="166">
        <v>273.0</v>
      </c>
      <c r="D33" s="166">
        <v>237.0</v>
      </c>
      <c r="E33" s="166">
        <v>226.0</v>
      </c>
      <c r="F33" s="166">
        <v>52.0</v>
      </c>
      <c r="G33" s="166">
        <v>47.0</v>
      </c>
      <c r="H33" s="80">
        <v>463.0</v>
      </c>
      <c r="I33" s="167">
        <v>4.0</v>
      </c>
      <c r="J33" s="80">
        <v>463.0</v>
      </c>
      <c r="K33" s="167">
        <v>4.0</v>
      </c>
      <c r="L33" s="80">
        <v>466.0</v>
      </c>
      <c r="M33" s="167">
        <v>1.0</v>
      </c>
      <c r="N33" s="167">
        <v>0.0</v>
      </c>
      <c r="O33" s="127">
        <v>289.0</v>
      </c>
      <c r="P33" s="127" t="s">
        <v>287</v>
      </c>
      <c r="Q33" s="127">
        <v>0.0</v>
      </c>
      <c r="R33" s="127">
        <v>11.0</v>
      </c>
      <c r="S33" s="127" t="s">
        <v>287</v>
      </c>
      <c r="T33" s="127">
        <v>0.0</v>
      </c>
      <c r="U33" s="127">
        <v>289.0</v>
      </c>
      <c r="V33" s="166">
        <v>0.0</v>
      </c>
      <c r="W33" s="166">
        <v>22.0</v>
      </c>
      <c r="X33" s="166">
        <v>0.0</v>
      </c>
      <c r="Y33" s="76">
        <v>18.0</v>
      </c>
      <c r="Z33" s="166">
        <v>0.0</v>
      </c>
      <c r="AA33" s="127">
        <v>289.0</v>
      </c>
      <c r="AB33" s="166">
        <v>0.0</v>
      </c>
      <c r="AC33" s="166">
        <v>0.0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65">
        <v>46054.0</v>
      </c>
      <c r="B34" s="127">
        <v>289.0</v>
      </c>
      <c r="C34" s="127">
        <v>270.0</v>
      </c>
      <c r="D34" s="127">
        <v>240.0</v>
      </c>
      <c r="E34" s="127">
        <v>225.0</v>
      </c>
      <c r="F34" s="127">
        <v>49.0</v>
      </c>
      <c r="G34" s="127">
        <v>45.0</v>
      </c>
      <c r="H34" s="127">
        <v>465.0</v>
      </c>
      <c r="I34" s="127">
        <v>4.0</v>
      </c>
      <c r="J34" s="127">
        <v>465.0</v>
      </c>
      <c r="K34" s="127">
        <v>4.0</v>
      </c>
      <c r="L34" s="127">
        <v>469.0</v>
      </c>
      <c r="M34" s="127">
        <v>0.0</v>
      </c>
      <c r="N34" s="127">
        <v>0.0</v>
      </c>
      <c r="O34" s="127">
        <v>289.0</v>
      </c>
      <c r="P34" s="127" t="s">
        <v>287</v>
      </c>
      <c r="Q34" s="127">
        <v>0.0</v>
      </c>
      <c r="R34" s="127">
        <v>10.0</v>
      </c>
      <c r="S34" s="127" t="s">
        <v>287</v>
      </c>
      <c r="T34" s="127">
        <v>0.0</v>
      </c>
      <c r="U34" s="127">
        <v>289.0</v>
      </c>
      <c r="V34" s="127">
        <v>0.0</v>
      </c>
      <c r="W34" s="127">
        <v>24.0</v>
      </c>
      <c r="X34" s="127">
        <v>0.0</v>
      </c>
      <c r="Y34" s="76">
        <v>19.0</v>
      </c>
      <c r="Z34" s="127">
        <v>0.0</v>
      </c>
      <c r="AA34" s="127">
        <v>289.0</v>
      </c>
      <c r="AB34" s="127">
        <v>1.0</v>
      </c>
      <c r="AC34" s="127">
        <v>0.0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65">
        <v>46082.0</v>
      </c>
      <c r="B35" s="127">
        <v>289.0</v>
      </c>
      <c r="C35" s="127">
        <v>271.0</v>
      </c>
      <c r="D35" s="127">
        <v>231.0</v>
      </c>
      <c r="E35" s="127">
        <v>223.0</v>
      </c>
      <c r="F35" s="127">
        <v>58.0</v>
      </c>
      <c r="G35" s="127">
        <v>48.0</v>
      </c>
      <c r="H35" s="127">
        <v>454.0</v>
      </c>
      <c r="I35" s="127">
        <v>2.0</v>
      </c>
      <c r="J35" s="127">
        <v>454.0</v>
      </c>
      <c r="K35" s="127">
        <v>2.0</v>
      </c>
      <c r="L35" s="127">
        <v>456.0</v>
      </c>
      <c r="M35" s="127">
        <v>0.0</v>
      </c>
      <c r="N35" s="127">
        <v>0.0</v>
      </c>
      <c r="O35" s="127">
        <v>289.0</v>
      </c>
      <c r="P35" s="127" t="s">
        <v>287</v>
      </c>
      <c r="Q35" s="127">
        <v>0.0</v>
      </c>
      <c r="R35" s="127">
        <v>13.0</v>
      </c>
      <c r="S35" s="127" t="s">
        <v>287</v>
      </c>
      <c r="T35" s="127">
        <v>0.0</v>
      </c>
      <c r="U35" s="127">
        <v>289.0</v>
      </c>
      <c r="V35" s="127">
        <v>0.0</v>
      </c>
      <c r="W35" s="127">
        <v>24.0</v>
      </c>
      <c r="X35" s="127">
        <v>0.0</v>
      </c>
      <c r="Y35" s="75">
        <v>20.0</v>
      </c>
      <c r="Z35" s="127">
        <v>0.0</v>
      </c>
      <c r="AA35" s="127">
        <v>289.0</v>
      </c>
      <c r="AB35" s="127">
        <v>0.0</v>
      </c>
      <c r="AC35" s="127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65">
        <v>46113.0</v>
      </c>
      <c r="B36" s="127">
        <v>290.0</v>
      </c>
      <c r="C36" s="127">
        <v>272.0</v>
      </c>
      <c r="D36" s="127">
        <v>245.0</v>
      </c>
      <c r="E36" s="127">
        <v>229.0</v>
      </c>
      <c r="F36" s="127">
        <v>55.0</v>
      </c>
      <c r="G36" s="127">
        <v>43.0</v>
      </c>
      <c r="H36" s="127">
        <v>474.0</v>
      </c>
      <c r="I36" s="127">
        <v>2.0</v>
      </c>
      <c r="J36" s="127">
        <v>474.0</v>
      </c>
      <c r="K36" s="127">
        <v>2.0</v>
      </c>
      <c r="L36" s="127">
        <v>475.0</v>
      </c>
      <c r="M36" s="127">
        <v>1.0</v>
      </c>
      <c r="N36" s="127">
        <v>0.0</v>
      </c>
      <c r="O36" s="127">
        <v>290.0</v>
      </c>
      <c r="P36" s="127" t="s">
        <v>287</v>
      </c>
      <c r="Q36" s="127">
        <v>0.0</v>
      </c>
      <c r="R36" s="127">
        <v>11.0</v>
      </c>
      <c r="S36" s="127" t="s">
        <v>287</v>
      </c>
      <c r="T36" s="127">
        <v>0.0</v>
      </c>
      <c r="U36" s="127">
        <v>290.0</v>
      </c>
      <c r="V36" s="127">
        <v>0.0</v>
      </c>
      <c r="W36" s="127">
        <v>23.0</v>
      </c>
      <c r="X36" s="127">
        <v>0.0</v>
      </c>
      <c r="Y36" s="75">
        <v>20.0</v>
      </c>
      <c r="Z36" s="127">
        <v>0.0</v>
      </c>
      <c r="AA36" s="127">
        <v>290.0</v>
      </c>
      <c r="AB36" s="127">
        <v>3.0</v>
      </c>
      <c r="AC36" s="127">
        <v>1.0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65">
        <v>46143.0</v>
      </c>
      <c r="B37" s="127">
        <v>289.0</v>
      </c>
      <c r="C37" s="127">
        <v>272.0</v>
      </c>
      <c r="D37" s="127">
        <v>236.0</v>
      </c>
      <c r="E37" s="127">
        <v>225.0</v>
      </c>
      <c r="F37" s="127">
        <v>53.0</v>
      </c>
      <c r="G37" s="127">
        <v>47.0</v>
      </c>
      <c r="H37" s="127">
        <v>461.0</v>
      </c>
      <c r="I37" s="127">
        <v>4.0</v>
      </c>
      <c r="J37" s="127">
        <v>461.0</v>
      </c>
      <c r="K37" s="127">
        <v>4.0</v>
      </c>
      <c r="L37" s="127">
        <v>465.0</v>
      </c>
      <c r="M37" s="127">
        <v>0.0</v>
      </c>
      <c r="N37" s="127">
        <v>0.0</v>
      </c>
      <c r="O37" s="127">
        <v>289.0</v>
      </c>
      <c r="P37" s="127" t="s">
        <v>287</v>
      </c>
      <c r="Q37" s="127">
        <v>0.0</v>
      </c>
      <c r="R37" s="127">
        <v>14.0</v>
      </c>
      <c r="S37" s="127" t="s">
        <v>287</v>
      </c>
      <c r="T37" s="127">
        <v>0.0</v>
      </c>
      <c r="U37" s="127">
        <v>289.0</v>
      </c>
      <c r="V37" s="127">
        <v>0.0</v>
      </c>
      <c r="W37" s="127">
        <v>23.0</v>
      </c>
      <c r="X37" s="127">
        <v>0.0</v>
      </c>
      <c r="Y37" s="75">
        <v>21.0</v>
      </c>
      <c r="Z37" s="127">
        <v>0.0</v>
      </c>
      <c r="AA37" s="127">
        <v>289.0</v>
      </c>
      <c r="AB37" s="127">
        <v>0.0</v>
      </c>
      <c r="AC37" s="127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65">
        <v>46174.0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75"/>
      <c r="Z38" s="127"/>
      <c r="AA38" s="127"/>
      <c r="AB38" s="127"/>
      <c r="AC38" s="127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65">
        <v>46204.0</v>
      </c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75"/>
      <c r="Z39" s="127"/>
      <c r="AA39" s="127"/>
      <c r="AB39" s="127"/>
      <c r="AC39" s="127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65">
        <v>46235.0</v>
      </c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75"/>
      <c r="Z40" s="127"/>
      <c r="AA40" s="127"/>
      <c r="AB40" s="127"/>
      <c r="AC40" s="127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65">
        <v>46266.0</v>
      </c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75"/>
      <c r="Z41" s="127"/>
      <c r="AA41" s="127"/>
      <c r="AB41" s="127"/>
      <c r="AC41" s="127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65">
        <v>46296.0</v>
      </c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78"/>
      <c r="Z42" s="127"/>
      <c r="AA42" s="127"/>
      <c r="AB42" s="127"/>
      <c r="AC42" s="127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65">
        <v>46327.0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78"/>
      <c r="Z43" s="127"/>
      <c r="AA43" s="127"/>
      <c r="AB43" s="127"/>
      <c r="AC43" s="127"/>
      <c r="AD43" s="116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65">
        <v>46357.0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78"/>
      <c r="Z44" s="127"/>
      <c r="AA44" s="127"/>
      <c r="AB44" s="127"/>
      <c r="AC44" s="127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68" t="s">
        <v>52</v>
      </c>
      <c r="B45" s="84">
        <f t="shared" ref="B45:AC45" si="2">SUM(B33:B44)</f>
        <v>1446</v>
      </c>
      <c r="C45" s="84">
        <f t="shared" si="2"/>
        <v>1358</v>
      </c>
      <c r="D45" s="84">
        <f t="shared" si="2"/>
        <v>1189</v>
      </c>
      <c r="E45" s="84">
        <f t="shared" si="2"/>
        <v>1128</v>
      </c>
      <c r="F45" s="84">
        <f t="shared" si="2"/>
        <v>267</v>
      </c>
      <c r="G45" s="84">
        <f t="shared" si="2"/>
        <v>230</v>
      </c>
      <c r="H45" s="84">
        <f t="shared" si="2"/>
        <v>2317</v>
      </c>
      <c r="I45" s="84">
        <f t="shared" si="2"/>
        <v>16</v>
      </c>
      <c r="J45" s="84">
        <f t="shared" si="2"/>
        <v>2317</v>
      </c>
      <c r="K45" s="84">
        <f t="shared" si="2"/>
        <v>16</v>
      </c>
      <c r="L45" s="84">
        <f t="shared" si="2"/>
        <v>2331</v>
      </c>
      <c r="M45" s="84">
        <f t="shared" si="2"/>
        <v>2</v>
      </c>
      <c r="N45" s="84">
        <f t="shared" si="2"/>
        <v>0</v>
      </c>
      <c r="O45" s="84">
        <f t="shared" si="2"/>
        <v>1446</v>
      </c>
      <c r="P45" s="84">
        <f t="shared" si="2"/>
        <v>0</v>
      </c>
      <c r="Q45" s="84">
        <f t="shared" si="2"/>
        <v>0</v>
      </c>
      <c r="R45" s="84">
        <f t="shared" si="2"/>
        <v>59</v>
      </c>
      <c r="S45" s="84">
        <f t="shared" si="2"/>
        <v>0</v>
      </c>
      <c r="T45" s="84">
        <f t="shared" si="2"/>
        <v>0</v>
      </c>
      <c r="U45" s="84">
        <f t="shared" si="2"/>
        <v>1446</v>
      </c>
      <c r="V45" s="84">
        <f t="shared" si="2"/>
        <v>0</v>
      </c>
      <c r="W45" s="84">
        <f t="shared" si="2"/>
        <v>116</v>
      </c>
      <c r="X45" s="84">
        <f t="shared" si="2"/>
        <v>0</v>
      </c>
      <c r="Y45" s="84">
        <f t="shared" si="2"/>
        <v>98</v>
      </c>
      <c r="Z45" s="84">
        <f t="shared" si="2"/>
        <v>0</v>
      </c>
      <c r="AA45" s="84">
        <f t="shared" si="2"/>
        <v>1446</v>
      </c>
      <c r="AB45" s="84">
        <f t="shared" si="2"/>
        <v>4</v>
      </c>
      <c r="AC45" s="84">
        <f t="shared" si="2"/>
        <v>1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147" t="s">
        <v>288</v>
      </c>
      <c r="B48" s="91"/>
      <c r="C48" s="91"/>
      <c r="D48" s="91"/>
      <c r="E48" s="91"/>
      <c r="F48" s="91"/>
      <c r="G48" s="91"/>
      <c r="H48" s="9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92" t="s">
        <v>255</v>
      </c>
      <c r="B49" s="92" t="s">
        <v>289</v>
      </c>
      <c r="C49" s="92" t="s">
        <v>290</v>
      </c>
      <c r="D49" s="53" t="s">
        <v>258</v>
      </c>
      <c r="E49" s="25"/>
      <c r="F49" s="25"/>
      <c r="G49" s="8"/>
      <c r="H49" s="53" t="s">
        <v>291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8"/>
      <c r="W49" s="58" t="s">
        <v>292</v>
      </c>
      <c r="X49" s="59"/>
      <c r="Y49" s="59"/>
      <c r="Z49" s="59"/>
      <c r="AA49" s="59"/>
      <c r="AB49" s="59"/>
      <c r="AC49" s="60"/>
      <c r="AD49" s="92" t="s">
        <v>293</v>
      </c>
      <c r="AE49" s="53" t="s">
        <v>294</v>
      </c>
      <c r="AF49" s="8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63"/>
      <c r="B50" s="169" t="s">
        <v>295</v>
      </c>
      <c r="C50" s="169" t="s">
        <v>296</v>
      </c>
      <c r="D50" s="53" t="s">
        <v>267</v>
      </c>
      <c r="E50" s="8"/>
      <c r="F50" s="53" t="s">
        <v>268</v>
      </c>
      <c r="G50" s="8"/>
      <c r="H50" s="53" t="s">
        <v>297</v>
      </c>
      <c r="I50" s="8"/>
      <c r="J50" s="53" t="s">
        <v>298</v>
      </c>
      <c r="K50" s="25"/>
      <c r="L50" s="25"/>
      <c r="M50" s="8"/>
      <c r="N50" s="53" t="s">
        <v>299</v>
      </c>
      <c r="O50" s="8"/>
      <c r="P50" s="53" t="s">
        <v>300</v>
      </c>
      <c r="Q50" s="8"/>
      <c r="R50" s="53" t="s">
        <v>301</v>
      </c>
      <c r="S50" s="8"/>
      <c r="T50" s="135" t="s">
        <v>270</v>
      </c>
      <c r="U50" s="8"/>
      <c r="V50" s="69" t="s">
        <v>272</v>
      </c>
      <c r="W50" s="65"/>
      <c r="X50" s="45"/>
      <c r="Y50" s="45"/>
      <c r="Z50" s="45"/>
      <c r="AA50" s="45"/>
      <c r="AB50" s="45"/>
      <c r="AC50" s="46"/>
      <c r="AD50" s="63"/>
      <c r="AE50" s="95" t="s">
        <v>289</v>
      </c>
      <c r="AF50" s="95" t="s">
        <v>302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0"/>
      <c r="B51" s="170"/>
      <c r="C51" s="171" t="s">
        <v>303</v>
      </c>
      <c r="D51" s="95" t="s">
        <v>289</v>
      </c>
      <c r="E51" s="95" t="s">
        <v>304</v>
      </c>
      <c r="F51" s="95" t="s">
        <v>289</v>
      </c>
      <c r="G51" s="95" t="s">
        <v>304</v>
      </c>
      <c r="H51" s="95" t="s">
        <v>305</v>
      </c>
      <c r="I51" s="95" t="s">
        <v>306</v>
      </c>
      <c r="J51" s="95" t="s">
        <v>307</v>
      </c>
      <c r="K51" s="95" t="s">
        <v>308</v>
      </c>
      <c r="L51" s="95" t="s">
        <v>309</v>
      </c>
      <c r="M51" s="95" t="s">
        <v>310</v>
      </c>
      <c r="N51" s="95" t="s">
        <v>311</v>
      </c>
      <c r="O51" s="95" t="s">
        <v>312</v>
      </c>
      <c r="P51" s="95" t="s">
        <v>309</v>
      </c>
      <c r="Q51" s="95" t="s">
        <v>310</v>
      </c>
      <c r="R51" s="171" t="s">
        <v>311</v>
      </c>
      <c r="S51" s="95" t="s">
        <v>312</v>
      </c>
      <c r="T51" s="95" t="s">
        <v>311</v>
      </c>
      <c r="U51" s="95" t="s">
        <v>312</v>
      </c>
      <c r="V51" s="95" t="s">
        <v>313</v>
      </c>
      <c r="W51" s="95" t="s">
        <v>314</v>
      </c>
      <c r="X51" s="95" t="s">
        <v>315</v>
      </c>
      <c r="Y51" s="95" t="s">
        <v>316</v>
      </c>
      <c r="Z51" s="53" t="s">
        <v>317</v>
      </c>
      <c r="AA51" s="171" t="s">
        <v>318</v>
      </c>
      <c r="AB51" s="172" t="s">
        <v>319</v>
      </c>
      <c r="AC51" s="95" t="s">
        <v>320</v>
      </c>
      <c r="AD51" s="10"/>
      <c r="AE51" s="95" t="s">
        <v>321</v>
      </c>
      <c r="AF51" s="95" t="s">
        <v>322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73">
        <v>1.0</v>
      </c>
      <c r="B52" s="173">
        <v>2.0</v>
      </c>
      <c r="C52" s="173">
        <v>3.0</v>
      </c>
      <c r="D52" s="173">
        <v>4.0</v>
      </c>
      <c r="E52" s="173">
        <v>5.0</v>
      </c>
      <c r="F52" s="173">
        <v>6.0</v>
      </c>
      <c r="G52" s="173">
        <v>7.0</v>
      </c>
      <c r="H52" s="173">
        <v>8.0</v>
      </c>
      <c r="I52" s="174">
        <v>9.0</v>
      </c>
      <c r="J52" s="174">
        <v>10.0</v>
      </c>
      <c r="K52" s="174">
        <v>11.0</v>
      </c>
      <c r="L52" s="174">
        <v>12.0</v>
      </c>
      <c r="M52" s="174">
        <v>13.0</v>
      </c>
      <c r="N52" s="174">
        <v>14.0</v>
      </c>
      <c r="O52" s="175">
        <v>15.0</v>
      </c>
      <c r="P52" s="174">
        <v>16.0</v>
      </c>
      <c r="Q52" s="174">
        <v>17.0</v>
      </c>
      <c r="R52" s="175">
        <v>18.0</v>
      </c>
      <c r="S52" s="174">
        <v>19.0</v>
      </c>
      <c r="T52" s="174">
        <v>20.0</v>
      </c>
      <c r="U52" s="173">
        <v>21.0</v>
      </c>
      <c r="V52" s="173">
        <v>22.0</v>
      </c>
      <c r="W52" s="173">
        <v>23.0</v>
      </c>
      <c r="X52" s="173">
        <v>24.0</v>
      </c>
      <c r="Y52" s="173">
        <v>25.0</v>
      </c>
      <c r="Z52" s="176">
        <v>26.0</v>
      </c>
      <c r="AA52" s="177">
        <v>27.0</v>
      </c>
      <c r="AB52" s="178">
        <v>28.0</v>
      </c>
      <c r="AC52" s="173">
        <v>29.0</v>
      </c>
      <c r="AD52" s="173">
        <v>30.0</v>
      </c>
      <c r="AE52" s="173">
        <v>31.0</v>
      </c>
      <c r="AF52" s="173">
        <v>32.0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65">
        <v>46023.0</v>
      </c>
      <c r="B53" s="166">
        <v>35.0</v>
      </c>
      <c r="C53" s="166">
        <v>660.0</v>
      </c>
      <c r="D53" s="166">
        <v>35.0</v>
      </c>
      <c r="E53" s="166">
        <v>673.0</v>
      </c>
      <c r="F53" s="166">
        <v>0.0</v>
      </c>
      <c r="G53" s="166">
        <v>21.0</v>
      </c>
      <c r="H53" s="80" t="b">
        <v>1</v>
      </c>
      <c r="I53" s="167" t="s">
        <v>25</v>
      </c>
      <c r="J53" s="167">
        <v>585.0</v>
      </c>
      <c r="K53" s="167">
        <v>109.0</v>
      </c>
      <c r="L53" s="167">
        <v>690.0</v>
      </c>
      <c r="M53" s="167">
        <v>0.0</v>
      </c>
      <c r="N53" s="167">
        <v>690.0</v>
      </c>
      <c r="O53" s="127">
        <v>0.0</v>
      </c>
      <c r="P53" s="167">
        <v>690.0</v>
      </c>
      <c r="Q53" s="127">
        <v>0.0</v>
      </c>
      <c r="R53" s="167">
        <v>690.0</v>
      </c>
      <c r="S53" s="127">
        <v>0.0</v>
      </c>
      <c r="T53" s="167">
        <v>690.0</v>
      </c>
      <c r="U53" s="127">
        <v>0.0</v>
      </c>
      <c r="V53" s="166">
        <v>0.0</v>
      </c>
      <c r="W53" s="166">
        <v>134.0</v>
      </c>
      <c r="X53" s="166">
        <v>134.0</v>
      </c>
      <c r="Y53" s="166">
        <v>130.0</v>
      </c>
      <c r="Z53" s="166">
        <v>0.0</v>
      </c>
      <c r="AA53" s="166">
        <v>0.0</v>
      </c>
      <c r="AB53" s="76">
        <v>668.0</v>
      </c>
      <c r="AC53" s="76">
        <v>668.0</v>
      </c>
      <c r="AD53" s="127">
        <v>0.0</v>
      </c>
      <c r="AE53" s="127">
        <v>2.0</v>
      </c>
      <c r="AF53" s="127">
        <v>0.0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65">
        <v>46054.0</v>
      </c>
      <c r="B54" s="127">
        <v>37.0</v>
      </c>
      <c r="C54" s="127">
        <v>655.0</v>
      </c>
      <c r="D54" s="127">
        <v>37.0</v>
      </c>
      <c r="E54" s="127">
        <v>677.0</v>
      </c>
      <c r="F54" s="127">
        <v>0.0</v>
      </c>
      <c r="G54" s="127">
        <v>15.0</v>
      </c>
      <c r="H54" s="80" t="b">
        <v>1</v>
      </c>
      <c r="I54" s="167" t="s">
        <v>25</v>
      </c>
      <c r="J54" s="127">
        <v>588.0</v>
      </c>
      <c r="K54" s="127">
        <v>104.0</v>
      </c>
      <c r="L54" s="127">
        <v>688.0</v>
      </c>
      <c r="M54" s="127">
        <v>0.0</v>
      </c>
      <c r="N54" s="127">
        <v>688.0</v>
      </c>
      <c r="O54" s="127">
        <v>0.0</v>
      </c>
      <c r="P54" s="127">
        <v>688.0</v>
      </c>
      <c r="Q54" s="127">
        <v>0.0</v>
      </c>
      <c r="R54" s="127">
        <v>688.0</v>
      </c>
      <c r="S54" s="127">
        <v>0.0</v>
      </c>
      <c r="T54" s="127">
        <v>688.0</v>
      </c>
      <c r="U54" s="127">
        <v>0.0</v>
      </c>
      <c r="V54" s="127">
        <v>0.0</v>
      </c>
      <c r="W54" s="127">
        <v>133.0</v>
      </c>
      <c r="X54" s="127">
        <v>133.0</v>
      </c>
      <c r="Y54" s="127">
        <v>128.0</v>
      </c>
      <c r="Z54" s="127">
        <v>476.0</v>
      </c>
      <c r="AA54" s="127">
        <v>0.0</v>
      </c>
      <c r="AB54" s="76">
        <v>678.0</v>
      </c>
      <c r="AC54" s="76">
        <v>678.0</v>
      </c>
      <c r="AD54" s="127">
        <v>3.0</v>
      </c>
      <c r="AE54" s="127">
        <v>0.0</v>
      </c>
      <c r="AF54" s="127">
        <v>3.0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65">
        <v>46082.0</v>
      </c>
      <c r="B55" s="127">
        <v>36.0</v>
      </c>
      <c r="C55" s="127">
        <v>659.0</v>
      </c>
      <c r="D55" s="127">
        <v>36.0</v>
      </c>
      <c r="E55" s="127">
        <v>675.0</v>
      </c>
      <c r="F55" s="127">
        <v>0.0</v>
      </c>
      <c r="G55" s="127">
        <v>20.0</v>
      </c>
      <c r="H55" s="80" t="b">
        <v>1</v>
      </c>
      <c r="I55" s="167" t="s">
        <v>25</v>
      </c>
      <c r="J55" s="127">
        <v>584.0</v>
      </c>
      <c r="K55" s="127">
        <v>111.0</v>
      </c>
      <c r="L55" s="127">
        <v>691.0</v>
      </c>
      <c r="M55" s="127">
        <v>0.0</v>
      </c>
      <c r="N55" s="127">
        <v>691.0</v>
      </c>
      <c r="O55" s="127">
        <v>0.0</v>
      </c>
      <c r="P55" s="127">
        <v>691.0</v>
      </c>
      <c r="Q55" s="127">
        <v>0.0</v>
      </c>
      <c r="R55" s="127">
        <v>691.0</v>
      </c>
      <c r="S55" s="127">
        <v>0.0</v>
      </c>
      <c r="T55" s="127">
        <v>691.0</v>
      </c>
      <c r="U55" s="127">
        <v>0.0</v>
      </c>
      <c r="V55" s="127">
        <v>0.0</v>
      </c>
      <c r="W55" s="127">
        <v>135.0</v>
      </c>
      <c r="X55" s="127">
        <v>135.0</v>
      </c>
      <c r="Y55" s="127">
        <v>127.0</v>
      </c>
      <c r="Z55" s="127">
        <v>0.0</v>
      </c>
      <c r="AA55" s="127">
        <v>0.0</v>
      </c>
      <c r="AB55" s="76">
        <v>676.0</v>
      </c>
      <c r="AC55" s="76">
        <v>676.0</v>
      </c>
      <c r="AD55" s="127">
        <v>0.0</v>
      </c>
      <c r="AE55" s="127">
        <v>0.0</v>
      </c>
      <c r="AF55" s="127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65">
        <v>46113.0</v>
      </c>
      <c r="B56" s="127">
        <v>35.0</v>
      </c>
      <c r="C56" s="127">
        <v>657.0</v>
      </c>
      <c r="D56" s="127">
        <v>35.0</v>
      </c>
      <c r="E56" s="127">
        <v>672.0</v>
      </c>
      <c r="F56" s="127">
        <v>0.0</v>
      </c>
      <c r="G56" s="127">
        <v>20.0</v>
      </c>
      <c r="H56" s="80" t="b">
        <v>1</v>
      </c>
      <c r="I56" s="167" t="s">
        <v>25</v>
      </c>
      <c r="J56" s="127">
        <v>589.0</v>
      </c>
      <c r="K56" s="127">
        <v>103.0</v>
      </c>
      <c r="L56" s="127">
        <v>688.0</v>
      </c>
      <c r="M56" s="127">
        <v>0.0</v>
      </c>
      <c r="N56" s="127">
        <v>688.0</v>
      </c>
      <c r="O56" s="127">
        <v>0.0</v>
      </c>
      <c r="P56" s="127">
        <v>688.0</v>
      </c>
      <c r="Q56" s="127">
        <v>0.0</v>
      </c>
      <c r="R56" s="127">
        <v>688.0</v>
      </c>
      <c r="S56" s="127">
        <v>0.0</v>
      </c>
      <c r="T56" s="127">
        <v>688.0</v>
      </c>
      <c r="U56" s="127">
        <v>0.0</v>
      </c>
      <c r="V56" s="127">
        <v>0.0</v>
      </c>
      <c r="W56" s="127">
        <v>134.0</v>
      </c>
      <c r="X56" s="127">
        <v>134.0</v>
      </c>
      <c r="Y56" s="127">
        <v>130.0</v>
      </c>
      <c r="Z56" s="127">
        <v>0.0</v>
      </c>
      <c r="AA56" s="127">
        <v>424.0</v>
      </c>
      <c r="AB56" s="76">
        <v>668.0</v>
      </c>
      <c r="AC56" s="76">
        <v>668.0</v>
      </c>
      <c r="AD56" s="127">
        <v>0.0</v>
      </c>
      <c r="AE56" s="127">
        <v>0.0</v>
      </c>
      <c r="AF56" s="127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65">
        <v>46143.0</v>
      </c>
      <c r="B57" s="127"/>
      <c r="C57" s="127"/>
      <c r="D57" s="127"/>
      <c r="E57" s="127"/>
      <c r="F57" s="127"/>
      <c r="G57" s="127"/>
      <c r="H57" s="80"/>
      <c r="I57" s="16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76"/>
      <c r="AC57" s="76"/>
      <c r="AD57" s="127"/>
      <c r="AE57" s="127"/>
      <c r="AF57" s="127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65">
        <v>46174.0</v>
      </c>
      <c r="B58" s="127"/>
      <c r="C58" s="127"/>
      <c r="D58" s="127"/>
      <c r="E58" s="127"/>
      <c r="F58" s="127"/>
      <c r="G58" s="127"/>
      <c r="H58" s="80"/>
      <c r="I58" s="16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76"/>
      <c r="AC58" s="76"/>
      <c r="AD58" s="127"/>
      <c r="AE58" s="127"/>
      <c r="AF58" s="127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65">
        <v>46204.0</v>
      </c>
      <c r="B59" s="127"/>
      <c r="C59" s="127"/>
      <c r="D59" s="127"/>
      <c r="E59" s="127"/>
      <c r="F59" s="127"/>
      <c r="G59" s="127"/>
      <c r="H59" s="80"/>
      <c r="I59" s="16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76"/>
      <c r="AC59" s="76"/>
      <c r="AD59" s="127"/>
      <c r="AE59" s="127"/>
      <c r="AF59" s="127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65">
        <v>46235.0</v>
      </c>
      <c r="B60" s="127"/>
      <c r="C60" s="127"/>
      <c r="D60" s="127"/>
      <c r="E60" s="127"/>
      <c r="F60" s="127"/>
      <c r="G60" s="127"/>
      <c r="H60" s="80"/>
      <c r="I60" s="16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79"/>
      <c r="AC60" s="79"/>
      <c r="AD60" s="127"/>
      <c r="AE60" s="127"/>
      <c r="AF60" s="127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65">
        <v>46266.0</v>
      </c>
      <c r="B61" s="127"/>
      <c r="C61" s="127"/>
      <c r="D61" s="127"/>
      <c r="E61" s="127"/>
      <c r="F61" s="127"/>
      <c r="G61" s="127"/>
      <c r="H61" s="80"/>
      <c r="I61" s="16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76"/>
      <c r="AC61" s="76"/>
      <c r="AD61" s="127"/>
      <c r="AE61" s="127"/>
      <c r="AF61" s="127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65">
        <v>46296.0</v>
      </c>
      <c r="B62" s="127"/>
      <c r="C62" s="127"/>
      <c r="D62" s="127"/>
      <c r="E62" s="127"/>
      <c r="F62" s="127"/>
      <c r="G62" s="127"/>
      <c r="H62" s="80"/>
      <c r="I62" s="16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78"/>
      <c r="AC62" s="78"/>
      <c r="AD62" s="127"/>
      <c r="AE62" s="127"/>
      <c r="AF62" s="127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65">
        <v>46327.0</v>
      </c>
      <c r="B63" s="127"/>
      <c r="C63" s="127"/>
      <c r="D63" s="127"/>
      <c r="E63" s="127"/>
      <c r="F63" s="127"/>
      <c r="G63" s="127"/>
      <c r="H63" s="80"/>
      <c r="I63" s="16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78"/>
      <c r="AC63" s="78"/>
      <c r="AD63" s="127"/>
      <c r="AE63" s="127"/>
      <c r="AF63" s="127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65">
        <v>46357.0</v>
      </c>
      <c r="B64" s="127"/>
      <c r="C64" s="127"/>
      <c r="D64" s="127"/>
      <c r="E64" s="127"/>
      <c r="F64" s="127"/>
      <c r="G64" s="127"/>
      <c r="H64" s="80"/>
      <c r="I64" s="16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78"/>
      <c r="AC64" s="78"/>
      <c r="AD64" s="127"/>
      <c r="AE64" s="127"/>
      <c r="AF64" s="127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68" t="s">
        <v>52</v>
      </c>
      <c r="B65" s="84">
        <f t="shared" ref="B65:AF65" si="3">SUM(B53:B64)</f>
        <v>143</v>
      </c>
      <c r="C65" s="84">
        <f t="shared" si="3"/>
        <v>2631</v>
      </c>
      <c r="D65" s="84">
        <f t="shared" si="3"/>
        <v>143</v>
      </c>
      <c r="E65" s="84">
        <f t="shared" si="3"/>
        <v>2697</v>
      </c>
      <c r="F65" s="84">
        <f t="shared" si="3"/>
        <v>0</v>
      </c>
      <c r="G65" s="84">
        <f t="shared" si="3"/>
        <v>76</v>
      </c>
      <c r="H65" s="84">
        <f t="shared" si="3"/>
        <v>0</v>
      </c>
      <c r="I65" s="84">
        <f t="shared" si="3"/>
        <v>0</v>
      </c>
      <c r="J65" s="84">
        <f t="shared" si="3"/>
        <v>2346</v>
      </c>
      <c r="K65" s="84">
        <f t="shared" si="3"/>
        <v>427</v>
      </c>
      <c r="L65" s="84">
        <f t="shared" si="3"/>
        <v>2757</v>
      </c>
      <c r="M65" s="84">
        <f t="shared" si="3"/>
        <v>0</v>
      </c>
      <c r="N65" s="84">
        <f t="shared" si="3"/>
        <v>2757</v>
      </c>
      <c r="O65" s="84">
        <f t="shared" si="3"/>
        <v>0</v>
      </c>
      <c r="P65" s="84">
        <f t="shared" si="3"/>
        <v>2757</v>
      </c>
      <c r="Q65" s="84">
        <f t="shared" si="3"/>
        <v>0</v>
      </c>
      <c r="R65" s="84">
        <f t="shared" si="3"/>
        <v>2757</v>
      </c>
      <c r="S65" s="84">
        <f t="shared" si="3"/>
        <v>0</v>
      </c>
      <c r="T65" s="84">
        <f t="shared" si="3"/>
        <v>2757</v>
      </c>
      <c r="U65" s="84">
        <f t="shared" si="3"/>
        <v>0</v>
      </c>
      <c r="V65" s="84">
        <f t="shared" si="3"/>
        <v>0</v>
      </c>
      <c r="W65" s="84">
        <f t="shared" si="3"/>
        <v>536</v>
      </c>
      <c r="X65" s="84">
        <f t="shared" si="3"/>
        <v>536</v>
      </c>
      <c r="Y65" s="84">
        <f t="shared" si="3"/>
        <v>515</v>
      </c>
      <c r="Z65" s="84">
        <f t="shared" si="3"/>
        <v>476</v>
      </c>
      <c r="AA65" s="84">
        <f t="shared" si="3"/>
        <v>424</v>
      </c>
      <c r="AB65" s="84">
        <f t="shared" si="3"/>
        <v>2690</v>
      </c>
      <c r="AC65" s="84">
        <f t="shared" si="3"/>
        <v>2690</v>
      </c>
      <c r="AD65" s="84">
        <f t="shared" si="3"/>
        <v>3</v>
      </c>
      <c r="AE65" s="84">
        <f t="shared" si="3"/>
        <v>2</v>
      </c>
      <c r="AF65" s="84">
        <f t="shared" si="3"/>
        <v>3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147" t="s">
        <v>323</v>
      </c>
      <c r="B68" s="91"/>
      <c r="C68" s="91"/>
      <c r="D68" s="91"/>
      <c r="E68" s="91"/>
      <c r="F68" s="91"/>
      <c r="G68" s="91"/>
      <c r="H68" s="9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92" t="s">
        <v>255</v>
      </c>
      <c r="B69" s="58" t="s">
        <v>258</v>
      </c>
      <c r="C69" s="59"/>
      <c r="D69" s="59"/>
      <c r="E69" s="59"/>
      <c r="F69" s="59"/>
      <c r="G69" s="60"/>
      <c r="H69" s="53" t="s">
        <v>324</v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8"/>
      <c r="X69" s="92" t="s">
        <v>325</v>
      </c>
      <c r="Y69" s="92" t="s">
        <v>325</v>
      </c>
      <c r="Z69" s="179"/>
      <c r="AA69" s="179"/>
      <c r="AB69" s="179"/>
      <c r="AC69" s="179"/>
      <c r="AD69" s="179"/>
      <c r="AE69" s="180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63"/>
      <c r="B70" s="58" t="s">
        <v>326</v>
      </c>
      <c r="C70" s="92" t="s">
        <v>327</v>
      </c>
      <c r="D70" s="135" t="s">
        <v>267</v>
      </c>
      <c r="E70" s="8"/>
      <c r="F70" s="53" t="s">
        <v>268</v>
      </c>
      <c r="G70" s="8"/>
      <c r="H70" s="53" t="s">
        <v>328</v>
      </c>
      <c r="I70" s="25"/>
      <c r="J70" s="25"/>
      <c r="K70" s="25"/>
      <c r="L70" s="8"/>
      <c r="M70" s="53" t="s">
        <v>329</v>
      </c>
      <c r="N70" s="25"/>
      <c r="O70" s="25"/>
      <c r="P70" s="25"/>
      <c r="Q70" s="25"/>
      <c r="R70" s="25"/>
      <c r="S70" s="25"/>
      <c r="T70" s="25"/>
      <c r="U70" s="8"/>
      <c r="V70" s="58" t="s">
        <v>272</v>
      </c>
      <c r="W70" s="169" t="s">
        <v>330</v>
      </c>
      <c r="X70" s="169" t="s">
        <v>331</v>
      </c>
      <c r="Y70" s="169" t="s">
        <v>332</v>
      </c>
      <c r="Z70" s="179"/>
      <c r="AA70" s="179"/>
      <c r="AB70" s="179"/>
      <c r="AC70" s="179"/>
      <c r="AE70" s="90"/>
      <c r="AF70" s="90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63"/>
      <c r="B71" s="181" t="s">
        <v>333</v>
      </c>
      <c r="C71" s="169" t="s">
        <v>333</v>
      </c>
      <c r="D71" s="182" t="s">
        <v>334</v>
      </c>
      <c r="E71" s="92" t="s">
        <v>335</v>
      </c>
      <c r="F71" s="92" t="s">
        <v>334</v>
      </c>
      <c r="G71" s="92" t="s">
        <v>335</v>
      </c>
      <c r="H71" s="92" t="s">
        <v>336</v>
      </c>
      <c r="I71" s="92" t="s">
        <v>337</v>
      </c>
      <c r="J71" s="92" t="s">
        <v>311</v>
      </c>
      <c r="K71" s="92" t="s">
        <v>338</v>
      </c>
      <c r="L71" s="92" t="s">
        <v>339</v>
      </c>
      <c r="M71" s="92" t="s">
        <v>340</v>
      </c>
      <c r="N71" s="53" t="s">
        <v>271</v>
      </c>
      <c r="O71" s="25"/>
      <c r="P71" s="8"/>
      <c r="Q71" s="53" t="s">
        <v>341</v>
      </c>
      <c r="R71" s="25"/>
      <c r="S71" s="8"/>
      <c r="T71" s="183" t="s">
        <v>342</v>
      </c>
      <c r="U71" s="8"/>
      <c r="V71" s="184" t="s">
        <v>343</v>
      </c>
      <c r="W71" s="169" t="s">
        <v>344</v>
      </c>
      <c r="X71" s="169" t="s">
        <v>345</v>
      </c>
      <c r="Y71" s="169" t="s">
        <v>346</v>
      </c>
      <c r="Z71" s="180"/>
      <c r="AA71" s="185"/>
      <c r="AB71" s="180"/>
      <c r="AC71" s="180"/>
      <c r="AE71" s="90"/>
      <c r="AF71" s="9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0"/>
      <c r="B72" s="186"/>
      <c r="C72" s="177"/>
      <c r="D72" s="46"/>
      <c r="E72" s="10"/>
      <c r="F72" s="10"/>
      <c r="G72" s="10"/>
      <c r="H72" s="10"/>
      <c r="I72" s="10"/>
      <c r="J72" s="10"/>
      <c r="K72" s="10"/>
      <c r="L72" s="10"/>
      <c r="M72" s="10"/>
      <c r="N72" s="95" t="s">
        <v>347</v>
      </c>
      <c r="O72" s="171" t="s">
        <v>311</v>
      </c>
      <c r="P72" s="95" t="s">
        <v>348</v>
      </c>
      <c r="Q72" s="95" t="s">
        <v>347</v>
      </c>
      <c r="R72" s="95" t="s">
        <v>311</v>
      </c>
      <c r="S72" s="95" t="s">
        <v>348</v>
      </c>
      <c r="T72" s="95" t="s">
        <v>349</v>
      </c>
      <c r="U72" s="53" t="s">
        <v>350</v>
      </c>
      <c r="V72" s="187" t="s">
        <v>272</v>
      </c>
      <c r="W72" s="171" t="s">
        <v>351</v>
      </c>
      <c r="X72" s="171" t="s">
        <v>320</v>
      </c>
      <c r="Y72" s="171" t="s">
        <v>352</v>
      </c>
      <c r="Z72" s="188"/>
      <c r="AA72" s="188"/>
      <c r="AB72" s="188"/>
      <c r="AC72" s="188"/>
      <c r="AD72" s="188"/>
      <c r="AE72" s="188"/>
      <c r="AF72" s="18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73">
        <v>1.0</v>
      </c>
      <c r="B73" s="177">
        <v>2.0</v>
      </c>
      <c r="C73" s="177">
        <v>3.0</v>
      </c>
      <c r="D73" s="173"/>
      <c r="E73" s="173">
        <v>5.0</v>
      </c>
      <c r="F73" s="173">
        <v>6.0</v>
      </c>
      <c r="G73" s="173">
        <v>7.0</v>
      </c>
      <c r="H73" s="173">
        <v>8.0</v>
      </c>
      <c r="I73" s="174">
        <v>9.0</v>
      </c>
      <c r="J73" s="174">
        <v>10.0</v>
      </c>
      <c r="K73" s="174">
        <v>11.0</v>
      </c>
      <c r="L73" s="174">
        <v>12.0</v>
      </c>
      <c r="M73" s="174">
        <v>13.0</v>
      </c>
      <c r="N73" s="174">
        <v>14.0</v>
      </c>
      <c r="O73" s="175">
        <v>15.0</v>
      </c>
      <c r="P73" s="174">
        <v>16.0</v>
      </c>
      <c r="Q73" s="174">
        <v>17.0</v>
      </c>
      <c r="R73" s="175">
        <v>18.0</v>
      </c>
      <c r="S73" s="174">
        <v>19.0</v>
      </c>
      <c r="T73" s="174">
        <v>20.0</v>
      </c>
      <c r="U73" s="173">
        <v>21.0</v>
      </c>
      <c r="V73" s="177">
        <v>22.0</v>
      </c>
      <c r="W73" s="177">
        <v>23.0</v>
      </c>
      <c r="X73" s="177">
        <v>24.0</v>
      </c>
      <c r="Y73" s="177">
        <v>25.0</v>
      </c>
      <c r="Z73" s="188"/>
      <c r="AA73" s="188"/>
      <c r="AB73" s="188"/>
      <c r="AC73" s="188"/>
      <c r="AD73" s="188"/>
      <c r="AE73" s="188"/>
      <c r="AF73" s="18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65">
        <v>46023.0</v>
      </c>
      <c r="B74" s="166">
        <v>2858.0</v>
      </c>
      <c r="C74" s="189">
        <v>1070.0</v>
      </c>
      <c r="D74" s="166">
        <v>2344.0</v>
      </c>
      <c r="E74" s="166">
        <v>856.0</v>
      </c>
      <c r="F74" s="166">
        <v>514.0</v>
      </c>
      <c r="G74" s="166">
        <v>214.0</v>
      </c>
      <c r="H74" s="80">
        <v>22.0</v>
      </c>
      <c r="I74" s="167">
        <v>79.0</v>
      </c>
      <c r="J74" s="167">
        <v>3800.0</v>
      </c>
      <c r="K74" s="167">
        <v>27.0</v>
      </c>
      <c r="L74" s="167">
        <v>0.0</v>
      </c>
      <c r="M74" s="167">
        <v>3800.0</v>
      </c>
      <c r="N74" s="167">
        <v>20.0</v>
      </c>
      <c r="O74" s="127">
        <v>3780.0</v>
      </c>
      <c r="P74" s="127">
        <v>0.0</v>
      </c>
      <c r="Q74" s="127">
        <v>0.0</v>
      </c>
      <c r="R74" s="127">
        <v>0.0</v>
      </c>
      <c r="S74" s="127">
        <v>0.0</v>
      </c>
      <c r="T74" s="127">
        <v>0.0</v>
      </c>
      <c r="U74" s="166">
        <v>1412.0</v>
      </c>
      <c r="V74" s="166">
        <v>15.0</v>
      </c>
      <c r="W74" s="167">
        <v>3800.0</v>
      </c>
      <c r="X74" s="167">
        <v>3800.0</v>
      </c>
      <c r="Y74" s="166">
        <v>0.0</v>
      </c>
      <c r="Z74" s="91"/>
      <c r="AA74" s="190"/>
      <c r="AB74" s="91"/>
      <c r="AC74" s="91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65">
        <v>46054.0</v>
      </c>
      <c r="B75" s="127">
        <v>2860.0</v>
      </c>
      <c r="C75" s="127">
        <v>1070.0</v>
      </c>
      <c r="D75" s="127">
        <v>2340.0</v>
      </c>
      <c r="E75" s="127">
        <v>859.0</v>
      </c>
      <c r="F75" s="127">
        <v>520.0</v>
      </c>
      <c r="G75" s="127">
        <v>211.0</v>
      </c>
      <c r="H75" s="127">
        <v>22.0</v>
      </c>
      <c r="I75" s="127">
        <v>79.0</v>
      </c>
      <c r="J75" s="127">
        <v>3802.0</v>
      </c>
      <c r="K75" s="127">
        <v>27.0</v>
      </c>
      <c r="L75" s="127">
        <v>0.0</v>
      </c>
      <c r="M75" s="127">
        <v>3802.0</v>
      </c>
      <c r="N75" s="127">
        <v>18.0</v>
      </c>
      <c r="O75" s="127">
        <v>3782.0</v>
      </c>
      <c r="P75" s="127">
        <v>0.0</v>
      </c>
      <c r="Q75" s="127">
        <v>0.0</v>
      </c>
      <c r="R75" s="127">
        <v>0.0</v>
      </c>
      <c r="S75" s="127">
        <v>0.0</v>
      </c>
      <c r="T75" s="127">
        <v>0.0</v>
      </c>
      <c r="U75" s="127">
        <v>1412.0</v>
      </c>
      <c r="V75" s="127">
        <v>15.0</v>
      </c>
      <c r="W75" s="127">
        <v>3802.0</v>
      </c>
      <c r="X75" s="127">
        <v>3802.0</v>
      </c>
      <c r="Y75" s="127">
        <v>0.0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65">
        <v>46082.0</v>
      </c>
      <c r="B76" s="127">
        <v>2853.0</v>
      </c>
      <c r="C76" s="127">
        <v>1069.0</v>
      </c>
      <c r="D76" s="127">
        <v>2287.0</v>
      </c>
      <c r="E76" s="127">
        <v>860.0</v>
      </c>
      <c r="F76" s="127">
        <v>566.0</v>
      </c>
      <c r="G76" s="127">
        <v>209.0</v>
      </c>
      <c r="H76" s="127">
        <v>22.0</v>
      </c>
      <c r="I76" s="127">
        <v>79.0</v>
      </c>
      <c r="J76" s="127">
        <v>3794.0</v>
      </c>
      <c r="K76" s="127">
        <v>27.0</v>
      </c>
      <c r="L76" s="127">
        <v>0.0</v>
      </c>
      <c r="M76" s="127">
        <v>3794.0</v>
      </c>
      <c r="N76" s="127">
        <v>20.0</v>
      </c>
      <c r="O76" s="127">
        <v>2774.0</v>
      </c>
      <c r="P76" s="127">
        <v>1.0</v>
      </c>
      <c r="Q76" s="127">
        <v>0.0</v>
      </c>
      <c r="R76" s="127">
        <v>0.0</v>
      </c>
      <c r="S76" s="127">
        <v>0.0</v>
      </c>
      <c r="T76" s="127">
        <v>0.0</v>
      </c>
      <c r="U76" s="127">
        <v>1412.0</v>
      </c>
      <c r="V76" s="127">
        <v>15.0</v>
      </c>
      <c r="W76" s="127">
        <v>3794.0</v>
      </c>
      <c r="X76" s="127">
        <v>3794.0</v>
      </c>
      <c r="Y76" s="127">
        <v>0.0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65">
        <v>46113.0</v>
      </c>
      <c r="B77" s="127">
        <v>2859.0</v>
      </c>
      <c r="C77" s="127">
        <v>1075.0</v>
      </c>
      <c r="D77" s="127">
        <v>2344.0</v>
      </c>
      <c r="E77" s="127">
        <v>844.0</v>
      </c>
      <c r="F77" s="127">
        <v>515.0</v>
      </c>
      <c r="G77" s="127">
        <v>231.0</v>
      </c>
      <c r="H77" s="127">
        <v>22.0</v>
      </c>
      <c r="I77" s="127">
        <v>79.0</v>
      </c>
      <c r="J77" s="127">
        <v>2835.0</v>
      </c>
      <c r="K77" s="127">
        <v>27.0</v>
      </c>
      <c r="L77" s="127">
        <v>0.0</v>
      </c>
      <c r="M77" s="127">
        <v>2835.0</v>
      </c>
      <c r="N77" s="127">
        <v>16.0</v>
      </c>
      <c r="O77" s="127">
        <v>3815.0</v>
      </c>
      <c r="P77" s="127">
        <v>0.0</v>
      </c>
      <c r="Q77" s="127">
        <v>0.0</v>
      </c>
      <c r="R77" s="127">
        <v>0.0</v>
      </c>
      <c r="S77" s="127">
        <v>0.0</v>
      </c>
      <c r="T77" s="127">
        <v>0.0</v>
      </c>
      <c r="U77" s="127">
        <v>1413.0</v>
      </c>
      <c r="V77" s="127">
        <v>15.0</v>
      </c>
      <c r="W77" s="127">
        <v>2835.0</v>
      </c>
      <c r="X77" s="127">
        <v>2835.0</v>
      </c>
      <c r="Y77" s="127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65">
        <v>46143.0</v>
      </c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65">
        <v>46174.0</v>
      </c>
      <c r="B79" s="127"/>
      <c r="C79" s="166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65">
        <v>46204.0</v>
      </c>
      <c r="B80" s="127"/>
      <c r="C80" s="189"/>
      <c r="D80" s="127"/>
      <c r="E80" s="166"/>
      <c r="F80" s="127"/>
      <c r="G80" s="166"/>
      <c r="H80" s="127"/>
      <c r="I80" s="127"/>
      <c r="J80" s="167"/>
      <c r="K80" s="127"/>
      <c r="L80" s="127"/>
      <c r="M80" s="167"/>
      <c r="N80" s="127"/>
      <c r="O80" s="127"/>
      <c r="P80" s="127"/>
      <c r="Q80" s="127"/>
      <c r="R80" s="127"/>
      <c r="S80" s="127"/>
      <c r="T80" s="127"/>
      <c r="U80" s="127"/>
      <c r="V80" s="127"/>
      <c r="W80" s="167"/>
      <c r="X80" s="167"/>
      <c r="Y80" s="127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65">
        <v>46235.0</v>
      </c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65">
        <v>46266.0</v>
      </c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65">
        <v>46296.0</v>
      </c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65">
        <v>46327.0</v>
      </c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65">
        <v>46357.0</v>
      </c>
      <c r="B85" s="127"/>
      <c r="C85" s="166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68" t="s">
        <v>52</v>
      </c>
      <c r="B86" s="84">
        <f t="shared" ref="B86:Y86" si="4">SUM(B74:B85)</f>
        <v>11430</v>
      </c>
      <c r="C86" s="84">
        <f t="shared" si="4"/>
        <v>4284</v>
      </c>
      <c r="D86" s="84">
        <f t="shared" si="4"/>
        <v>9315</v>
      </c>
      <c r="E86" s="84">
        <f t="shared" si="4"/>
        <v>3419</v>
      </c>
      <c r="F86" s="84">
        <f t="shared" si="4"/>
        <v>2115</v>
      </c>
      <c r="G86" s="84">
        <f t="shared" si="4"/>
        <v>865</v>
      </c>
      <c r="H86" s="84">
        <f t="shared" si="4"/>
        <v>88</v>
      </c>
      <c r="I86" s="84">
        <f t="shared" si="4"/>
        <v>316</v>
      </c>
      <c r="J86" s="84">
        <f t="shared" si="4"/>
        <v>14231</v>
      </c>
      <c r="K86" s="84">
        <f t="shared" si="4"/>
        <v>108</v>
      </c>
      <c r="L86" s="84">
        <f t="shared" si="4"/>
        <v>0</v>
      </c>
      <c r="M86" s="84">
        <f t="shared" si="4"/>
        <v>14231</v>
      </c>
      <c r="N86" s="84">
        <f t="shared" si="4"/>
        <v>74</v>
      </c>
      <c r="O86" s="84">
        <f t="shared" si="4"/>
        <v>14151</v>
      </c>
      <c r="P86" s="84">
        <f t="shared" si="4"/>
        <v>1</v>
      </c>
      <c r="Q86" s="84">
        <f t="shared" si="4"/>
        <v>0</v>
      </c>
      <c r="R86" s="84">
        <f t="shared" si="4"/>
        <v>0</v>
      </c>
      <c r="S86" s="84">
        <f t="shared" si="4"/>
        <v>0</v>
      </c>
      <c r="T86" s="84">
        <f t="shared" si="4"/>
        <v>0</v>
      </c>
      <c r="U86" s="84">
        <f t="shared" si="4"/>
        <v>5649</v>
      </c>
      <c r="V86" s="84">
        <f t="shared" si="4"/>
        <v>60</v>
      </c>
      <c r="W86" s="84">
        <f t="shared" si="4"/>
        <v>14231</v>
      </c>
      <c r="X86" s="84">
        <f t="shared" si="4"/>
        <v>14231</v>
      </c>
      <c r="Y86" s="84">
        <f t="shared" si="4"/>
        <v>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147" t="s">
        <v>353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55" t="s">
        <v>255</v>
      </c>
      <c r="B90" s="135" t="s">
        <v>354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8"/>
      <c r="AK90" s="191" t="s">
        <v>355</v>
      </c>
      <c r="AL90" s="192" t="s">
        <v>325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63"/>
      <c r="B91" s="53" t="s">
        <v>328</v>
      </c>
      <c r="C91" s="25"/>
      <c r="D91" s="25"/>
      <c r="E91" s="25"/>
      <c r="F91" s="8"/>
      <c r="G91" s="53" t="s">
        <v>356</v>
      </c>
      <c r="H91" s="25"/>
      <c r="I91" s="25"/>
      <c r="J91" s="25"/>
      <c r="K91" s="25"/>
      <c r="L91" s="25"/>
      <c r="M91" s="25"/>
      <c r="N91" s="25"/>
      <c r="O91" s="25"/>
      <c r="P91" s="25"/>
      <c r="Q91" s="8"/>
      <c r="R91" s="58" t="s">
        <v>357</v>
      </c>
      <c r="S91" s="60"/>
      <c r="T91" s="135" t="s">
        <v>358</v>
      </c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8"/>
      <c r="AK91" s="193" t="s">
        <v>359</v>
      </c>
      <c r="AL91" s="194" t="s">
        <v>359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63"/>
      <c r="B92" s="92" t="s">
        <v>336</v>
      </c>
      <c r="C92" s="92" t="s">
        <v>337</v>
      </c>
      <c r="D92" s="92" t="s">
        <v>311</v>
      </c>
      <c r="E92" s="92" t="s">
        <v>338</v>
      </c>
      <c r="F92" s="92" t="s">
        <v>339</v>
      </c>
      <c r="G92" s="53" t="s">
        <v>340</v>
      </c>
      <c r="H92" s="8"/>
      <c r="I92" s="53" t="s">
        <v>271</v>
      </c>
      <c r="J92" s="25"/>
      <c r="K92" s="25"/>
      <c r="L92" s="183" t="s">
        <v>341</v>
      </c>
      <c r="M92" s="25"/>
      <c r="N92" s="8"/>
      <c r="O92" s="195" t="s">
        <v>360</v>
      </c>
      <c r="P92" s="25"/>
      <c r="Q92" s="8"/>
      <c r="R92" s="92" t="s">
        <v>348</v>
      </c>
      <c r="S92" s="92" t="s">
        <v>311</v>
      </c>
      <c r="T92" s="135" t="s">
        <v>361</v>
      </c>
      <c r="U92" s="25"/>
      <c r="V92" s="25"/>
      <c r="W92" s="25"/>
      <c r="X92" s="8"/>
      <c r="Y92" s="53" t="s">
        <v>362</v>
      </c>
      <c r="Z92" s="25"/>
      <c r="AA92" s="25"/>
      <c r="AB92" s="8"/>
      <c r="AC92" s="53" t="s">
        <v>362</v>
      </c>
      <c r="AD92" s="25"/>
      <c r="AE92" s="25"/>
      <c r="AF92" s="8"/>
      <c r="AG92" s="53" t="s">
        <v>362</v>
      </c>
      <c r="AH92" s="25"/>
      <c r="AI92" s="25"/>
      <c r="AJ92" s="8"/>
      <c r="AK92" s="193" t="s">
        <v>358</v>
      </c>
      <c r="AL92" s="194" t="s">
        <v>358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63"/>
      <c r="C93" s="63"/>
      <c r="D93" s="63"/>
      <c r="E93" s="63"/>
      <c r="F93" s="63"/>
      <c r="G93" s="196" t="s">
        <v>363</v>
      </c>
      <c r="H93" s="197" t="s">
        <v>364</v>
      </c>
      <c r="I93" s="169" t="s">
        <v>347</v>
      </c>
      <c r="J93" s="92" t="s">
        <v>311</v>
      </c>
      <c r="K93" s="92" t="s">
        <v>348</v>
      </c>
      <c r="L93" s="92" t="s">
        <v>347</v>
      </c>
      <c r="M93" s="92" t="s">
        <v>311</v>
      </c>
      <c r="N93" s="92" t="s">
        <v>348</v>
      </c>
      <c r="O93" s="135" t="s">
        <v>365</v>
      </c>
      <c r="P93" s="25"/>
      <c r="Q93" s="8"/>
      <c r="R93" s="10"/>
      <c r="S93" s="10"/>
      <c r="T93" s="95" t="s">
        <v>366</v>
      </c>
      <c r="U93" s="53" t="s">
        <v>367</v>
      </c>
      <c r="V93" s="8"/>
      <c r="W93" s="53" t="s">
        <v>368</v>
      </c>
      <c r="X93" s="8"/>
      <c r="Y93" s="53" t="s">
        <v>369</v>
      </c>
      <c r="Z93" s="8"/>
      <c r="AA93" s="66" t="s">
        <v>370</v>
      </c>
      <c r="AB93" s="46"/>
      <c r="AC93" s="53" t="s">
        <v>371</v>
      </c>
      <c r="AD93" s="8"/>
      <c r="AE93" s="66" t="s">
        <v>372</v>
      </c>
      <c r="AF93" s="46"/>
      <c r="AG93" s="53" t="s">
        <v>373</v>
      </c>
      <c r="AH93" s="8"/>
      <c r="AI93" s="66" t="s">
        <v>374</v>
      </c>
      <c r="AJ93" s="46"/>
      <c r="AK93" s="193" t="s">
        <v>375</v>
      </c>
      <c r="AL93" s="194" t="s">
        <v>352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53" t="s">
        <v>376</v>
      </c>
      <c r="P94" s="95" t="s">
        <v>377</v>
      </c>
      <c r="Q94" s="95" t="s">
        <v>378</v>
      </c>
      <c r="R94" s="171" t="s">
        <v>376</v>
      </c>
      <c r="S94" s="95" t="s">
        <v>379</v>
      </c>
      <c r="T94" s="198" t="s">
        <v>380</v>
      </c>
      <c r="U94" s="198" t="s">
        <v>381</v>
      </c>
      <c r="V94" s="198" t="s">
        <v>382</v>
      </c>
      <c r="W94" s="95" t="s">
        <v>383</v>
      </c>
      <c r="X94" s="95" t="s">
        <v>384</v>
      </c>
      <c r="Y94" s="95" t="s">
        <v>285</v>
      </c>
      <c r="Z94" s="53" t="s">
        <v>283</v>
      </c>
      <c r="AA94" s="171" t="s">
        <v>285</v>
      </c>
      <c r="AB94" s="172" t="s">
        <v>283</v>
      </c>
      <c r="AC94" s="95" t="s">
        <v>285</v>
      </c>
      <c r="AD94" s="53" t="s">
        <v>283</v>
      </c>
      <c r="AE94" s="171" t="s">
        <v>285</v>
      </c>
      <c r="AF94" s="172" t="s">
        <v>283</v>
      </c>
      <c r="AG94" s="95" t="s">
        <v>285</v>
      </c>
      <c r="AH94" s="53" t="s">
        <v>283</v>
      </c>
      <c r="AI94" s="171" t="s">
        <v>285</v>
      </c>
      <c r="AJ94" s="135" t="s">
        <v>283</v>
      </c>
      <c r="AK94" s="199" t="s">
        <v>320</v>
      </c>
      <c r="AL94" s="200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201">
        <v>1.0</v>
      </c>
      <c r="B95" s="202">
        <v>2.0</v>
      </c>
      <c r="C95" s="202">
        <v>3.0</v>
      </c>
      <c r="D95" s="202">
        <v>4.0</v>
      </c>
      <c r="E95" s="202">
        <v>5.0</v>
      </c>
      <c r="F95" s="202">
        <v>6.0</v>
      </c>
      <c r="G95" s="202">
        <v>7.0</v>
      </c>
      <c r="H95" s="202">
        <v>8.0</v>
      </c>
      <c r="I95" s="203">
        <v>9.0</v>
      </c>
      <c r="J95" s="202">
        <v>10.0</v>
      </c>
      <c r="K95" s="202">
        <v>11.0</v>
      </c>
      <c r="L95" s="203">
        <v>12.0</v>
      </c>
      <c r="M95" s="202">
        <v>13.0</v>
      </c>
      <c r="N95" s="202">
        <v>14.0</v>
      </c>
      <c r="O95" s="202">
        <v>15.0</v>
      </c>
      <c r="P95" s="201">
        <v>16.0</v>
      </c>
      <c r="Q95" s="201">
        <v>17.0</v>
      </c>
      <c r="R95" s="204">
        <v>18.0</v>
      </c>
      <c r="S95" s="201">
        <v>19.0</v>
      </c>
      <c r="T95" s="201">
        <v>20.0</v>
      </c>
      <c r="U95" s="201">
        <v>21.0</v>
      </c>
      <c r="V95" s="201">
        <v>22.0</v>
      </c>
      <c r="W95" s="201">
        <v>23.0</v>
      </c>
      <c r="X95" s="201">
        <v>24.0</v>
      </c>
      <c r="Y95" s="201">
        <v>25.0</v>
      </c>
      <c r="Z95" s="205">
        <v>26.0</v>
      </c>
      <c r="AA95" s="204">
        <v>27.0</v>
      </c>
      <c r="AB95" s="206">
        <v>28.0</v>
      </c>
      <c r="AC95" s="201">
        <v>29.0</v>
      </c>
      <c r="AD95" s="201">
        <v>30.0</v>
      </c>
      <c r="AE95" s="201">
        <v>31.0</v>
      </c>
      <c r="AF95" s="201">
        <v>32.0</v>
      </c>
      <c r="AG95" s="202">
        <v>33.0</v>
      </c>
      <c r="AH95" s="202">
        <v>34.0</v>
      </c>
      <c r="AI95" s="202">
        <v>35.0</v>
      </c>
      <c r="AJ95" s="202">
        <v>36.0</v>
      </c>
      <c r="AK95" s="175">
        <v>37.0</v>
      </c>
      <c r="AL95" s="175">
        <v>38.0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65">
        <v>46023.0</v>
      </c>
      <c r="B96" s="123">
        <v>2.0</v>
      </c>
      <c r="C96" s="123">
        <v>4.0</v>
      </c>
      <c r="D96" s="123">
        <v>0.0</v>
      </c>
      <c r="E96" s="123">
        <v>4.0</v>
      </c>
      <c r="F96" s="123">
        <v>0.0</v>
      </c>
      <c r="G96" s="123">
        <v>4.0</v>
      </c>
      <c r="H96" s="123">
        <v>6.0</v>
      </c>
      <c r="I96" s="123">
        <v>4.0</v>
      </c>
      <c r="J96" s="123">
        <v>1785.0</v>
      </c>
      <c r="K96" s="123">
        <v>54.0</v>
      </c>
      <c r="L96" s="123">
        <v>4.0</v>
      </c>
      <c r="M96" s="123">
        <v>1785.0</v>
      </c>
      <c r="N96" s="123">
        <v>54.0</v>
      </c>
      <c r="O96" s="123">
        <v>0.0</v>
      </c>
      <c r="P96" s="123">
        <v>0.0</v>
      </c>
      <c r="Q96" s="123">
        <v>0.0</v>
      </c>
      <c r="R96" s="123">
        <v>0.0</v>
      </c>
      <c r="S96" s="123">
        <v>0.0</v>
      </c>
      <c r="T96" s="123">
        <v>0.0</v>
      </c>
      <c r="U96" s="123">
        <v>0.0</v>
      </c>
      <c r="V96" s="123">
        <v>0.0</v>
      </c>
      <c r="W96" s="123">
        <v>0.0</v>
      </c>
      <c r="X96" s="123">
        <v>0.0</v>
      </c>
      <c r="Y96" s="123">
        <v>0.0</v>
      </c>
      <c r="Z96" s="123">
        <v>0.0</v>
      </c>
      <c r="AA96" s="123">
        <v>0.0</v>
      </c>
      <c r="AB96" s="123">
        <v>0.0</v>
      </c>
      <c r="AC96" s="123">
        <v>0.0</v>
      </c>
      <c r="AD96" s="123">
        <v>0.0</v>
      </c>
      <c r="AE96" s="123">
        <v>0.0</v>
      </c>
      <c r="AF96" s="123">
        <v>0.0</v>
      </c>
      <c r="AG96" s="123">
        <v>0.0</v>
      </c>
      <c r="AH96" s="123">
        <v>0.0</v>
      </c>
      <c r="AI96" s="123">
        <v>0.0</v>
      </c>
      <c r="AJ96" s="123">
        <v>0.0</v>
      </c>
      <c r="AK96" s="123">
        <v>1785.0</v>
      </c>
      <c r="AL96" s="123">
        <v>0.0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65">
        <v>46054.0</v>
      </c>
      <c r="B97" s="123">
        <v>1.0</v>
      </c>
      <c r="C97" s="123">
        <v>3.0</v>
      </c>
      <c r="D97" s="123">
        <v>0.0</v>
      </c>
      <c r="E97" s="123">
        <v>6.0</v>
      </c>
      <c r="F97" s="123">
        <v>0.0</v>
      </c>
      <c r="G97" s="123">
        <v>6.0</v>
      </c>
      <c r="H97" s="123">
        <v>7.0</v>
      </c>
      <c r="I97" s="123">
        <v>6.0</v>
      </c>
      <c r="J97" s="123">
        <v>1782.0</v>
      </c>
      <c r="K97" s="123">
        <v>44.0</v>
      </c>
      <c r="L97" s="123">
        <v>6.0</v>
      </c>
      <c r="M97" s="123">
        <v>1782.0</v>
      </c>
      <c r="N97" s="123">
        <v>44.0</v>
      </c>
      <c r="O97" s="123">
        <v>0.0</v>
      </c>
      <c r="P97" s="123">
        <v>0.0</v>
      </c>
      <c r="Q97" s="123">
        <v>0.0</v>
      </c>
      <c r="R97" s="123">
        <v>0.0</v>
      </c>
      <c r="S97" s="123">
        <v>0.0</v>
      </c>
      <c r="T97" s="123">
        <v>0.0</v>
      </c>
      <c r="U97" s="123">
        <v>0.0</v>
      </c>
      <c r="V97" s="123">
        <v>0.0</v>
      </c>
      <c r="W97" s="123">
        <v>0.0</v>
      </c>
      <c r="X97" s="123">
        <v>0.0</v>
      </c>
      <c r="Y97" s="123">
        <v>0.0</v>
      </c>
      <c r="Z97" s="123">
        <v>0.0</v>
      </c>
      <c r="AA97" s="123">
        <v>0.0</v>
      </c>
      <c r="AB97" s="123">
        <v>0.0</v>
      </c>
      <c r="AC97" s="123">
        <v>0.0</v>
      </c>
      <c r="AD97" s="123">
        <v>0.0</v>
      </c>
      <c r="AE97" s="123">
        <v>0.0</v>
      </c>
      <c r="AF97" s="123">
        <v>0.0</v>
      </c>
      <c r="AG97" s="123">
        <v>0.0</v>
      </c>
      <c r="AH97" s="123">
        <v>0.0</v>
      </c>
      <c r="AI97" s="123">
        <v>0.0</v>
      </c>
      <c r="AJ97" s="123">
        <v>0.0</v>
      </c>
      <c r="AK97" s="123">
        <v>1782.0</v>
      </c>
      <c r="AL97" s="123">
        <v>0.0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65">
        <v>46082.0</v>
      </c>
      <c r="B98" s="123">
        <v>1.0</v>
      </c>
      <c r="C98" s="123">
        <v>4.0</v>
      </c>
      <c r="D98" s="123">
        <v>0.0</v>
      </c>
      <c r="E98" s="123">
        <v>7.0</v>
      </c>
      <c r="F98" s="123">
        <v>0.0</v>
      </c>
      <c r="G98" s="123">
        <v>7.0</v>
      </c>
      <c r="H98" s="123">
        <v>5.0</v>
      </c>
      <c r="I98" s="123">
        <v>7.0</v>
      </c>
      <c r="J98" s="123">
        <v>1784.0</v>
      </c>
      <c r="K98" s="123">
        <v>37.0</v>
      </c>
      <c r="L98" s="123">
        <v>7.0</v>
      </c>
      <c r="M98" s="123">
        <v>1784.0</v>
      </c>
      <c r="N98" s="123">
        <v>37.0</v>
      </c>
      <c r="O98" s="123">
        <v>0.0</v>
      </c>
      <c r="P98" s="123">
        <v>0.0</v>
      </c>
      <c r="Q98" s="123">
        <v>0.0</v>
      </c>
      <c r="R98" s="123">
        <v>0.0</v>
      </c>
      <c r="S98" s="123">
        <v>0.0</v>
      </c>
      <c r="T98" s="123">
        <v>0.0</v>
      </c>
      <c r="U98" s="123">
        <v>0.0</v>
      </c>
      <c r="V98" s="123">
        <v>0.0</v>
      </c>
      <c r="W98" s="123">
        <v>0.0</v>
      </c>
      <c r="X98" s="123">
        <v>0.0</v>
      </c>
      <c r="Y98" s="123">
        <v>0.0</v>
      </c>
      <c r="Z98" s="123">
        <v>0.0</v>
      </c>
      <c r="AA98" s="123">
        <v>0.0</v>
      </c>
      <c r="AB98" s="123">
        <v>0.0</v>
      </c>
      <c r="AC98" s="123">
        <v>0.0</v>
      </c>
      <c r="AD98" s="123">
        <v>0.0</v>
      </c>
      <c r="AE98" s="123">
        <v>0.0</v>
      </c>
      <c r="AF98" s="123">
        <v>0.0</v>
      </c>
      <c r="AG98" s="123">
        <v>0.0</v>
      </c>
      <c r="AH98" s="123">
        <v>0.0</v>
      </c>
      <c r="AI98" s="123">
        <v>0.0</v>
      </c>
      <c r="AJ98" s="123">
        <v>0.0</v>
      </c>
      <c r="AK98" s="123">
        <v>1784.0</v>
      </c>
      <c r="AL98" s="123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65">
        <v>46113.0</v>
      </c>
      <c r="B99" s="123">
        <v>1.0</v>
      </c>
      <c r="C99" s="123">
        <v>2.0</v>
      </c>
      <c r="D99" s="123">
        <v>0.0</v>
      </c>
      <c r="E99" s="123">
        <v>5.0</v>
      </c>
      <c r="F99" s="123">
        <v>0.0</v>
      </c>
      <c r="G99" s="123">
        <v>5.0</v>
      </c>
      <c r="H99" s="123">
        <v>8.0</v>
      </c>
      <c r="I99" s="123">
        <v>5.0</v>
      </c>
      <c r="J99" s="123">
        <v>1783.0</v>
      </c>
      <c r="K99" s="123">
        <v>40.0</v>
      </c>
      <c r="L99" s="123">
        <v>5.0</v>
      </c>
      <c r="M99" s="123">
        <v>1783.0</v>
      </c>
      <c r="N99" s="123">
        <v>40.0</v>
      </c>
      <c r="O99" s="123">
        <v>0.0</v>
      </c>
      <c r="P99" s="123">
        <v>0.0</v>
      </c>
      <c r="Q99" s="123">
        <v>0.0</v>
      </c>
      <c r="R99" s="123">
        <v>0.0</v>
      </c>
      <c r="S99" s="123">
        <v>0.0</v>
      </c>
      <c r="T99" s="123">
        <v>0.0</v>
      </c>
      <c r="U99" s="123">
        <v>0.0</v>
      </c>
      <c r="V99" s="123">
        <v>0.0</v>
      </c>
      <c r="W99" s="123">
        <v>0.0</v>
      </c>
      <c r="X99" s="123">
        <v>0.0</v>
      </c>
      <c r="Y99" s="123">
        <v>0.0</v>
      </c>
      <c r="Z99" s="123">
        <v>0.0</v>
      </c>
      <c r="AA99" s="123">
        <v>0.0</v>
      </c>
      <c r="AB99" s="123">
        <v>0.0</v>
      </c>
      <c r="AC99" s="123">
        <v>0.0</v>
      </c>
      <c r="AD99" s="123">
        <v>0.0</v>
      </c>
      <c r="AE99" s="123">
        <v>0.0</v>
      </c>
      <c r="AF99" s="123">
        <v>0.0</v>
      </c>
      <c r="AG99" s="123">
        <v>0.0</v>
      </c>
      <c r="AH99" s="123">
        <v>0.0</v>
      </c>
      <c r="AI99" s="123">
        <v>0.0</v>
      </c>
      <c r="AJ99" s="123">
        <v>0.0</v>
      </c>
      <c r="AK99" s="123">
        <v>1783.0</v>
      </c>
      <c r="AL99" s="123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65">
        <v>46143.0</v>
      </c>
      <c r="B100" s="123">
        <v>1.0</v>
      </c>
      <c r="C100" s="123">
        <v>1.0</v>
      </c>
      <c r="D100" s="123">
        <v>0.0</v>
      </c>
      <c r="E100" s="123">
        <v>8.0</v>
      </c>
      <c r="F100" s="123">
        <v>0.0</v>
      </c>
      <c r="G100" s="123">
        <v>8.0</v>
      </c>
      <c r="H100" s="123">
        <v>6.0</v>
      </c>
      <c r="I100" s="123">
        <v>8.0</v>
      </c>
      <c r="J100" s="123">
        <v>1782.0</v>
      </c>
      <c r="K100" s="123">
        <v>36.0</v>
      </c>
      <c r="L100" s="123">
        <v>8.0</v>
      </c>
      <c r="M100" s="123">
        <v>1782.0</v>
      </c>
      <c r="N100" s="123">
        <v>36.0</v>
      </c>
      <c r="O100" s="123">
        <v>0.0</v>
      </c>
      <c r="P100" s="123">
        <v>0.0</v>
      </c>
      <c r="Q100" s="123">
        <v>0.0</v>
      </c>
      <c r="R100" s="123">
        <v>0.0</v>
      </c>
      <c r="S100" s="123">
        <v>0.0</v>
      </c>
      <c r="T100" s="123">
        <v>0.0</v>
      </c>
      <c r="U100" s="123">
        <v>0.0</v>
      </c>
      <c r="V100" s="123">
        <v>0.0</v>
      </c>
      <c r="W100" s="123">
        <v>0.0</v>
      </c>
      <c r="X100" s="123">
        <v>0.0</v>
      </c>
      <c r="Y100" s="123">
        <v>0.0</v>
      </c>
      <c r="Z100" s="123">
        <v>0.0</v>
      </c>
      <c r="AA100" s="123">
        <v>0.0</v>
      </c>
      <c r="AB100" s="123">
        <v>0.0</v>
      </c>
      <c r="AC100" s="123">
        <v>0.0</v>
      </c>
      <c r="AD100" s="123">
        <v>0.0</v>
      </c>
      <c r="AE100" s="123">
        <v>0.0</v>
      </c>
      <c r="AF100" s="123">
        <v>0.0</v>
      </c>
      <c r="AG100" s="123">
        <v>0.0</v>
      </c>
      <c r="AH100" s="123">
        <v>0.0</v>
      </c>
      <c r="AI100" s="123">
        <v>0.0</v>
      </c>
      <c r="AJ100" s="123">
        <v>0.0</v>
      </c>
      <c r="AK100" s="123">
        <v>1782.0</v>
      </c>
      <c r="AL100" s="123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65">
        <v>46174.0</v>
      </c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65">
        <v>46204.0</v>
      </c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65">
        <v>46235.0</v>
      </c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65">
        <v>46266.0</v>
      </c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65">
        <v>46296.0</v>
      </c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  <c r="AC105" s="123"/>
      <c r="AD105" s="123"/>
      <c r="AE105" s="123"/>
      <c r="AF105" s="123"/>
      <c r="AG105" s="123"/>
      <c r="AH105" s="123"/>
      <c r="AI105" s="123"/>
      <c r="AJ105" s="123"/>
      <c r="AK105" s="123"/>
      <c r="AL105" s="12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65">
        <v>46327.0</v>
      </c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  <c r="AK106" s="123"/>
      <c r="AL106" s="12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65">
        <v>46357.0</v>
      </c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  <c r="AB107" s="123"/>
      <c r="AC107" s="123"/>
      <c r="AD107" s="123"/>
      <c r="AE107" s="123"/>
      <c r="AF107" s="123"/>
      <c r="AG107" s="123"/>
      <c r="AH107" s="123"/>
      <c r="AI107" s="123"/>
      <c r="AJ107" s="123"/>
      <c r="AK107" s="123"/>
      <c r="AL107" s="12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68" t="s">
        <v>52</v>
      </c>
      <c r="B108" s="84">
        <f t="shared" ref="B108:AL108" si="5">SUM(B96:B107)</f>
        <v>6</v>
      </c>
      <c r="C108" s="84">
        <f t="shared" si="5"/>
        <v>14</v>
      </c>
      <c r="D108" s="84">
        <f t="shared" si="5"/>
        <v>0</v>
      </c>
      <c r="E108" s="84">
        <f t="shared" si="5"/>
        <v>30</v>
      </c>
      <c r="F108" s="84">
        <f t="shared" si="5"/>
        <v>0</v>
      </c>
      <c r="G108" s="84">
        <f t="shared" si="5"/>
        <v>30</v>
      </c>
      <c r="H108" s="84">
        <f t="shared" si="5"/>
        <v>32</v>
      </c>
      <c r="I108" s="84">
        <f t="shared" si="5"/>
        <v>30</v>
      </c>
      <c r="J108" s="84">
        <f t="shared" si="5"/>
        <v>8916</v>
      </c>
      <c r="K108" s="84">
        <f t="shared" si="5"/>
        <v>211</v>
      </c>
      <c r="L108" s="84">
        <f t="shared" si="5"/>
        <v>30</v>
      </c>
      <c r="M108" s="84">
        <f t="shared" si="5"/>
        <v>8916</v>
      </c>
      <c r="N108" s="84">
        <f t="shared" si="5"/>
        <v>211</v>
      </c>
      <c r="O108" s="84">
        <f t="shared" si="5"/>
        <v>0</v>
      </c>
      <c r="P108" s="84">
        <f t="shared" si="5"/>
        <v>0</v>
      </c>
      <c r="Q108" s="84">
        <f t="shared" si="5"/>
        <v>0</v>
      </c>
      <c r="R108" s="84">
        <f t="shared" si="5"/>
        <v>0</v>
      </c>
      <c r="S108" s="84">
        <f t="shared" si="5"/>
        <v>0</v>
      </c>
      <c r="T108" s="84">
        <f t="shared" si="5"/>
        <v>0</v>
      </c>
      <c r="U108" s="84">
        <f t="shared" si="5"/>
        <v>0</v>
      </c>
      <c r="V108" s="84">
        <f t="shared" si="5"/>
        <v>0</v>
      </c>
      <c r="W108" s="84">
        <f t="shared" si="5"/>
        <v>0</v>
      </c>
      <c r="X108" s="84">
        <f t="shared" si="5"/>
        <v>0</v>
      </c>
      <c r="Y108" s="84">
        <f t="shared" si="5"/>
        <v>0</v>
      </c>
      <c r="Z108" s="84">
        <f t="shared" si="5"/>
        <v>0</v>
      </c>
      <c r="AA108" s="84">
        <f t="shared" si="5"/>
        <v>0</v>
      </c>
      <c r="AB108" s="84">
        <f t="shared" si="5"/>
        <v>0</v>
      </c>
      <c r="AC108" s="84">
        <f t="shared" si="5"/>
        <v>0</v>
      </c>
      <c r="AD108" s="84">
        <f t="shared" si="5"/>
        <v>0</v>
      </c>
      <c r="AE108" s="84">
        <f t="shared" si="5"/>
        <v>0</v>
      </c>
      <c r="AF108" s="84">
        <f t="shared" si="5"/>
        <v>0</v>
      </c>
      <c r="AG108" s="84">
        <f t="shared" si="5"/>
        <v>0</v>
      </c>
      <c r="AH108" s="84">
        <f t="shared" si="5"/>
        <v>0</v>
      </c>
      <c r="AI108" s="84">
        <f t="shared" si="5"/>
        <v>0</v>
      </c>
      <c r="AJ108" s="84">
        <f t="shared" si="5"/>
        <v>0</v>
      </c>
      <c r="AK108" s="84">
        <f t="shared" si="5"/>
        <v>8916</v>
      </c>
      <c r="AL108" s="84">
        <f t="shared" si="5"/>
        <v>0</v>
      </c>
      <c r="AM108" s="207"/>
      <c r="AN108" s="207"/>
      <c r="AO108" s="207"/>
      <c r="AP108" s="207"/>
      <c r="AQ108" s="207"/>
      <c r="AR108" s="207"/>
      <c r="AS108" s="207"/>
      <c r="AT108" s="207"/>
      <c r="AU108" s="207"/>
      <c r="AV108" s="207"/>
      <c r="AW108" s="207"/>
      <c r="AX108" s="207"/>
      <c r="AY108" s="207"/>
      <c r="AZ108" s="207"/>
      <c r="BA108" s="207"/>
      <c r="BB108" s="207"/>
      <c r="BC108" s="207"/>
      <c r="BD108" s="207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29:N29"/>
    <mergeCell ref="O29:Q29"/>
    <mergeCell ref="U29:V30"/>
    <mergeCell ref="W29:X30"/>
    <mergeCell ref="Y29:Z29"/>
    <mergeCell ref="AB29:AC30"/>
    <mergeCell ref="H30:I30"/>
    <mergeCell ref="S30:T30"/>
    <mergeCell ref="N30:N31"/>
    <mergeCell ref="P30:Q30"/>
    <mergeCell ref="H49:V49"/>
    <mergeCell ref="W49:AC50"/>
    <mergeCell ref="AD49:AD51"/>
    <mergeCell ref="AE49:AF49"/>
    <mergeCell ref="H50:I50"/>
    <mergeCell ref="T50:U50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0:K30"/>
    <mergeCell ref="L30:M30"/>
    <mergeCell ref="Q5:R8"/>
    <mergeCell ref="S5:T8"/>
    <mergeCell ref="A23:B23"/>
    <mergeCell ref="A29:A31"/>
    <mergeCell ref="B29:B31"/>
    <mergeCell ref="C29:C31"/>
    <mergeCell ref="R29:T29"/>
    <mergeCell ref="J50:M50"/>
    <mergeCell ref="N50:O50"/>
    <mergeCell ref="P50:Q50"/>
    <mergeCell ref="R50:S50"/>
    <mergeCell ref="D29:G29"/>
    <mergeCell ref="D30:E30"/>
    <mergeCell ref="F30:G30"/>
    <mergeCell ref="A49:A51"/>
    <mergeCell ref="D49:G49"/>
    <mergeCell ref="D50:E50"/>
    <mergeCell ref="F50:G50"/>
    <mergeCell ref="T71:U71"/>
    <mergeCell ref="B90:AJ90"/>
    <mergeCell ref="T91:AJ91"/>
    <mergeCell ref="T92:X92"/>
    <mergeCell ref="Y92:AB92"/>
    <mergeCell ref="AC92:AF92"/>
    <mergeCell ref="AG92:AJ92"/>
    <mergeCell ref="A69:A72"/>
    <mergeCell ref="B69:G69"/>
    <mergeCell ref="H69:W69"/>
    <mergeCell ref="AD69:AD71"/>
    <mergeCell ref="AE69:AF69"/>
    <mergeCell ref="D70:E70"/>
    <mergeCell ref="F70:G70"/>
    <mergeCell ref="F92:F94"/>
    <mergeCell ref="G93:G94"/>
    <mergeCell ref="H93:H94"/>
    <mergeCell ref="I93:I94"/>
    <mergeCell ref="J93:J94"/>
    <mergeCell ref="K93:K94"/>
    <mergeCell ref="L93:L94"/>
    <mergeCell ref="M93:M94"/>
    <mergeCell ref="O92:Q92"/>
    <mergeCell ref="O93:Q93"/>
    <mergeCell ref="U93:V93"/>
    <mergeCell ref="W93:X93"/>
    <mergeCell ref="Y93:Z93"/>
    <mergeCell ref="AA93:AB93"/>
    <mergeCell ref="AC93:AD93"/>
    <mergeCell ref="AE93:AF93"/>
    <mergeCell ref="AG93:AH93"/>
    <mergeCell ref="AI93:AJ93"/>
    <mergeCell ref="E92:E94"/>
    <mergeCell ref="G92:H92"/>
    <mergeCell ref="I92:K92"/>
    <mergeCell ref="L92:N92"/>
    <mergeCell ref="R92:R93"/>
    <mergeCell ref="S92:S93"/>
    <mergeCell ref="N93:N94"/>
    <mergeCell ref="H70:L70"/>
    <mergeCell ref="M70:U70"/>
    <mergeCell ref="F71:F72"/>
    <mergeCell ref="G71:G72"/>
    <mergeCell ref="H71:H72"/>
    <mergeCell ref="I71:I72"/>
    <mergeCell ref="J71:J72"/>
    <mergeCell ref="K71:K72"/>
    <mergeCell ref="L71:L72"/>
    <mergeCell ref="M71:M72"/>
    <mergeCell ref="G91:Q91"/>
    <mergeCell ref="R91:S91"/>
    <mergeCell ref="N71:P71"/>
    <mergeCell ref="Q71:S71"/>
    <mergeCell ref="D71:D72"/>
    <mergeCell ref="E71:E72"/>
    <mergeCell ref="A90:A94"/>
    <mergeCell ref="B91:F91"/>
    <mergeCell ref="B92:B94"/>
    <mergeCell ref="C92:C94"/>
    <mergeCell ref="D92:D9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3" max="3" width="17.0"/>
    <col customWidth="1" min="4" max="4" width="20.13"/>
    <col customWidth="1" min="6" max="6" width="16.75"/>
    <col customWidth="1" min="8" max="8" width="54.38"/>
    <col customWidth="1" min="9" max="9" width="25.75"/>
    <col customWidth="1" min="10" max="10" width="19.5"/>
    <col customWidth="1" min="11" max="11" width="23.13"/>
  </cols>
  <sheetData>
    <row r="1">
      <c r="A1" s="208" t="s">
        <v>53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9" t="s">
        <v>385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0"/>
      <c r="B3" s="31" t="s">
        <v>1</v>
      </c>
      <c r="C3" s="32" t="s">
        <v>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09" t="s">
        <v>56</v>
      </c>
      <c r="B5" s="210" t="s">
        <v>57</v>
      </c>
      <c r="C5" s="209" t="s">
        <v>386</v>
      </c>
      <c r="D5" s="209" t="s">
        <v>387</v>
      </c>
      <c r="E5" s="209" t="s">
        <v>60</v>
      </c>
      <c r="F5" s="209" t="s">
        <v>59</v>
      </c>
      <c r="G5" s="209" t="s">
        <v>61</v>
      </c>
      <c r="H5" s="209" t="s">
        <v>388</v>
      </c>
      <c r="I5" s="209" t="s">
        <v>389</v>
      </c>
      <c r="J5" s="211" t="s">
        <v>390</v>
      </c>
      <c r="K5" s="2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12" t="s">
        <v>64</v>
      </c>
      <c r="K6" s="213" t="s">
        <v>65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14">
        <v>1.0</v>
      </c>
      <c r="B7" s="215">
        <v>2.0</v>
      </c>
      <c r="C7" s="215">
        <v>3.0</v>
      </c>
      <c r="D7" s="214">
        <v>4.0</v>
      </c>
      <c r="E7" s="215">
        <v>5.0</v>
      </c>
      <c r="F7" s="215">
        <v>6.0</v>
      </c>
      <c r="G7" s="214">
        <v>7.0</v>
      </c>
      <c r="H7" s="215">
        <v>8.0</v>
      </c>
      <c r="I7" s="215">
        <v>9.0</v>
      </c>
      <c r="J7" s="214">
        <v>10.0</v>
      </c>
      <c r="K7" s="21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44">
        <v>1.0</v>
      </c>
      <c r="B8" s="216"/>
      <c r="C8" s="217"/>
      <c r="D8" s="217"/>
      <c r="E8" s="217"/>
      <c r="F8" s="218"/>
      <c r="G8" s="218"/>
      <c r="H8" s="217"/>
      <c r="I8" s="218"/>
      <c r="J8" s="123"/>
      <c r="K8" s="12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44">
        <v>2.0</v>
      </c>
      <c r="B9" s="219"/>
      <c r="C9" s="217"/>
      <c r="D9" s="217"/>
      <c r="E9" s="108"/>
      <c r="F9" s="123"/>
      <c r="G9" s="123"/>
      <c r="H9" s="217"/>
      <c r="I9" s="123"/>
      <c r="J9" s="220"/>
      <c r="K9" s="12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44">
        <v>3.0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44">
        <v>4.0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44">
        <v>5.0</v>
      </c>
      <c r="B12" s="110"/>
      <c r="C12" s="221"/>
      <c r="D12" s="110"/>
      <c r="E12" s="110"/>
      <c r="F12" s="110"/>
      <c r="G12" s="110"/>
      <c r="H12" s="110"/>
      <c r="I12" s="110"/>
      <c r="J12" s="110"/>
      <c r="K12" s="11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0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3" max="3" width="16.38"/>
    <col customWidth="1" min="4" max="5" width="16.25"/>
    <col customWidth="1" min="10" max="10" width="20.25"/>
    <col customWidth="1" min="11" max="11" width="21.75"/>
    <col customWidth="1" min="13" max="13" width="20.38"/>
  </cols>
  <sheetData>
    <row r="1">
      <c r="A1" s="29" t="s">
        <v>53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9" t="s">
        <v>391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0"/>
      <c r="B3" s="31" t="s">
        <v>1</v>
      </c>
      <c r="C3" s="32" t="s">
        <v>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3" t="s">
        <v>56</v>
      </c>
      <c r="B4" s="34" t="s">
        <v>57</v>
      </c>
      <c r="C4" s="33" t="s">
        <v>58</v>
      </c>
      <c r="D4" s="33" t="s">
        <v>60</v>
      </c>
      <c r="E4" s="33" t="s">
        <v>59</v>
      </c>
      <c r="F4" s="33" t="s">
        <v>61</v>
      </c>
      <c r="G4" s="222" t="s">
        <v>392</v>
      </c>
      <c r="H4" s="25"/>
      <c r="I4" s="25"/>
      <c r="J4" s="25"/>
      <c r="K4" s="8"/>
      <c r="L4" s="222" t="s">
        <v>390</v>
      </c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223" t="s">
        <v>393</v>
      </c>
      <c r="H5" s="223" t="s">
        <v>394</v>
      </c>
      <c r="I5" s="223" t="s">
        <v>395</v>
      </c>
      <c r="J5" s="223" t="s">
        <v>396</v>
      </c>
      <c r="K5" s="223" t="s">
        <v>397</v>
      </c>
      <c r="L5" s="223" t="s">
        <v>64</v>
      </c>
      <c r="M5" s="223" t="s">
        <v>65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4">
        <v>1.0</v>
      </c>
      <c r="B6" s="224">
        <v>2.0</v>
      </c>
      <c r="C6" s="224">
        <v>3.0</v>
      </c>
      <c r="D6" s="44">
        <v>4.0</v>
      </c>
      <c r="E6" s="224">
        <v>5.0</v>
      </c>
      <c r="F6" s="224">
        <v>6.0</v>
      </c>
      <c r="G6" s="44">
        <v>7.0</v>
      </c>
      <c r="H6" s="224">
        <v>8.0</v>
      </c>
      <c r="I6" s="224">
        <v>9.0</v>
      </c>
      <c r="J6" s="44">
        <v>10.0</v>
      </c>
      <c r="K6" s="224">
        <v>11.0</v>
      </c>
      <c r="L6" s="224">
        <v>12.0</v>
      </c>
      <c r="M6" s="44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4">
        <v>1.0</v>
      </c>
      <c r="B7" s="225"/>
      <c r="C7" s="217"/>
      <c r="D7" s="217"/>
      <c r="E7" s="218"/>
      <c r="F7" s="218"/>
      <c r="G7" s="218"/>
      <c r="H7" s="218"/>
      <c r="I7" s="123"/>
      <c r="J7" s="123"/>
      <c r="K7" s="218"/>
      <c r="L7" s="123"/>
      <c r="M7" s="21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4">
        <v>2.0</v>
      </c>
      <c r="B8" s="216"/>
      <c r="C8" s="217"/>
      <c r="D8" s="217"/>
      <c r="E8" s="218"/>
      <c r="F8" s="218"/>
      <c r="G8" s="123"/>
      <c r="H8" s="123"/>
      <c r="I8" s="123"/>
      <c r="J8" s="123"/>
      <c r="K8" s="218"/>
      <c r="L8" s="123"/>
      <c r="M8" s="10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44">
        <v>3.0</v>
      </c>
      <c r="B9" s="226"/>
      <c r="C9" s="217"/>
      <c r="D9" s="217"/>
      <c r="E9" s="218"/>
      <c r="F9" s="218"/>
      <c r="G9" s="218"/>
      <c r="H9" s="218"/>
      <c r="I9" s="123"/>
      <c r="J9" s="123"/>
      <c r="K9" s="218"/>
      <c r="L9" s="123"/>
      <c r="M9" s="21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3">
        <v>4.0</v>
      </c>
      <c r="B10" s="124"/>
      <c r="C10" s="108"/>
      <c r="D10" s="108"/>
      <c r="E10" s="123"/>
      <c r="F10" s="123"/>
      <c r="G10" s="123"/>
      <c r="H10" s="123"/>
      <c r="I10" s="123"/>
      <c r="J10" s="123"/>
      <c r="K10" s="123"/>
      <c r="L10" s="123"/>
      <c r="M10" s="10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3">
        <v>5.0</v>
      </c>
      <c r="B11" s="125"/>
      <c r="C11" s="108"/>
      <c r="D11" s="108"/>
      <c r="E11" s="123"/>
      <c r="F11" s="123"/>
      <c r="G11" s="123"/>
      <c r="H11" s="123"/>
      <c r="I11" s="123"/>
      <c r="J11" s="123"/>
      <c r="K11" s="123"/>
      <c r="L11" s="123"/>
      <c r="M11" s="108"/>
      <c r="N11" s="11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0"/>
      <c r="B13" s="2"/>
      <c r="C13" s="28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0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3" max="3" width="15.13"/>
    <col customWidth="1" min="4" max="4" width="19.13"/>
    <col customWidth="1" min="7" max="7" width="29.75"/>
  </cols>
  <sheetData>
    <row r="1">
      <c r="A1" s="29" t="s">
        <v>53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9" t="s">
        <v>398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31" t="s">
        <v>1</v>
      </c>
      <c r="C3" s="32" t="s">
        <v>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3" t="s">
        <v>56</v>
      </c>
      <c r="B4" s="34" t="s">
        <v>57</v>
      </c>
      <c r="C4" s="33" t="s">
        <v>58</v>
      </c>
      <c r="D4" s="33" t="s">
        <v>59</v>
      </c>
      <c r="E4" s="33" t="s">
        <v>60</v>
      </c>
      <c r="F4" s="33" t="s">
        <v>61</v>
      </c>
      <c r="G4" s="227" t="s">
        <v>62</v>
      </c>
      <c r="H4" s="35" t="s">
        <v>63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64</v>
      </c>
      <c r="I5" s="37" t="s">
        <v>65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28">
        <v>1.0</v>
      </c>
      <c r="B6" s="229">
        <v>2.0</v>
      </c>
      <c r="C6" s="230"/>
      <c r="D6" s="229">
        <v>3.0</v>
      </c>
      <c r="E6" s="229">
        <v>4.0</v>
      </c>
      <c r="F6" s="229">
        <v>5.0</v>
      </c>
      <c r="G6" s="229">
        <v>6.0</v>
      </c>
      <c r="H6" s="229">
        <v>7.0</v>
      </c>
      <c r="I6" s="22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9"/>
      <c r="C7" s="231"/>
      <c r="D7" s="14"/>
      <c r="E7" s="231"/>
      <c r="F7" s="19"/>
      <c r="G7" s="231"/>
      <c r="H7" s="49"/>
      <c r="I7" s="2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9"/>
      <c r="C8" s="232"/>
      <c r="D8" s="232"/>
      <c r="E8" s="232"/>
      <c r="F8" s="232"/>
      <c r="G8" s="232"/>
      <c r="H8" s="232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9"/>
      <c r="C9" s="232"/>
      <c r="D9" s="232"/>
      <c r="E9" s="232"/>
      <c r="F9" s="232"/>
      <c r="G9" s="232"/>
      <c r="H9" s="232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9"/>
      <c r="C10" s="231"/>
      <c r="D10" s="14"/>
      <c r="E10" s="231"/>
      <c r="F10" s="19"/>
      <c r="G10" s="231"/>
      <c r="H10" s="231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7.5"/>
    <col customWidth="1" min="4" max="4" width="14.75"/>
    <col customWidth="1" min="6" max="6" width="18.38"/>
    <col customWidth="1" min="7" max="7" width="19.75"/>
    <col customWidth="1" min="8" max="8" width="33.75"/>
    <col customWidth="1" min="9" max="9" width="18.75"/>
  </cols>
  <sheetData>
    <row r="1">
      <c r="A1" s="29" t="s">
        <v>53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9" t="s">
        <v>399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33" t="s">
        <v>1</v>
      </c>
      <c r="B3" s="87" t="s">
        <v>55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3" t="s">
        <v>56</v>
      </c>
      <c r="B5" s="34" t="s">
        <v>57</v>
      </c>
      <c r="C5" s="33" t="s">
        <v>58</v>
      </c>
      <c r="D5" s="33" t="s">
        <v>59</v>
      </c>
      <c r="E5" s="33" t="s">
        <v>60</v>
      </c>
      <c r="F5" s="33" t="s">
        <v>61</v>
      </c>
      <c r="G5" s="227" t="s">
        <v>62</v>
      </c>
      <c r="H5" s="35" t="s">
        <v>63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64</v>
      </c>
      <c r="I6" s="37" t="s">
        <v>65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28">
        <v>1.0</v>
      </c>
      <c r="B7" s="229">
        <v>2.0</v>
      </c>
      <c r="C7" s="230"/>
      <c r="D7" s="229">
        <v>3.0</v>
      </c>
      <c r="E7" s="229">
        <v>4.0</v>
      </c>
      <c r="F7" s="229">
        <v>5.0</v>
      </c>
      <c r="G7" s="229">
        <v>6.0</v>
      </c>
      <c r="H7" s="229">
        <v>7.0</v>
      </c>
      <c r="I7" s="22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34">
        <v>46032.0</v>
      </c>
      <c r="C8" s="231" t="s">
        <v>400</v>
      </c>
      <c r="D8" s="235">
        <v>1.50705480007E11</v>
      </c>
      <c r="E8" s="231" t="s">
        <v>401</v>
      </c>
      <c r="F8" s="19" t="s">
        <v>2</v>
      </c>
      <c r="G8" s="231" t="s">
        <v>402</v>
      </c>
      <c r="H8" s="49" t="s">
        <v>403</v>
      </c>
      <c r="I8" s="22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>
        <v>2.0</v>
      </c>
      <c r="B9" s="236">
        <v>46135.0</v>
      </c>
      <c r="C9" s="231" t="s">
        <v>404</v>
      </c>
      <c r="D9" s="235">
        <v>1.50705480001E11</v>
      </c>
      <c r="E9" s="235" t="s">
        <v>405</v>
      </c>
      <c r="F9" s="19" t="s">
        <v>2</v>
      </c>
      <c r="G9" s="235" t="s">
        <v>402</v>
      </c>
      <c r="H9" s="235" t="s">
        <v>403</v>
      </c>
      <c r="I9" s="22" t="s">
        <v>25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