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<sst xmlns="http://schemas.openxmlformats.org/spreadsheetml/2006/main" count="4644" uniqueCount="2242">
  <si>
    <t>DATABASE POSYANDU</t>
  </si>
  <si>
    <t>DESA</t>
  </si>
  <si>
    <t>: TAMAN BOGO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</si>
  <si>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</si>
  <si>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</si>
  <si>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</si>
  <si>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</si>
  <si>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</si>
  <si>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</si>
  <si>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</si>
  <si>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</si>
  <si>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</si>
  <si>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</si>
  <si>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</si>
  <si>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</si>
  <si>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</si>
  <si>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</si>
  <si>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</si>
  <si>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</si>
  <si>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</si>
  <si>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</si>
  <si>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</si>
  <si>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</si>
  <si>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EKA KARYA</t>
  </si>
  <si>
    <t>Senin Ke-3</t>
  </si>
  <si>
    <t>✓</t>
  </si>
  <si>
    <t>MANDIRI</t>
  </si>
  <si>
    <t>ILP</t>
  </si>
  <si>
    <t>DWI KARYA</t>
  </si>
  <si>
    <t>RABU KE-3</t>
  </si>
  <si>
    <t>TRI KARYA</t>
  </si>
  <si>
    <t>Handayani</t>
  </si>
  <si>
    <t>Jumat ke-3</t>
  </si>
  <si>
    <t>Mandiri</t>
  </si>
  <si>
    <t>PANCA KARYA</t>
  </si>
  <si>
    <t>Kamis ke-3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</si>
  <si>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</si>
  <si>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</si>
  <si>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</si>
  <si>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</si>
  <si>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</si>
  <si>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</si>
  <si>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</si>
  <si>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</si>
  <si>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</si>
  <si>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</si>
  <si>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</si>
  <si>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</si>
  <si>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</si>
  <si>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BAGUS DWI SAPUTRA</t>
  </si>
  <si>
    <t>001/001</t>
  </si>
  <si>
    <t>Tidak mau sekolah</t>
  </si>
  <si>
    <t>-</t>
  </si>
  <si>
    <t>tri karya</t>
  </si>
  <si>
    <t>aydhan rizky saputra</t>
  </si>
  <si>
    <t>dusun 3</t>
  </si>
  <si>
    <t>keterbelakangan mental</t>
  </si>
  <si>
    <t>1807086601110001</t>
  </si>
  <si>
    <t>nabila al huzaimah</t>
  </si>
  <si>
    <t>1807082305090001</t>
  </si>
  <si>
    <t>Rizki Pratama</t>
  </si>
  <si>
    <t>019/008</t>
  </si>
  <si>
    <t>Tidak Mau Sekolah</t>
  </si>
  <si>
    <t>1807086010050008</t>
  </si>
  <si>
    <t>Reni Oktafiana</t>
  </si>
  <si>
    <t>017/007</t>
  </si>
  <si>
    <t>1807080610070001</t>
  </si>
  <si>
    <t>Ridho Fernando</t>
  </si>
  <si>
    <t>1807082506070001</t>
  </si>
  <si>
    <t>Rega Wardana</t>
  </si>
  <si>
    <t>Panca Karya</t>
  </si>
  <si>
    <t>1807080811080001</t>
  </si>
  <si>
    <t>Bagus Berlian</t>
  </si>
  <si>
    <t>Anaknya tidak mau sekolah</t>
  </si>
  <si>
    <t>1807080506090001</t>
  </si>
  <si>
    <t>Titian Rasif Bimantoro</t>
  </si>
  <si>
    <t>023/010</t>
  </si>
  <si>
    <t>1807080705080001</t>
  </si>
  <si>
    <t>Renalsyah Diva P.</t>
  </si>
  <si>
    <t>024/010</t>
  </si>
  <si>
    <t>1807081011110002</t>
  </si>
  <si>
    <t>Revan Admaja</t>
  </si>
  <si>
    <t>022/009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</si>
  <si>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</si>
  <si>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</si>
  <si>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</si>
  <si>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</si>
  <si>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</si>
  <si>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</si>
  <si>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</si>
  <si>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</si>
  <si>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</si>
  <si>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</si>
  <si>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</si>
  <si>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</si>
  <si>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</si>
  <si>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</si>
  <si>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</si>
  <si>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</si>
  <si>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</si>
  <si>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</si>
  <si>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</si>
  <si>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</si>
  <si>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</si>
  <si>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</si>
  <si>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</si>
  <si>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</si>
  <si>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</si>
  <si>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</si>
  <si>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</si>
  <si>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</si>
  <si>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</si>
  <si>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</si>
  <si>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</si>
  <si>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</si>
  <si>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</si>
  <si>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</si>
  <si>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</si>
  <si>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</si>
  <si>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</si>
  <si>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</si>
  <si>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</si>
  <si>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</si>
  <si>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</si>
  <si>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: 2025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</si>
  <si>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</si>
  <si>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</si>
  <si>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</si>
  <si>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</si>
  <si>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</si>
  <si>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</si>
  <si>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</si>
  <si>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</si>
  <si>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</si>
  <si>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</si>
  <si>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</si>
  <si>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</si>
  <si>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</si>
  <si>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</si>
  <si>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</si>
  <si>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</si>
  <si>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</si>
  <si>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Linda Yusanti</t>
  </si>
  <si>
    <t>Charles Dedi Irawan</t>
  </si>
  <si>
    <t>Indira Khumaira</t>
  </si>
  <si>
    <t>Rika Retno Susanti</t>
  </si>
  <si>
    <t>Wawan Sabikun</t>
  </si>
  <si>
    <t>Lahir Meninggal</t>
  </si>
  <si>
    <t>Eka Sri Lestari</t>
  </si>
  <si>
    <t>Wijianto</t>
  </si>
  <si>
    <t>Andien Febia Humaira</t>
  </si>
  <si>
    <t>Rizki Puspita Sari</t>
  </si>
  <si>
    <t>Renditia</t>
  </si>
  <si>
    <t>Abelzia Almahyra</t>
  </si>
  <si>
    <t>Ina Sinta Safitri</t>
  </si>
  <si>
    <t>Riki Chandra Darmawan</t>
  </si>
  <si>
    <t>Muhammad Alfan Najah</t>
  </si>
  <si>
    <t>Cantix Aticha Fortain</t>
  </si>
  <si>
    <t>Angga Restian</t>
  </si>
  <si>
    <t>Naka Rajendra Andaru</t>
  </si>
  <si>
    <t>Desi Ratna Sari</t>
  </si>
  <si>
    <t>Diki Yuni Irawan</t>
  </si>
  <si>
    <t>Aila Nur Syafakila</t>
  </si>
  <si>
    <t>Sulistiani</t>
  </si>
  <si>
    <t>Hendrianto</t>
  </si>
  <si>
    <t>M Raynan Al-Kautsar</t>
  </si>
  <si>
    <t>Siti Siami</t>
  </si>
  <si>
    <t>Susanto</t>
  </si>
  <si>
    <t>Gemyla Zulhiza Almashira</t>
  </si>
  <si>
    <t>Kiki Puspita Sari</t>
  </si>
  <si>
    <t>Rizal Adi Prasetya</t>
  </si>
  <si>
    <t>Elvanzio Rafasya Kaivandra</t>
  </si>
  <si>
    <t>Alanzio Rafasya Kaivandra</t>
  </si>
  <si>
    <t>Kurniawati</t>
  </si>
  <si>
    <t>Hendi Basuki</t>
  </si>
  <si>
    <t>M. Alfatih Basuki</t>
  </si>
  <si>
    <t>Dini Indah Lestari</t>
  </si>
  <si>
    <t>Amirudin</t>
  </si>
  <si>
    <t>Arsya Athalah</t>
  </si>
  <si>
    <t>Sovia Noverlina</t>
  </si>
  <si>
    <t>Hendra Saputra</t>
  </si>
  <si>
    <t>Mega Julianingsih</t>
  </si>
  <si>
    <t>Arif Setiawan</t>
  </si>
  <si>
    <t>Ayu Meitasari</t>
  </si>
  <si>
    <t>Cimas Indriat</t>
  </si>
  <si>
    <t>Friska Okta Rahmawati</t>
  </si>
  <si>
    <t>Aldi Surya Khanafi</t>
  </si>
  <si>
    <t>Sherly Merlian</t>
  </si>
  <si>
    <t>Lea Andrian</t>
  </si>
  <si>
    <t>MEYSAH AYU LESTARI</t>
  </si>
  <si>
    <t>RIZKI ADI CAHYA</t>
  </si>
  <si>
    <t>UMMU ISLAMIYAH</t>
  </si>
  <si>
    <t>M.DAVI FARIZA</t>
  </si>
  <si>
    <t>APRIYANI</t>
  </si>
  <si>
    <t>APRIYANTO</t>
  </si>
  <si>
    <t>SETIYANINGSIH</t>
  </si>
  <si>
    <t>ADITYA PRASETIA</t>
  </si>
  <si>
    <t>MUTTOHAROH</t>
  </si>
  <si>
    <t>FAJAR HIDAYAT</t>
  </si>
  <si>
    <t>ELDA TRISNAWATI</t>
  </si>
  <si>
    <t>EDWIN ADI .S</t>
  </si>
  <si>
    <t>ELLENORA LAUREL ADIRA</t>
  </si>
  <si>
    <t>ERNA ARYANI</t>
  </si>
  <si>
    <t>ARISTA DARMA SUSILO</t>
  </si>
  <si>
    <t>KHINANDIRA EL NAURA .P</t>
  </si>
  <si>
    <t>KRISTINA</t>
  </si>
  <si>
    <t>SULAIMAN RASYID</t>
  </si>
  <si>
    <t>NASLA ARSITA FARZAMA</t>
  </si>
  <si>
    <t>FADILA NOVIANA PUTRI</t>
  </si>
  <si>
    <t>YOGI PRAYOGA</t>
  </si>
  <si>
    <t>ARGANI SAGA PRAYOGA</t>
  </si>
  <si>
    <t>EKA ACTIVIANI</t>
  </si>
  <si>
    <t>MAD SOLEH</t>
  </si>
  <si>
    <t>M.ARKA RAYYANZA</t>
  </si>
  <si>
    <t>JENI ASTRIANI AGUSI</t>
  </si>
  <si>
    <t>SANDY PRATAMA</t>
  </si>
  <si>
    <t>NAISHA GEMA EL SHANUM</t>
  </si>
  <si>
    <t>AISYAH</t>
  </si>
  <si>
    <t>DAVID</t>
  </si>
  <si>
    <t>DASYA ZEA ATHANABILA</t>
  </si>
  <si>
    <t>YULI SAFITRI</t>
  </si>
  <si>
    <t>EKO PRAYUDI</t>
  </si>
  <si>
    <t>KEIANRRA HAZIRA BENEDICT</t>
  </si>
  <si>
    <t>ANIS TEJA NINGSIH</t>
  </si>
  <si>
    <t>TRIO SAPUTRA</t>
  </si>
  <si>
    <t>ANNINDYA JAMINE PRAMESWARI</t>
  </si>
  <si>
    <t>ARINI SALSABILA</t>
  </si>
  <si>
    <t>RENDIKA ALDI</t>
  </si>
  <si>
    <t>KELLINA NAUTRA CAHYA</t>
  </si>
  <si>
    <t>KARMILA</t>
  </si>
  <si>
    <t>ARI ISKANDAR</t>
  </si>
  <si>
    <t>ELZYAN GHOFAR ISKANDAR</t>
  </si>
  <si>
    <t>EVA MASDARETA</t>
  </si>
  <si>
    <t>DAVID INDRA .S</t>
  </si>
  <si>
    <t>GHAZANFAR NAILDEVANDRA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</si>
  <si>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</si>
  <si>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</si>
  <si>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</si>
  <si>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</si>
  <si>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</si>
  <si>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</si>
  <si>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</si>
  <si>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Arsya Athallah</t>
  </si>
  <si>
    <t>Kiki Puspitasari</t>
  </si>
  <si>
    <t>Rizal Adi P.</t>
  </si>
  <si>
    <t>Dicky Yuni Irawan</t>
  </si>
  <si>
    <t>M. Raynan Al-Kautsar</t>
  </si>
  <si>
    <t>Cantix Athica Fortain</t>
  </si>
  <si>
    <t>M. Alfan Najah</t>
  </si>
  <si>
    <t>Riki Candra Darmawan</t>
  </si>
  <si>
    <t>Abel Zia Almahyra</t>
  </si>
  <si>
    <t>Rizki Puspitasari</t>
  </si>
  <si>
    <t>Andien Febya Humairah</t>
  </si>
  <si>
    <t>Carles Dedi Irawan</t>
  </si>
  <si>
    <t>Hanifa Zulfa Attaya</t>
  </si>
  <si>
    <t>Devi Oktavia</t>
  </si>
  <si>
    <t>Kustadi Diswantoro</t>
  </si>
  <si>
    <t>Anisa Rahma Azzahra</t>
  </si>
  <si>
    <t>Mariyanti</t>
  </si>
  <si>
    <t>Sugeng Sukirno</t>
  </si>
  <si>
    <t>M. Rayyan Alfarizky</t>
  </si>
  <si>
    <t>Yeni Lestari</t>
  </si>
  <si>
    <t>Okdi Arrohman</t>
  </si>
  <si>
    <t>Syafana Queenby Anasya</t>
  </si>
  <si>
    <t>Sabila</t>
  </si>
  <si>
    <t>Ade Nugroho</t>
  </si>
  <si>
    <t>Syahira Zea Amanda</t>
  </si>
  <si>
    <t>Fitri Listiana</t>
  </si>
  <si>
    <t>Budi Santoso</t>
  </si>
  <si>
    <t>Yumna Emilia Zhafira</t>
  </si>
  <si>
    <t>Septi Durotunnisa</t>
  </si>
  <si>
    <t>Ujang Saputra</t>
  </si>
  <si>
    <t>Rayhand Aliando</t>
  </si>
  <si>
    <t>Indah Astiana</t>
  </si>
  <si>
    <t>Heri Yanto</t>
  </si>
  <si>
    <t>Yurika Devanya Faradisa</t>
  </si>
  <si>
    <t>Wely Yuni Saputri</t>
  </si>
  <si>
    <t>Riskon Maulana</t>
  </si>
  <si>
    <t>Abdillah Abqory Agam</t>
  </si>
  <si>
    <t>Khoirida Susilowati</t>
  </si>
  <si>
    <t>Wahid Nurdiyansyah</t>
  </si>
  <si>
    <t>Ryuken Yafizhan Vandani</t>
  </si>
  <si>
    <t>Mei Everiyanti</t>
  </si>
  <si>
    <t>Gusvandani Ardo</t>
  </si>
  <si>
    <t>Alzeya Qamara Hartono</t>
  </si>
  <si>
    <t>Fitri Astuti</t>
  </si>
  <si>
    <t>Rudi Hartono</t>
  </si>
  <si>
    <t>Manggala Azema Ramadhan</t>
  </si>
  <si>
    <t>Mella Susiana</t>
  </si>
  <si>
    <t>Diski Andrian Viktor</t>
  </si>
  <si>
    <t>Muhamad Abiyan Shaka</t>
  </si>
  <si>
    <t>Anita Sari</t>
  </si>
  <si>
    <t>Nanang Sucipto</t>
  </si>
  <si>
    <t>Ataya Nur Syifa Aisyah</t>
  </si>
  <si>
    <t>Asilia Tisnawati</t>
  </si>
  <si>
    <t>Edi Suharyadi</t>
  </si>
  <si>
    <t>Alesha Alifa Hibatillah</t>
  </si>
  <si>
    <t>Zidna Tahta Fahtussunah</t>
  </si>
  <si>
    <t>Yayuk Susanti</t>
  </si>
  <si>
    <t>Suhartono</t>
  </si>
  <si>
    <t>Dirga Adriansyah</t>
  </si>
  <si>
    <t>Jumaidah</t>
  </si>
  <si>
    <t>Heri Rismanto</t>
  </si>
  <si>
    <t>M. Tsaqib Nahawan</t>
  </si>
  <si>
    <t>Imroatun Chanifah</t>
  </si>
  <si>
    <t>Anwar Fahrurozi</t>
  </si>
  <si>
    <t>Aqila Dwi Asyfa</t>
  </si>
  <si>
    <t>Laila Nur Azizah</t>
  </si>
  <si>
    <t>Dwi Permadi</t>
  </si>
  <si>
    <t>Kayla Putri Lindra</t>
  </si>
  <si>
    <t>Erli Oktapiana</t>
  </si>
  <si>
    <t>Candra Pratama</t>
  </si>
  <si>
    <t>Nayla Putri Lindra</t>
  </si>
  <si>
    <t>Asyfa Naila Sari</t>
  </si>
  <si>
    <t>Novita Sari</t>
  </si>
  <si>
    <t>Boniran</t>
  </si>
  <si>
    <t>Lareina Qeren Elmira</t>
  </si>
  <si>
    <t>Arsyila Nur Anggraini</t>
  </si>
  <si>
    <t>Grizelle Queensy</t>
  </si>
  <si>
    <t>Tri Wahyuni</t>
  </si>
  <si>
    <t>Wahyudi</t>
  </si>
  <si>
    <t>Rayen Neza Ramadhan</t>
  </si>
  <si>
    <t>Susi Susanti</t>
  </si>
  <si>
    <t>Edi Suseno</t>
  </si>
  <si>
    <t>Vy Felycia Abigail</t>
  </si>
  <si>
    <t>Vivi Afriyanto</t>
  </si>
  <si>
    <t>Yanto</t>
  </si>
  <si>
    <t>M. Abrisma Al Riski</t>
  </si>
  <si>
    <t>Romini</t>
  </si>
  <si>
    <t>Juardi</t>
  </si>
  <si>
    <t>M. Reno Pratama</t>
  </si>
  <si>
    <t>Sindi Yulianti</t>
  </si>
  <si>
    <t>Dedi Irawan</t>
  </si>
  <si>
    <t>Chaira Zivanca Fananda</t>
  </si>
  <si>
    <t>Yunita Eka P</t>
  </si>
  <si>
    <t>Eko Krisnata Fananda</t>
  </si>
  <si>
    <t>Adinda Evarista</t>
  </si>
  <si>
    <t>Siti Farida</t>
  </si>
  <si>
    <t>Dio Tara Elega</t>
  </si>
  <si>
    <t>Elfatah Zahir Sanjaya</t>
  </si>
  <si>
    <t>Wastini</t>
  </si>
  <si>
    <t>Guntur Sanjaya</t>
  </si>
  <si>
    <t>Zilda Fitria</t>
  </si>
  <si>
    <t>Firda Yunita</t>
  </si>
  <si>
    <t>Jihat Kurnia</t>
  </si>
  <si>
    <t>Hilya Hanah Sarifah</t>
  </si>
  <si>
    <t>Shanum Putri Anesa</t>
  </si>
  <si>
    <t>Aan Apriani</t>
  </si>
  <si>
    <t>Hersa Yahrumani</t>
  </si>
  <si>
    <t>Cika Nur Syfa</t>
  </si>
  <si>
    <t>Yopi Umbara</t>
  </si>
  <si>
    <t>Rafasya Maulana</t>
  </si>
  <si>
    <t>Sustriyani</t>
  </si>
  <si>
    <t>Adang Sudrajat</t>
  </si>
  <si>
    <t>Stevanya Zea Farisa</t>
  </si>
  <si>
    <t>Rizal Adi Praseyo</t>
  </si>
  <si>
    <t>Salma Najhirotul</t>
  </si>
  <si>
    <t>Aulia Rahmah</t>
  </si>
  <si>
    <t>Choirul Marzuki</t>
  </si>
  <si>
    <t>M. Yusuf Al-Hafidz</t>
  </si>
  <si>
    <t>Adina Silmi Kafah</t>
  </si>
  <si>
    <t>Popi Verenia</t>
  </si>
  <si>
    <t>Edwin Saputra</t>
  </si>
  <si>
    <t>M. Rifki Al-hafidz</t>
  </si>
  <si>
    <t>Suprihatin</t>
  </si>
  <si>
    <t>Rusdianto</t>
  </si>
  <si>
    <t>M. Nizam Ramadhani</t>
  </si>
  <si>
    <t>Maina Valenta</t>
  </si>
  <si>
    <t>Eko Haryanto</t>
  </si>
  <si>
    <t>Hanasya Adena Saila</t>
  </si>
  <si>
    <t>Depi Puji Astuti</t>
  </si>
  <si>
    <t>Trimanto</t>
  </si>
  <si>
    <t>Aiswati Nahla Sakieb</t>
  </si>
  <si>
    <t>Ria Ayunita</t>
  </si>
  <si>
    <t>Aryanto Enggal Saputra</t>
  </si>
  <si>
    <t>Azizah Nur Thoirun Syafitri</t>
  </si>
  <si>
    <t>Sulastri</t>
  </si>
  <si>
    <t>Suparno</t>
  </si>
  <si>
    <t>Alfarezel Arfan R</t>
  </si>
  <si>
    <t>Isna Tamiya</t>
  </si>
  <si>
    <t>Miswanto</t>
  </si>
  <si>
    <t>Erlang Saputra</t>
  </si>
  <si>
    <t>Meysa Nur Hanna</t>
  </si>
  <si>
    <t>Yesi Erwulan</t>
  </si>
  <si>
    <t>Adi Risyanto</t>
  </si>
  <si>
    <t>Clarisa Deswita P.</t>
  </si>
  <si>
    <t>Kayatun</t>
  </si>
  <si>
    <t>Tukino</t>
  </si>
  <si>
    <t>Almaira Zalfa Khairunnisa</t>
  </si>
  <si>
    <t>Arfan Ahmad Azikri</t>
  </si>
  <si>
    <t>Sri Wahyuni</t>
  </si>
  <si>
    <t>Ahmadi</t>
  </si>
  <si>
    <t>Akifa Hasna</t>
  </si>
  <si>
    <t>Saqueena Calya Aizi</t>
  </si>
  <si>
    <t>Ristiyani</t>
  </si>
  <si>
    <t>Riko Rismawan</t>
  </si>
  <si>
    <t>Aldrian Nevandra</t>
  </si>
  <si>
    <t>Puput Dandriani</t>
  </si>
  <si>
    <t>Andro Nevandra</t>
  </si>
  <si>
    <t>Brenda Andana Kusuma</t>
  </si>
  <si>
    <t>Lina Wati</t>
  </si>
  <si>
    <t>Margono</t>
  </si>
  <si>
    <t>Aprilia Kiana Nandira</t>
  </si>
  <si>
    <t>Muntari</t>
  </si>
  <si>
    <t>Sarito</t>
  </si>
  <si>
    <t>Kiana Nafeza Putri</t>
  </si>
  <si>
    <t>Dela Triavinda</t>
  </si>
  <si>
    <t>Margo Wiyono</t>
  </si>
  <si>
    <t>Ikbal Aksa Mahardika</t>
  </si>
  <si>
    <t>Siti Halimah</t>
  </si>
  <si>
    <t>Amad Ponidi</t>
  </si>
  <si>
    <t>Akmal Aksan Mahardika</t>
  </si>
  <si>
    <t>M. Kapten Reyno Sanjaya</t>
  </si>
  <si>
    <t>Feni Nila Sari</t>
  </si>
  <si>
    <t>Andika Sanjaya</t>
  </si>
  <si>
    <t>Kaira Arta Malayeka</t>
  </si>
  <si>
    <t>Jumitun</t>
  </si>
  <si>
    <t>Muh Yasin</t>
  </si>
  <si>
    <t>M. Rafasya Arfan Susanto</t>
  </si>
  <si>
    <t>Fitri Kurniawati Dewi</t>
  </si>
  <si>
    <t>Heru Susanto</t>
  </si>
  <si>
    <t>Devano Rayan Alfaro</t>
  </si>
  <si>
    <t>Enggar Widayanti</t>
  </si>
  <si>
    <t>Asril Harahap</t>
  </si>
  <si>
    <t>M fatin mahendra</t>
  </si>
  <si>
    <t>Jumiatin</t>
  </si>
  <si>
    <t>Suwito</t>
  </si>
  <si>
    <t>Azahra putri</t>
  </si>
  <si>
    <t>M.Daniel alfaris</t>
  </si>
  <si>
    <t>Atarayhan sakiel</t>
  </si>
  <si>
    <t>Okta</t>
  </si>
  <si>
    <t>Sukardi</t>
  </si>
  <si>
    <t>Faiza alya azizah</t>
  </si>
  <si>
    <t>Reno ikhasan alfarezi</t>
  </si>
  <si>
    <t>Tue Ratnawati</t>
  </si>
  <si>
    <t>Bugeseniman</t>
  </si>
  <si>
    <t>Aji Bagus Sampurna</t>
  </si>
  <si>
    <t>Fitri Yusnindar</t>
  </si>
  <si>
    <t>Sarjianto</t>
  </si>
  <si>
    <t>Milkayla Dwi Anggraini</t>
  </si>
  <si>
    <t>Suyatmi</t>
  </si>
  <si>
    <t>Ahmad Syaifudin</t>
  </si>
  <si>
    <t>Abizar Alfiandra</t>
  </si>
  <si>
    <t>Noviana Wati</t>
  </si>
  <si>
    <t>Yulianto</t>
  </si>
  <si>
    <t>M. Alfaro Ramadan</t>
  </si>
  <si>
    <t>Nila Sari</t>
  </si>
  <si>
    <t>Fahrurozi</t>
  </si>
  <si>
    <t>Syabiella Mikhayla</t>
  </si>
  <si>
    <t>Dwi Nurmala Sari</t>
  </si>
  <si>
    <t>Suroto</t>
  </si>
  <si>
    <t>ANNINDYA JASMINE PRAMESWARI</t>
  </si>
  <si>
    <t>CELLINA NAURA CAHYA</t>
  </si>
  <si>
    <t>GHAZANFAR NAIL DEVANDRA</t>
  </si>
  <si>
    <t>RENDI ADI SUSANTO</t>
  </si>
  <si>
    <t>NASYA ARSITA FARZAMA</t>
  </si>
  <si>
    <t>FEBIAN SAGARA EL HAZIQ</t>
  </si>
  <si>
    <t>SIFAUL HUSNAH</t>
  </si>
  <si>
    <t>FEBRI H</t>
  </si>
  <si>
    <t>ALKHALIFI ZIKRI</t>
  </si>
  <si>
    <t>RATNA WATI</t>
  </si>
  <si>
    <t>HERMANTO</t>
  </si>
  <si>
    <t>HANDE LUMIO IANONE</t>
  </si>
  <si>
    <t>DEWI TIRTA DAMAYANTI</t>
  </si>
  <si>
    <t>ERWAN SUKIYANTO</t>
  </si>
  <si>
    <t>RYLEE ALDELARDO WIJAYA</t>
  </si>
  <si>
    <t>SEPTIANA</t>
  </si>
  <si>
    <t>TONI WIJAYA</t>
  </si>
  <si>
    <t>MUHAMMAD JAFRAN T</t>
  </si>
  <si>
    <t>SEPRI PAMUNGKAS</t>
  </si>
  <si>
    <t>YUDI WIJAYA</t>
  </si>
  <si>
    <t>NAZWA SHAQILA</t>
  </si>
  <si>
    <t>UMI NURJANAH</t>
  </si>
  <si>
    <t>RAYUDA PUTRA</t>
  </si>
  <si>
    <t>ZAIN ZUZA</t>
  </si>
  <si>
    <t>RINA KURNIAWATI</t>
  </si>
  <si>
    <t>HENDRIK IVANA</t>
  </si>
  <si>
    <t>TISSA EL AYUMI</t>
  </si>
  <si>
    <t>RESTU AYOMI</t>
  </si>
  <si>
    <t>ARGO DIKI</t>
  </si>
  <si>
    <t>AHMAD RAYYAN AL FAKIH</t>
  </si>
  <si>
    <t>SUTARTI</t>
  </si>
  <si>
    <t>WAGIMIN</t>
  </si>
  <si>
    <t>NASIFA FATINA</t>
  </si>
  <si>
    <t>GUSTIN PURBAYATI</t>
  </si>
  <si>
    <t>HENDRA</t>
  </si>
  <si>
    <t>AHZA ANANDA</t>
  </si>
  <si>
    <t>SUSI RAHMAWATI</t>
  </si>
  <si>
    <t>SISWANTO</t>
  </si>
  <si>
    <t>ATHAYA NOVIYANTI N</t>
  </si>
  <si>
    <t>MILA</t>
  </si>
  <si>
    <t>SUBARDI</t>
  </si>
  <si>
    <t>AZURA AGUSTIN</t>
  </si>
  <si>
    <t>RUMIYATI</t>
  </si>
  <si>
    <t>NOVI ARDIYANTO</t>
  </si>
  <si>
    <t>DEVAN PRADITA</t>
  </si>
  <si>
    <t>DWI PUSPITA SARI</t>
  </si>
  <si>
    <t>DEDIK IRAWAN</t>
  </si>
  <si>
    <t>EL ZIO FATHAN SAGARA</t>
  </si>
  <si>
    <t>MARYAM</t>
  </si>
  <si>
    <t>SUYONO</t>
  </si>
  <si>
    <t>ANGGIT DWI WARDANA</t>
  </si>
  <si>
    <t>EVI YULIANTI</t>
  </si>
  <si>
    <t>RIYONO</t>
  </si>
  <si>
    <t>RICO ATALA</t>
  </si>
  <si>
    <t>TIKA DWI PUSPITA</t>
  </si>
  <si>
    <t>HERU</t>
  </si>
  <si>
    <t>AZMI NUHA</t>
  </si>
  <si>
    <t>DWI ROFIKOH</t>
  </si>
  <si>
    <t>TAUFIK EFENDI</t>
  </si>
  <si>
    <t>RAFAN ARMANSYAH</t>
  </si>
  <si>
    <t>MARYATI</t>
  </si>
  <si>
    <t>RUDI ARMAN</t>
  </si>
  <si>
    <t>ALFATH BUMI M</t>
  </si>
  <si>
    <t>PIPIN MEILI</t>
  </si>
  <si>
    <t>HARIYANTO</t>
  </si>
  <si>
    <t>KEYSHA NADIN M</t>
  </si>
  <si>
    <t>YANTI LESTARI</t>
  </si>
  <si>
    <t>WIDODO P</t>
  </si>
  <si>
    <t>DEVANDRA ALVINO E</t>
  </si>
  <si>
    <t>DEWI ANGGRAINI</t>
  </si>
  <si>
    <t>SUGIANTO</t>
  </si>
  <si>
    <t>ANDRA HANAN</t>
  </si>
  <si>
    <t>SUPARNI</t>
  </si>
  <si>
    <t>RAYI GUSTOPO</t>
  </si>
  <si>
    <t>ASIFA INTAN NURAINI</t>
  </si>
  <si>
    <t>WIDIAWATI</t>
  </si>
  <si>
    <t>SUYADI</t>
  </si>
  <si>
    <t>FANSA CINTA PAULA</t>
  </si>
  <si>
    <t>DWI RATNA SARI</t>
  </si>
  <si>
    <t>TANIA SAFITRI</t>
  </si>
  <si>
    <t>BASELA</t>
  </si>
  <si>
    <t>SWIARTO</t>
  </si>
  <si>
    <t>ADARA FABELA W</t>
  </si>
  <si>
    <t>WIWIK</t>
  </si>
  <si>
    <t>ANDI WIJAYA</t>
  </si>
  <si>
    <t>GIFARI SAFI MUZAKI</t>
  </si>
  <si>
    <t>TRI YULIANTI</t>
  </si>
  <si>
    <t>YULIANTO</t>
  </si>
  <si>
    <t>FERSA ETES R</t>
  </si>
  <si>
    <t>PONIJEM</t>
  </si>
  <si>
    <t>ROMRNDON</t>
  </si>
  <si>
    <t>RAFINDRA ARJUNA R</t>
  </si>
  <si>
    <t>VIVI KRITINA</t>
  </si>
  <si>
    <t>SUPADI</t>
  </si>
  <si>
    <t>ADIBA AMRINA R</t>
  </si>
  <si>
    <t>LUSI PANUNTUN</t>
  </si>
  <si>
    <t>AGUS SULAIMAN</t>
  </si>
  <si>
    <t>ATHAFARIS SHIDIQ ARSALAN</t>
  </si>
  <si>
    <t>SRI ASTUTI</t>
  </si>
  <si>
    <t>SIDIK FERIYANTO</t>
  </si>
  <si>
    <t>AFIFAH AILIAH N</t>
  </si>
  <si>
    <t>SUJIATI</t>
  </si>
  <si>
    <t>PAINO</t>
  </si>
  <si>
    <t>ERSA MAULANA</t>
  </si>
  <si>
    <t>ESI SUWARSIH</t>
  </si>
  <si>
    <t>ENDRA</t>
  </si>
  <si>
    <t>DATA SASARAN USIA SEKOLAH/REMAJA</t>
  </si>
  <si>
    <t xml:space="preserve">NAMA </t>
  </si>
  <si>
    <t>JUMLAH KUNJUNGAN DAN JUMLAH SASARAN USIA SEKOLAH/REMAJA</t>
  </si>
  <si>
    <t>Khaira Asyfa</t>
  </si>
  <si>
    <t>Masudah</t>
  </si>
  <si>
    <t>Dahran Rangkuti</t>
  </si>
  <si>
    <t>M. Ridho Alkahfi</t>
  </si>
  <si>
    <t>Haryanti</t>
  </si>
  <si>
    <t>Karyono</t>
  </si>
  <si>
    <t>M. Fauzi</t>
  </si>
  <si>
    <t>Katinah</t>
  </si>
  <si>
    <t>Ridwan</t>
  </si>
  <si>
    <t>Anggun Novita</t>
  </si>
  <si>
    <t>Rumini</t>
  </si>
  <si>
    <t>Agung</t>
  </si>
  <si>
    <t>Mariyah</t>
  </si>
  <si>
    <t>Dian</t>
  </si>
  <si>
    <t>Rohayati</t>
  </si>
  <si>
    <t>Noval Prayoga</t>
  </si>
  <si>
    <t>Rini Handayani</t>
  </si>
  <si>
    <t>Subandi</t>
  </si>
  <si>
    <t>Alfian Adiyastha G</t>
  </si>
  <si>
    <t>Ernia Wati</t>
  </si>
  <si>
    <t>Erwan Adi Saputra</t>
  </si>
  <si>
    <t>Azwa Kherola</t>
  </si>
  <si>
    <t>Lina Ernawati</t>
  </si>
  <si>
    <t>Agus Subani</t>
  </si>
  <si>
    <t>Yusuf Maulana S</t>
  </si>
  <si>
    <t>Suyati</t>
  </si>
  <si>
    <t>Purwari</t>
  </si>
  <si>
    <t>Afika Wulaningsih</t>
  </si>
  <si>
    <t>Hirzan Faiz Rafidan</t>
  </si>
  <si>
    <t>Ening Yunita</t>
  </si>
  <si>
    <t>Asnan Sofian</t>
  </si>
  <si>
    <t>Rio Raditama</t>
  </si>
  <si>
    <t>Zulfikar Hafiz Berlian</t>
  </si>
  <si>
    <t>Ngatmini</t>
  </si>
  <si>
    <t>Tri Joko Mursito</t>
  </si>
  <si>
    <t>Bagas Dwi Saputra</t>
  </si>
  <si>
    <t>Putri Nur Hidayat</t>
  </si>
  <si>
    <t>Mulyati</t>
  </si>
  <si>
    <t>Kuswandi</t>
  </si>
  <si>
    <t>Valeo Putra Anesa</t>
  </si>
  <si>
    <t>Hersa Romani</t>
  </si>
  <si>
    <t>Cahaya Ramadhan U</t>
  </si>
  <si>
    <t>Reza Dava Aresta</t>
  </si>
  <si>
    <t>Tue Ratna Wati</t>
  </si>
  <si>
    <t>Boge Saniman</t>
  </si>
  <si>
    <t>Ilham Zaki Saputra</t>
  </si>
  <si>
    <t>Jumilah</t>
  </si>
  <si>
    <t>Sutikto</t>
  </si>
  <si>
    <t>Adiatma Maulana Putra</t>
  </si>
  <si>
    <t>Ana</t>
  </si>
  <si>
    <t>Parjo</t>
  </si>
  <si>
    <t>Sabila Ramadhani</t>
  </si>
  <si>
    <t>Tri Wahyuningsih</t>
  </si>
  <si>
    <t>Wakiyatno</t>
  </si>
  <si>
    <t>Ais Nurhanifa</t>
  </si>
  <si>
    <t>Adi Riswanto</t>
  </si>
  <si>
    <t>Ardiano Erlangga</t>
  </si>
  <si>
    <t>Suwarti</t>
  </si>
  <si>
    <t>Widodo</t>
  </si>
  <si>
    <t>Aprilia Anggraini</t>
  </si>
  <si>
    <t>Rina Sari</t>
  </si>
  <si>
    <t>Ilham Sidik Pratama</t>
  </si>
  <si>
    <t>Ernawati</t>
  </si>
  <si>
    <t>Sidik</t>
  </si>
  <si>
    <t>Naurah Nuraini</t>
  </si>
  <si>
    <t>Dahlia</t>
  </si>
  <si>
    <t>Zaidul Khoir</t>
  </si>
  <si>
    <t>Zulfan Anzar Reihan</t>
  </si>
  <si>
    <t>Rani Seliya</t>
  </si>
  <si>
    <t>Sri Sulistiati</t>
  </si>
  <si>
    <t>Bejo</t>
  </si>
  <si>
    <t>Fitra Ramadanu</t>
  </si>
  <si>
    <t>Badai Risky Adi Wijaya</t>
  </si>
  <si>
    <t>Santi</t>
  </si>
  <si>
    <t>Rusmanto</t>
  </si>
  <si>
    <t>Cantik Imut Pratiwi</t>
  </si>
  <si>
    <t>Suliyah</t>
  </si>
  <si>
    <t>Sumarwan</t>
  </si>
  <si>
    <t>Finel Hamad Elzafran</t>
  </si>
  <si>
    <t>Naira Dea Nofisha</t>
  </si>
  <si>
    <t>Tri Suwarni</t>
  </si>
  <si>
    <t>Endri Yulianto</t>
  </si>
  <si>
    <t>Rike Intan Oktaviani</t>
  </si>
  <si>
    <t>Keriah</t>
  </si>
  <si>
    <t>Subari</t>
  </si>
  <si>
    <t>Citra Zilda Dwi</t>
  </si>
  <si>
    <t>Baihaqi Fadil Aditama</t>
  </si>
  <si>
    <t>Fitri Yusmidar</t>
  </si>
  <si>
    <t>Sarjiyanto</t>
  </si>
  <si>
    <t>Aulia Putri Ananta</t>
  </si>
  <si>
    <t>Suyahni</t>
  </si>
  <si>
    <t>Agus Sutrisno</t>
  </si>
  <si>
    <t>Sinar Delda Kinanti</t>
  </si>
  <si>
    <t>Rahma Yanti</t>
  </si>
  <si>
    <t>Irawan Mardianto</t>
  </si>
  <si>
    <t>Umi Latifah</t>
  </si>
  <si>
    <t>Asmonah</t>
  </si>
  <si>
    <t>Sudarto</t>
  </si>
  <si>
    <t>Anggo P.</t>
  </si>
  <si>
    <t>Tri Lestari</t>
  </si>
  <si>
    <t>Sunaryo</t>
  </si>
  <si>
    <t>Adnan Sanjaya</t>
  </si>
  <si>
    <t>Keyla Sheza P.</t>
  </si>
  <si>
    <t>Nova Rintana</t>
  </si>
  <si>
    <t>Rudi</t>
  </si>
  <si>
    <t>Adinda Varadilla</t>
  </si>
  <si>
    <t>Vivi Damayanti</t>
  </si>
  <si>
    <t>Ujang Suryanto</t>
  </si>
  <si>
    <t>Nazril Ikwan Fahruly</t>
  </si>
  <si>
    <t>Khoirotun Nikmah</t>
  </si>
  <si>
    <t>Kusrini</t>
  </si>
  <si>
    <t>Imam Purwoko</t>
  </si>
  <si>
    <t>Pratama Armada Fungki</t>
  </si>
  <si>
    <t>Aksan Pandu Nugroho</t>
  </si>
  <si>
    <t>Nurmiati</t>
  </si>
  <si>
    <t>Maryadi</t>
  </si>
  <si>
    <t>Rehan Dwika Bahab</t>
  </si>
  <si>
    <t>Nurhayati</t>
  </si>
  <si>
    <t>Anton Bahari</t>
  </si>
  <si>
    <t>Zordan Juni Son</t>
  </si>
  <si>
    <t>Dhavino Dirga Pratama</t>
  </si>
  <si>
    <t>Sri Lestari</t>
  </si>
  <si>
    <t>Suprianto</t>
  </si>
  <si>
    <t>Bahtiar Yusuf</t>
  </si>
  <si>
    <t>Maryati</t>
  </si>
  <si>
    <t>Agus Purnomo</t>
  </si>
  <si>
    <t>Elen Noor Khasanah</t>
  </si>
  <si>
    <t>Dante Saputra</t>
  </si>
  <si>
    <t>Tugiyah</t>
  </si>
  <si>
    <t>Suyadi</t>
  </si>
  <si>
    <t>Vega Dwi Salsabila</t>
  </si>
  <si>
    <t>Kesiawati</t>
  </si>
  <si>
    <t>Jumari</t>
  </si>
  <si>
    <t>Keysha Oktia Putri</t>
  </si>
  <si>
    <t>Ipung Purwasih</t>
  </si>
  <si>
    <t>Mujianto</t>
  </si>
  <si>
    <t>Fatan Reflendra Syahputra</t>
  </si>
  <si>
    <t>Sujiati</t>
  </si>
  <si>
    <t>Juan Ahmad Yunian</t>
  </si>
  <si>
    <t>Keila Valencia</t>
  </si>
  <si>
    <t>Siti Rofingatun</t>
  </si>
  <si>
    <t>Hajar Pramono</t>
  </si>
  <si>
    <t>Anisa Aulia Maharani</t>
  </si>
  <si>
    <t>Sutarmi</t>
  </si>
  <si>
    <t>Santoso</t>
  </si>
  <si>
    <t>Galuh Febi Fitri Berlian</t>
  </si>
  <si>
    <t>Tusta Erlia</t>
  </si>
  <si>
    <t>Agus Suwanto</t>
  </si>
  <si>
    <t>Pedrp Firman Desstian</t>
  </si>
  <si>
    <t>Putri Selvia Sari</t>
  </si>
  <si>
    <t>Selvia Wijayanti</t>
  </si>
  <si>
    <t>Kirana S.</t>
  </si>
  <si>
    <t>Nina Diana</t>
  </si>
  <si>
    <t>Keri Subarkah</t>
  </si>
  <si>
    <t>Rama Julian Saputra</t>
  </si>
  <si>
    <t>Dwi Nurmalasari</t>
  </si>
  <si>
    <t>Najwa Humairah</t>
  </si>
  <si>
    <t>Tri Hartini</t>
  </si>
  <si>
    <t>Parjoko</t>
  </si>
  <si>
    <t>Selvia Oktaviani</t>
  </si>
  <si>
    <t>Adang Sudrajad</t>
  </si>
  <si>
    <t>Satria Anggara</t>
  </si>
  <si>
    <t>Ega Rismawan</t>
  </si>
  <si>
    <t>Tegar Ramadhani</t>
  </si>
  <si>
    <t>Sri Anda Wikarti</t>
  </si>
  <si>
    <t>Sunarto</t>
  </si>
  <si>
    <t>M. Langit Faeza</t>
  </si>
  <si>
    <t>Een Wienda Wati</t>
  </si>
  <si>
    <t>Rian Hermawan</t>
  </si>
  <si>
    <t>Berlian Apandi Jaya</t>
  </si>
  <si>
    <t>Minarti</t>
  </si>
  <si>
    <t>Arifin</t>
  </si>
  <si>
    <t>Fernando Aditya</t>
  </si>
  <si>
    <t>Suyanti</t>
  </si>
  <si>
    <t>Tumiyo</t>
  </si>
  <si>
    <t>Eka Najwa Putri</t>
  </si>
  <si>
    <t>Harni</t>
  </si>
  <si>
    <t>Budianto</t>
  </si>
  <si>
    <t>M.Riski Pratama</t>
  </si>
  <si>
    <t>Dwi Arista</t>
  </si>
  <si>
    <t>Aris Setiawan</t>
  </si>
  <si>
    <t>Handoko</t>
  </si>
  <si>
    <t>Sugiyanti</t>
  </si>
  <si>
    <t>Abdul Hamid</t>
  </si>
  <si>
    <t>M. Fino Pratama</t>
  </si>
  <si>
    <t>Desi</t>
  </si>
  <si>
    <t>Edi Suyanto</t>
  </si>
  <si>
    <t>Natasha Dwi Saputri</t>
  </si>
  <si>
    <t>Sumiyati</t>
  </si>
  <si>
    <t>Sudarsono</t>
  </si>
  <si>
    <t>Aulia Isnaini</t>
  </si>
  <si>
    <t>Vaidah</t>
  </si>
  <si>
    <t>Edi Susanto</t>
  </si>
  <si>
    <t>Ikwan Nurzaman</t>
  </si>
  <si>
    <t>Narti</t>
  </si>
  <si>
    <t>Kliman</t>
  </si>
  <si>
    <t>Raihan Putra Pratama</t>
  </si>
  <si>
    <t>Davi Sahira</t>
  </si>
  <si>
    <t>Partiyah</t>
  </si>
  <si>
    <t>Sutamto</t>
  </si>
  <si>
    <t>Natan Diego Ramadan</t>
  </si>
  <si>
    <t>Yunita Eka Putri</t>
  </si>
  <si>
    <t>Krisnata Fananda</t>
  </si>
  <si>
    <t>Khairi Asyfa</t>
  </si>
  <si>
    <t>Ulya Azizah</t>
  </si>
  <si>
    <t>Zahra Nagita P</t>
  </si>
  <si>
    <t>Wiwik Umiyati</t>
  </si>
  <si>
    <t>Sutran</t>
  </si>
  <si>
    <t>Yogi Kristifan</t>
  </si>
  <si>
    <t>Lidiawati</t>
  </si>
  <si>
    <t>Juwat</t>
  </si>
  <si>
    <t>Yanam Fatir Algofur</t>
  </si>
  <si>
    <t>Nurhandayani</t>
  </si>
  <si>
    <t>Imam Mustoleh</t>
  </si>
  <si>
    <t>M. Rasqa Yunan Arif</t>
  </si>
  <si>
    <t>Sri Yuliningsih</t>
  </si>
  <si>
    <t>Arif Rahmanto</t>
  </si>
  <si>
    <t>Bilal Wahyu Adista</t>
  </si>
  <si>
    <t>Winarsih</t>
  </si>
  <si>
    <t>Mardiono</t>
  </si>
  <si>
    <t>Hernando Mitra Jaya</t>
  </si>
  <si>
    <t>Herma Fitriana</t>
  </si>
  <si>
    <t>Peter Tanu Jaya</t>
  </si>
  <si>
    <t>Eldri Cahya Pratama</t>
  </si>
  <si>
    <t>Katminah</t>
  </si>
  <si>
    <t>Damang Wiguna</t>
  </si>
  <si>
    <t>Dwi Apriliani</t>
  </si>
  <si>
    <t>Eni Wati</t>
  </si>
  <si>
    <t>Suprapto</t>
  </si>
  <si>
    <t>Azril Candra Alfi</t>
  </si>
  <si>
    <t>Darwati</t>
  </si>
  <si>
    <t>Asyraf Khairul Azam</t>
  </si>
  <si>
    <t>Khotimah</t>
  </si>
  <si>
    <t>Suranto</t>
  </si>
  <si>
    <t>Fino Dwi Saputra</t>
  </si>
  <si>
    <t>Darminah</t>
  </si>
  <si>
    <t>Aan Sutahan</t>
  </si>
  <si>
    <t>Rafa Maulana Fadilah</t>
  </si>
  <si>
    <t>Rumiati</t>
  </si>
  <si>
    <t>Jumanto</t>
  </si>
  <si>
    <t>Adil Mufli Wirawan</t>
  </si>
  <si>
    <t>Tanti Handayani</t>
  </si>
  <si>
    <t>Dwi Minarto</t>
  </si>
  <si>
    <t>Amri Hidayat</t>
  </si>
  <si>
    <t>Yatini</t>
  </si>
  <si>
    <t>Darmawi</t>
  </si>
  <si>
    <t>Dian Puspita Sari</t>
  </si>
  <si>
    <t>Rini</t>
  </si>
  <si>
    <t>Mahfudin</t>
  </si>
  <si>
    <t>Andra Alfariski M</t>
  </si>
  <si>
    <t>Zulham Haris Kurniawan</t>
  </si>
  <si>
    <t>Haniyantini</t>
  </si>
  <si>
    <t>Muji Setiawan</t>
  </si>
  <si>
    <t>Fara Rasya Qonita</t>
  </si>
  <si>
    <t>Sukma Darwati</t>
  </si>
  <si>
    <t>Nanang Sumarsono</t>
  </si>
  <si>
    <t>Umi Halimah Syadiyah</t>
  </si>
  <si>
    <t>Sherly Adzkiya Putri</t>
  </si>
  <si>
    <t>ZHAN BAMBANG IRAWAN</t>
  </si>
  <si>
    <t>NANIK</t>
  </si>
  <si>
    <t>SUKARNO</t>
  </si>
  <si>
    <t>KHAFKA AZMI NURMAUZA</t>
  </si>
  <si>
    <t>SRIYATUNI</t>
  </si>
  <si>
    <t>AGUS SUSANTO</t>
  </si>
  <si>
    <t>AZAHRA NAILA PUTRI</t>
  </si>
  <si>
    <t>HARNIS NOFIKA SARI</t>
  </si>
  <si>
    <t>WIDIA KURNIANTO</t>
  </si>
  <si>
    <t>ULFA ROYZATUL ADINDA</t>
  </si>
  <si>
    <t>DWI DONIATI</t>
  </si>
  <si>
    <t>DENI IRAWAN</t>
  </si>
  <si>
    <t>WILDAN HANIF AL FAKHRI</t>
  </si>
  <si>
    <t>SALSABILA KHOIRI NISA</t>
  </si>
  <si>
    <t>SUTONO</t>
  </si>
  <si>
    <t>BINTANG ATMA JAYA SUGIARTO</t>
  </si>
  <si>
    <t>FENI YULIANTI</t>
  </si>
  <si>
    <t>HENDRI SUGIARTO</t>
  </si>
  <si>
    <t>BRILIAN SUGIARTO</t>
  </si>
  <si>
    <t>KHANAYA NINDYA AL FATIR</t>
  </si>
  <si>
    <t>ANI NOVIYANTI</t>
  </si>
  <si>
    <t>EDI SULISTYO</t>
  </si>
  <si>
    <t>ANGGARA MEIZA PUTRI KHALIKA</t>
  </si>
  <si>
    <t>HALIMAH</t>
  </si>
  <si>
    <t>SUBANDI</t>
  </si>
  <si>
    <t>AYUDIA KAMILA</t>
  </si>
  <si>
    <t>SEFRI PAMUNGKAS</t>
  </si>
  <si>
    <t>YUDI KAMILA</t>
  </si>
  <si>
    <t>ADRIAN RIZKI PRATAMA</t>
  </si>
  <si>
    <t>SRI RAHAYU</t>
  </si>
  <si>
    <t>RISMAWANTO</t>
  </si>
  <si>
    <t>DEVEN PRASAJA IRAWAN</t>
  </si>
  <si>
    <t>DEDI IRAWAN</t>
  </si>
  <si>
    <t>AMAR HAFIS FADULAH</t>
  </si>
  <si>
    <t>EKA TRI WAHYUNI</t>
  </si>
  <si>
    <t>ENDRI SETIYADARMA</t>
  </si>
  <si>
    <t>MUHAMAD FATHUL FAUZI</t>
  </si>
  <si>
    <t>RUSMIYATI</t>
  </si>
  <si>
    <t>ADIFA NAZLA WULANDARI</t>
  </si>
  <si>
    <t>PITI KHUSNULKHOTIMAH</t>
  </si>
  <si>
    <t>ERWAN BUDI PURNAMA</t>
  </si>
  <si>
    <t>GHAISAN ARGA DAVENDRA</t>
  </si>
  <si>
    <t>DAVID INDRA SAPUTA</t>
  </si>
  <si>
    <t>KHAIRA TALITA SHANUM</t>
  </si>
  <si>
    <t>AFRA FATHIRYA RACHEL</t>
  </si>
  <si>
    <t>YULIANTO WIBOWO</t>
  </si>
  <si>
    <t>MUMAHAT AKTHAR CAKA NURHUDIN</t>
  </si>
  <si>
    <t>TRI SEPTIAWATI</t>
  </si>
  <si>
    <t>BASIRUDIN</t>
  </si>
  <si>
    <t>NABILA SALMA FAIZA</t>
  </si>
  <si>
    <t>HENDRI IVANA</t>
  </si>
  <si>
    <t>ARJUNA ABSYAR NADUWI</t>
  </si>
  <si>
    <t>AMELIA INTAN FEBRIANA</t>
  </si>
  <si>
    <t>DWI ARISKA</t>
  </si>
  <si>
    <t>AFIZAH AZAHRA ALMIRA</t>
  </si>
  <si>
    <t>PURWANTINI</t>
  </si>
  <si>
    <t>SURYONO</t>
  </si>
  <si>
    <t>MUHAMMAD AFRIZAL</t>
  </si>
  <si>
    <t>SANI</t>
  </si>
  <si>
    <t>SLAMET RIYADI</t>
  </si>
  <si>
    <t>KARINA MIKHAILA AZAHRA</t>
  </si>
  <si>
    <t>RANI RIKIANA</t>
  </si>
  <si>
    <t>JAKA ERWANSYAH</t>
  </si>
  <si>
    <t>AZMIA DWI KHANZA</t>
  </si>
  <si>
    <t>SUWARTINI</t>
  </si>
  <si>
    <t>BASORI</t>
  </si>
  <si>
    <t>MUHAMAD HAFIS ADI PRATAMA</t>
  </si>
  <si>
    <t>ESTI ROBANA</t>
  </si>
  <si>
    <t>SUGENG HARYADI</t>
  </si>
  <si>
    <t>SUCI AYU AL FATIN</t>
  </si>
  <si>
    <t>INTA NUR MAULIDA</t>
  </si>
  <si>
    <t>SITI ROHMAWAH</t>
  </si>
  <si>
    <t>IWAN HARYONO</t>
  </si>
  <si>
    <t>MUHAMAD GIBRAN ISMAIL</t>
  </si>
  <si>
    <t>NAFIZA AZ KAYRA PURBAYANTI</t>
  </si>
  <si>
    <t>GUSTINA PURBAYANTI</t>
  </si>
  <si>
    <t>ALIFA SRI HIBATILLA</t>
  </si>
  <si>
    <t>TRI ROHANI</t>
  </si>
  <si>
    <t>TRI GUNTORO</t>
  </si>
  <si>
    <t>MUHAMAD YUSUF ABDILAH</t>
  </si>
  <si>
    <t>MUJIATI</t>
  </si>
  <si>
    <t>MUCHLISIN ALAHUDIN</t>
  </si>
  <si>
    <t>ORLANDO ARSENIO HARTATO</t>
  </si>
  <si>
    <t>ITA RIANTIKA</t>
  </si>
  <si>
    <t>HARTATO</t>
  </si>
  <si>
    <t>CLARISA PUTRI</t>
  </si>
  <si>
    <t>SUMIATI</t>
  </si>
  <si>
    <t>SAMSUDIN</t>
  </si>
  <si>
    <t>ROSIANA ZASKIA</t>
  </si>
  <si>
    <t>NUR HASLINA</t>
  </si>
  <si>
    <t>BAMBANG SUTOMO</t>
  </si>
  <si>
    <t>NIGESA KEYSA ROSALIM</t>
  </si>
  <si>
    <t>RUSMIATI</t>
  </si>
  <si>
    <t>MUHAMAT SALIM</t>
  </si>
  <si>
    <t>SYIFAUL ZAHRA FIRDAUS</t>
  </si>
  <si>
    <t>SITI SAROH</t>
  </si>
  <si>
    <t>BENI YUWONO</t>
  </si>
  <si>
    <t>GILSHA DELVEZA AGUSTSYA</t>
  </si>
  <si>
    <t>LINDA PURNAMASARI</t>
  </si>
  <si>
    <t>HARTONO</t>
  </si>
  <si>
    <t>AZIYA AFSYA CAHYADI</t>
  </si>
  <si>
    <t>DWI NOVITA INDRIANA</t>
  </si>
  <si>
    <t>AGUS NURYADI</t>
  </si>
  <si>
    <t>MUHAMAD FADIL AMZARI</t>
  </si>
  <si>
    <t>EDWIN ADI SAPUTRA</t>
  </si>
  <si>
    <t>ILMA SYAFA RODIYAH</t>
  </si>
  <si>
    <t>DESI SUSANTI</t>
  </si>
  <si>
    <t>MARYADI SAIFULLAH</t>
  </si>
  <si>
    <t>FAREL FERNAWAN</t>
  </si>
  <si>
    <t>RAFA NARENDRA</t>
  </si>
  <si>
    <t>ALIF ARYA PRASETYA</t>
  </si>
  <si>
    <t>TRI LESTARI</t>
  </si>
  <si>
    <t>PUDI WINOTO</t>
  </si>
  <si>
    <t>FITRIYA MELINDA</t>
  </si>
  <si>
    <t>UMIYATI</t>
  </si>
  <si>
    <t>MINARTO</t>
  </si>
  <si>
    <t>HALFINO DWI NOVADA</t>
  </si>
  <si>
    <t>MILAH</t>
  </si>
  <si>
    <t>ARI NUR AINI</t>
  </si>
  <si>
    <t>ANJARANI</t>
  </si>
  <si>
    <t>YUDI KASIYANTO</t>
  </si>
  <si>
    <t>HERYA ISRA MIFTA ARRAUF</t>
  </si>
  <si>
    <t>HERMIN SETIYONINGSIH</t>
  </si>
  <si>
    <t>SUYATNO</t>
  </si>
  <si>
    <t>MUHAMAD ILHAM</t>
  </si>
  <si>
    <t>WAHYUNI</t>
  </si>
  <si>
    <t>HANIFAH SYAHPUTRI</t>
  </si>
  <si>
    <t>RATNAWATI</t>
  </si>
  <si>
    <t>FAUZIAH NABILA ULFA</t>
  </si>
  <si>
    <t>ALENCIUS JULIO</t>
  </si>
  <si>
    <t>MARYANI</t>
  </si>
  <si>
    <t>L SUKADI</t>
  </si>
  <si>
    <t>REHAN AJI RIYANTO</t>
  </si>
  <si>
    <t>KASMONAH</t>
  </si>
  <si>
    <t>KASIYAN</t>
  </si>
  <si>
    <t>HAFIS KHAIRUL PRATAMA</t>
  </si>
  <si>
    <t>WIDIYA SARI</t>
  </si>
  <si>
    <t>BAGUS FAISAL PRIMA</t>
  </si>
  <si>
    <t>ISMAIL</t>
  </si>
  <si>
    <t>IRHAM SYAHDAN AL FATHIR</t>
  </si>
  <si>
    <t>GALIH PRATAMA</t>
  </si>
  <si>
    <t>UPIYAH</t>
  </si>
  <si>
    <t>SUPRIYANTO</t>
  </si>
  <si>
    <t>NABILA ANGGUN SAFIRA</t>
  </si>
  <si>
    <t>SARIYANTI</t>
  </si>
  <si>
    <t>EKO SAPUTRA</t>
  </si>
  <si>
    <t>ROHIS GHAFINDRA</t>
  </si>
  <si>
    <t>TRIMAH ROHATIYAH</t>
  </si>
  <si>
    <t>KISWANTO</t>
  </si>
  <si>
    <t>WULAN RAMADHANI</t>
  </si>
  <si>
    <t>SRI ASTUSI</t>
  </si>
  <si>
    <t>ZIDNI DWI ARIANTO</t>
  </si>
  <si>
    <t>ARIANA</t>
  </si>
  <si>
    <t>SUWITO YULIANTORO</t>
  </si>
  <si>
    <t>MUARIF ALFIAN SIDIK</t>
  </si>
  <si>
    <t>JARIYAH</t>
  </si>
  <si>
    <t>IMAM SUJARNO</t>
  </si>
  <si>
    <t>AHMAD FAHRUDIN</t>
  </si>
  <si>
    <t>KARTINI</t>
  </si>
  <si>
    <t>MARYONO</t>
  </si>
  <si>
    <t>HEBIL KURNIA RAMADHAN</t>
  </si>
  <si>
    <t>RUMIATI</t>
  </si>
  <si>
    <t>MUHAMAD FATHAN SAPUTRA</t>
  </si>
  <si>
    <t>PUJI CAHYANI</t>
  </si>
  <si>
    <t>SUSANTO</t>
  </si>
  <si>
    <t>FAIHA RIYANA</t>
  </si>
  <si>
    <t>SUMARNI JUWANTO</t>
  </si>
  <si>
    <t>JUWANTO</t>
  </si>
  <si>
    <t>ERIL LANONE</t>
  </si>
  <si>
    <t>DWI TIRTA DAMAYANTI</t>
  </si>
  <si>
    <t>EGI RAHMADINA</t>
  </si>
  <si>
    <t>SRI LESTARI</t>
  </si>
  <si>
    <t>MUHRONI</t>
  </si>
  <si>
    <t>ANDESTA RESTU IRAWAN</t>
  </si>
  <si>
    <t>ANASTASA INDAH</t>
  </si>
  <si>
    <t>ANTONIUS SUSANTO</t>
  </si>
  <si>
    <t>MAYANG PARAWITA</t>
  </si>
  <si>
    <t>NESA RULIE AGUSTIN</t>
  </si>
  <si>
    <t>NELI YULIANTI</t>
  </si>
  <si>
    <t>SAKIMAN</t>
  </si>
  <si>
    <t>GALUH AFRA FAUZIA</t>
  </si>
  <si>
    <t>MARSINI</t>
  </si>
  <si>
    <t>KUSWANTO</t>
  </si>
  <si>
    <t>TRYSTAN IRKHAM AL AZAM</t>
  </si>
  <si>
    <t>BUDI HARTI</t>
  </si>
  <si>
    <t>SUPOMO</t>
  </si>
  <si>
    <t>JULIAN ALDRIN PASHA</t>
  </si>
  <si>
    <t>HENDRI PRASETYAWATI</t>
  </si>
  <si>
    <t>PURWADI</t>
  </si>
  <si>
    <t>MUHAMAD ZAKI ISHAK</t>
  </si>
  <si>
    <t>KUSMIATI</t>
  </si>
  <si>
    <t>FAISAL ISHAK</t>
  </si>
  <si>
    <t>RAHMADINA INAYAH</t>
  </si>
  <si>
    <t>TIVA DWI ARMANDA</t>
  </si>
  <si>
    <t>SULISTIANA</t>
  </si>
  <si>
    <t>TUGIMIN</t>
  </si>
  <si>
    <t>DZAKIRA AFTAN</t>
  </si>
  <si>
    <t>ADZKIA TIRFA AL KARIMAH</t>
  </si>
  <si>
    <t>HAFIS ZINEDINE ZIDAN</t>
  </si>
  <si>
    <t>LASTRI ASIH</t>
  </si>
  <si>
    <t>SUMARYANTO</t>
  </si>
  <si>
    <t>MUHAMAD LANGID FAEYZA</t>
  </si>
  <si>
    <t>EEN WENDA WATI</t>
  </si>
  <si>
    <t>RIYAN HERNAWAN</t>
  </si>
  <si>
    <t>LEFITO KENZIRO PRIYA RAJENDRA</t>
  </si>
  <si>
    <t>TITIK BEKTI WULANDARI</t>
  </si>
  <si>
    <t>LAFIFUDIN</t>
  </si>
  <si>
    <t>HAFIS SOFA ALIM</t>
  </si>
  <si>
    <t>DINI WIDYA PUTRI</t>
  </si>
  <si>
    <t>DWI ERNAWATI</t>
  </si>
  <si>
    <t>BUDI EKO WAHYUDI</t>
  </si>
  <si>
    <t>ASIFA DEA KARTIKA</t>
  </si>
  <si>
    <t>HERU SETIAWAN</t>
  </si>
  <si>
    <t>QOLBI KHOIRUL ASAFAR</t>
  </si>
  <si>
    <t>ENDAH KUSUMAWATI</t>
  </si>
  <si>
    <t>SUMARWAN</t>
  </si>
  <si>
    <t>ROZIKA SYAMSU SIDIK</t>
  </si>
  <si>
    <t>DWI MARYANI</t>
  </si>
  <si>
    <t>RASTI KHUSNUL KOYIMAH</t>
  </si>
  <si>
    <t>ROHIMAH</t>
  </si>
  <si>
    <t>RUDIYANTO</t>
  </si>
  <si>
    <t>MUHAMMAD ARGA FERIAN</t>
  </si>
  <si>
    <t>TUGIATI</t>
  </si>
  <si>
    <t>SUDARSONO</t>
  </si>
  <si>
    <t>MUHAMAD HABIBI ABDILAH</t>
  </si>
  <si>
    <t>SUYATI</t>
  </si>
  <si>
    <t>TRIMAN</t>
  </si>
  <si>
    <t>MUHAMAD REHAN</t>
  </si>
  <si>
    <t>SULASTRI</t>
  </si>
  <si>
    <t>ISWANTORO</t>
  </si>
  <si>
    <t>DAVID SUPRIYANTO</t>
  </si>
  <si>
    <t>ENI WINARNI</t>
  </si>
  <si>
    <t>SUGITO</t>
  </si>
  <si>
    <t>ALFA KHOIRUNISA</t>
  </si>
  <si>
    <t>KHOIRUNIKMAH</t>
  </si>
  <si>
    <t>ASIR NURSANDI</t>
  </si>
  <si>
    <t>KHALIFA ZAHRA SAPUTRI</t>
  </si>
  <si>
    <t>SUGIARNI</t>
  </si>
  <si>
    <t>SAPTONO</t>
  </si>
  <si>
    <t>IBRA SATRIA BERLIAN</t>
  </si>
  <si>
    <t>SUSANTI</t>
  </si>
  <si>
    <t>SUKIRNO</t>
  </si>
  <si>
    <t>DIVA PRASTISIA PUTRI</t>
  </si>
  <si>
    <t>SUPRAPTI</t>
  </si>
  <si>
    <t>SUTRISNO</t>
  </si>
  <si>
    <t>ARIF FARHAN RAIF</t>
  </si>
  <si>
    <t>SUPARNO</t>
  </si>
  <si>
    <t>MUHAMAD WILDAN SAKURON</t>
  </si>
  <si>
    <t>SITI ROHMAWATI</t>
  </si>
  <si>
    <t>AHMAD SINGGIH KURNIAWAN</t>
  </si>
  <si>
    <t>AFRA FATIYA RACHEL</t>
  </si>
  <si>
    <t>YULIANTI</t>
  </si>
  <si>
    <t>RAFI PRAYOGA</t>
  </si>
  <si>
    <t>ANINDYA RASYID</t>
  </si>
  <si>
    <t>ADISTI WULANSARI GUNAWAN</t>
  </si>
  <si>
    <t>IIR YULIA</t>
  </si>
  <si>
    <t>HENDRA GUNAWAN</t>
  </si>
  <si>
    <t>LINTANG HATINING JAYA G</t>
  </si>
  <si>
    <t>HEDRA GUNAWAN</t>
  </si>
  <si>
    <t>ANDINI RIZKY DAMAYANTI</t>
  </si>
  <si>
    <t>ROHMANJANAH</t>
  </si>
  <si>
    <t>TUMIJAN</t>
  </si>
  <si>
    <t>BAGAS DWI ANTOKO</t>
  </si>
  <si>
    <t>MARIATI</t>
  </si>
  <si>
    <t>PURWANTO</t>
  </si>
  <si>
    <t>BAGUS TRI WAHYUDI</t>
  </si>
  <si>
    <t>GEONI ARTHA ERLANGGA</t>
  </si>
  <si>
    <t>ENI WINARSIH</t>
  </si>
  <si>
    <t>SUGIONO</t>
  </si>
  <si>
    <t>RIZKI AZIZ SAPUTRA</t>
  </si>
  <si>
    <t>TUGIEM</t>
  </si>
  <si>
    <t>JUMANI</t>
  </si>
  <si>
    <t>FAIZA NAYIMATUL ZAHRA</t>
  </si>
  <si>
    <t>MARIANA</t>
  </si>
  <si>
    <t>NURYONO</t>
  </si>
  <si>
    <t>DESNALTA ZIDAN IKHWANDA</t>
  </si>
  <si>
    <t>RESTU NINGSIH</t>
  </si>
  <si>
    <t>AMSORI</t>
  </si>
  <si>
    <t>KEANU AHMAT ABBASY</t>
  </si>
  <si>
    <t>VIVI KRITRIA</t>
  </si>
  <si>
    <t>VIKA ELLISIA LUTFITASARI</t>
  </si>
  <si>
    <t>SUMINI</t>
  </si>
  <si>
    <t>TRIYONO</t>
  </si>
  <si>
    <t>AFIFAH KHOIRUNISA</t>
  </si>
  <si>
    <t>APRIATMAJI</t>
  </si>
  <si>
    <t>MUHAMAD AL FATIR</t>
  </si>
  <si>
    <t>KASRIYAH</t>
  </si>
  <si>
    <t>BAMBANG PERMADI</t>
  </si>
  <si>
    <t>AGUSTINUS GESA PRATAMA</t>
  </si>
  <si>
    <t>MARIA PARYANTI</t>
  </si>
  <si>
    <t>ANDRIANUS SUBAGYO</t>
  </si>
  <si>
    <t>FLORENSI ELSEN MELANI</t>
  </si>
  <si>
    <t>B SAPUTRA</t>
  </si>
  <si>
    <t>TERESA SARIEM</t>
  </si>
  <si>
    <t>NASIP SAPTONO</t>
  </si>
  <si>
    <t>MARIA EMA NOVIAN</t>
  </si>
  <si>
    <t>SUNARTI</t>
  </si>
  <si>
    <t>DALIJAN</t>
  </si>
  <si>
    <t>NURAISAH</t>
  </si>
  <si>
    <t>SAHRONI</t>
  </si>
  <si>
    <t>SISKA DEWI AISAH</t>
  </si>
  <si>
    <t>SADIYAH</t>
  </si>
  <si>
    <t>SUROTO</t>
  </si>
  <si>
    <t>DIAS PERMATA SARI</t>
  </si>
  <si>
    <t>WIWIK NURHAYATI</t>
  </si>
  <si>
    <t>NUR KAMIT</t>
  </si>
  <si>
    <t>DIAN PERMATA</t>
  </si>
  <si>
    <t>NURKAMIT</t>
  </si>
  <si>
    <t>SOFI LATIFATIN</t>
  </si>
  <si>
    <t>SITI NURWASINGAH</t>
  </si>
  <si>
    <t>SAMSURI</t>
  </si>
  <si>
    <t>SALWA AINUN NIKMAH</t>
  </si>
  <si>
    <t>SRI WAHYUNI</t>
  </si>
  <si>
    <t>ZAINAL ABIDIN</t>
  </si>
  <si>
    <t>RIZQI AHMAN FAIRUS</t>
  </si>
  <si>
    <t>ANDRIAN FIRDAUS</t>
  </si>
  <si>
    <t>BENI YUONO</t>
  </si>
  <si>
    <t>RADITYA JANDINAR</t>
  </si>
  <si>
    <t>WINARTI</t>
  </si>
  <si>
    <t>EDI SUROTO</t>
  </si>
  <si>
    <t>DESVA SATYA DINAR</t>
  </si>
  <si>
    <t>MUHAMAD ZAKI A</t>
  </si>
  <si>
    <t>SURYANTO</t>
  </si>
  <si>
    <t>PRADIPTA ARZIKI R</t>
  </si>
  <si>
    <t>WIDODO PRATAMA</t>
  </si>
  <si>
    <t>BINTANG DECKO MAHESA P</t>
  </si>
  <si>
    <t>DEWI EKA YULIANA</t>
  </si>
  <si>
    <t>JOKO YULIANTO</t>
  </si>
  <si>
    <t>M FAQIH ABDUL ALIM</t>
  </si>
  <si>
    <t>DATA SASARAN DEWASA/LANSIA</t>
  </si>
  <si>
    <t>JUMLAH KUNJUNGAN DAN JUMLAH SASARAN DEWASA/LANSIA</t>
  </si>
  <si>
    <t>Wagimen</t>
  </si>
  <si>
    <t>Tini</t>
  </si>
  <si>
    <t>Giyo</t>
  </si>
  <si>
    <t>Ponirah</t>
  </si>
  <si>
    <t>Tukiman</t>
  </si>
  <si>
    <t>Ngatiyem</t>
  </si>
  <si>
    <t>Tumirin</t>
  </si>
  <si>
    <t>Defandra Juliardi</t>
  </si>
  <si>
    <t>Jumiati</t>
  </si>
  <si>
    <t>Gusmanti Jaya</t>
  </si>
  <si>
    <t>Mujiyanto</t>
  </si>
  <si>
    <t>Sumarni</t>
  </si>
  <si>
    <t>Misgiman</t>
  </si>
  <si>
    <t>Welas</t>
  </si>
  <si>
    <t>Wagiman</t>
  </si>
  <si>
    <t>Rahmad Hadi Santoso</t>
  </si>
  <si>
    <t>Sandi Sanjaya</t>
  </si>
  <si>
    <t>Suwarno</t>
  </si>
  <si>
    <t>Handika</t>
  </si>
  <si>
    <t>Tukinem</t>
  </si>
  <si>
    <t>Bokari</t>
  </si>
  <si>
    <t>Wagiyem</t>
  </si>
  <si>
    <t>Trimo</t>
  </si>
  <si>
    <t>Pujiono</t>
  </si>
  <si>
    <t>Gempar Prastia Putra</t>
  </si>
  <si>
    <t>Mami</t>
  </si>
  <si>
    <t>Fernando Aditiya</t>
  </si>
  <si>
    <t>Siti Maymunah</t>
  </si>
  <si>
    <t>Barudin</t>
  </si>
  <si>
    <t>Nuriyah</t>
  </si>
  <si>
    <t>Sumarno</t>
  </si>
  <si>
    <t>Masriyah</t>
  </si>
  <si>
    <t>Sarwijo</t>
  </si>
  <si>
    <t>Kefin</t>
  </si>
  <si>
    <t>Narni</t>
  </si>
  <si>
    <t>Suhadi</t>
  </si>
  <si>
    <t>Fajar Hariyanto</t>
  </si>
  <si>
    <t>Juminah</t>
  </si>
  <si>
    <t>Mugiono</t>
  </si>
  <si>
    <t>Lucky Lebriano</t>
  </si>
  <si>
    <t>Fatimah</t>
  </si>
  <si>
    <t>Sigit</t>
  </si>
  <si>
    <t>Tukini</t>
  </si>
  <si>
    <t>Pawiro Harjo</t>
  </si>
  <si>
    <t>Muryanto</t>
  </si>
  <si>
    <t>Daliyem</t>
  </si>
  <si>
    <t>Iqbal Kurniawan</t>
  </si>
  <si>
    <t>Mudrikah</t>
  </si>
  <si>
    <t>Wariman</t>
  </si>
  <si>
    <t>Umar Hanif</t>
  </si>
  <si>
    <t>Amir Furqon</t>
  </si>
  <si>
    <t>Muhammad Zaini</t>
  </si>
  <si>
    <t>Sri Muryani</t>
  </si>
  <si>
    <t>Rakiman</t>
  </si>
  <si>
    <t>Viky Febriansyah</t>
  </si>
  <si>
    <t>Mundir</t>
  </si>
  <si>
    <t>Heriyanto</t>
  </si>
  <si>
    <t>Misngatin</t>
  </si>
  <si>
    <t>Dasuki</t>
  </si>
  <si>
    <t>Eko Apriadi</t>
  </si>
  <si>
    <t>Tuminem</t>
  </si>
  <si>
    <t>Dullah Alim</t>
  </si>
  <si>
    <t>Sukamto</t>
  </si>
  <si>
    <t>Nurmiyati</t>
  </si>
  <si>
    <t>Bidiyono</t>
  </si>
  <si>
    <t>Aditiya</t>
  </si>
  <si>
    <t>Siti Munawaroh</t>
  </si>
  <si>
    <t>Sujilah</t>
  </si>
  <si>
    <t>Suparman</t>
  </si>
  <si>
    <t>Apriyanto</t>
  </si>
  <si>
    <t>Sarmi</t>
  </si>
  <si>
    <t>Mari</t>
  </si>
  <si>
    <t>Syahrul Arifin</t>
  </si>
  <si>
    <t>Dwi Yulianti</t>
  </si>
  <si>
    <t>Diyo Tara Elega</t>
  </si>
  <si>
    <t>Panuti</t>
  </si>
  <si>
    <t>Tugiman</t>
  </si>
  <si>
    <t>Sutarsi</t>
  </si>
  <si>
    <t>Marsudi</t>
  </si>
  <si>
    <t>Royhan Zubair</t>
  </si>
  <si>
    <t>Tri Danuri</t>
  </si>
  <si>
    <t>Daker</t>
  </si>
  <si>
    <t>Sugiyem</t>
  </si>
  <si>
    <t>Bioso</t>
  </si>
  <si>
    <t>Mario</t>
  </si>
  <si>
    <t>Mujiyem</t>
  </si>
  <si>
    <t>Mukiman</t>
  </si>
  <si>
    <t>Tugiyem</t>
  </si>
  <si>
    <t>Ngatino</t>
  </si>
  <si>
    <t>Rudianto</t>
  </si>
  <si>
    <t>Suprapti</t>
  </si>
  <si>
    <t>Misiyem</t>
  </si>
  <si>
    <t>Basuki</t>
  </si>
  <si>
    <t>Musriyah</t>
  </si>
  <si>
    <t>Lamio</t>
  </si>
  <si>
    <t>Figo</t>
  </si>
  <si>
    <t>Budiyah</t>
  </si>
  <si>
    <t>Doso Agustono</t>
  </si>
  <si>
    <t>Alba Armiandi</t>
  </si>
  <si>
    <t>Sarinten</t>
  </si>
  <si>
    <t>Slamet</t>
  </si>
  <si>
    <t>Suyanto</t>
  </si>
  <si>
    <t>Misinah</t>
  </si>
  <si>
    <t>Kaimin</t>
  </si>
  <si>
    <t>Abi Saputra</t>
  </si>
  <si>
    <t>Lilis Ernawati</t>
  </si>
  <si>
    <t>Budi Setiawan</t>
  </si>
  <si>
    <t>Supriyanto</t>
  </si>
  <si>
    <t>Srianda Wikarti</t>
  </si>
  <si>
    <t>Anes</t>
  </si>
  <si>
    <t>Waghyudi</t>
  </si>
  <si>
    <t>Musripah</t>
  </si>
  <si>
    <t>Ramio</t>
  </si>
  <si>
    <t>Weli Hendri Aris Susanto</t>
  </si>
  <si>
    <t>Nuraini</t>
  </si>
  <si>
    <t>Okyan Yanuar</t>
  </si>
  <si>
    <t>Ariadi</t>
  </si>
  <si>
    <t>Diski Andrian Fictor</t>
  </si>
  <si>
    <t>Julaeha</t>
  </si>
  <si>
    <t>Cecep Syarifudin</t>
  </si>
  <si>
    <t>Andi Hidayat</t>
  </si>
  <si>
    <t>Rusmiati</t>
  </si>
  <si>
    <t>Jumino</t>
  </si>
  <si>
    <t>Kuswadi Diswantoro</t>
  </si>
  <si>
    <t>Jariyah</t>
  </si>
  <si>
    <t>Sadiyo</t>
  </si>
  <si>
    <t>Vicky Junifa</t>
  </si>
  <si>
    <t>Jemini</t>
  </si>
  <si>
    <t>Sugito</t>
  </si>
  <si>
    <t>Semi</t>
  </si>
  <si>
    <t>Agus Dwi Yanto</t>
  </si>
  <si>
    <t>Karmini</t>
  </si>
  <si>
    <t>Ngatimin</t>
  </si>
  <si>
    <t>Ahmad Choirul Anwar</t>
  </si>
  <si>
    <t>Wakinem</t>
  </si>
  <si>
    <t>Abdul Hanan</t>
  </si>
  <si>
    <t>Muhammad Muhrohmin</t>
  </si>
  <si>
    <t>Deo Amajon</t>
  </si>
  <si>
    <t>Reswanti</t>
  </si>
  <si>
    <t>Maryono</t>
  </si>
  <si>
    <t>Giyam</t>
  </si>
  <si>
    <t>Idrus</t>
  </si>
  <si>
    <t>Mari Yati</t>
  </si>
  <si>
    <t>Gusvan Dani Ardo</t>
  </si>
  <si>
    <t>Sri Astuti</t>
  </si>
  <si>
    <t>Subardo</t>
  </si>
  <si>
    <t>Wahid Nurdyansyah</t>
  </si>
  <si>
    <t>Susanti</t>
  </si>
  <si>
    <t>Asnawi</t>
  </si>
  <si>
    <t>Wardiyah</t>
  </si>
  <si>
    <t>Toimun</t>
  </si>
  <si>
    <t>Yuliyanto</t>
  </si>
  <si>
    <t>Munawaroh</t>
  </si>
  <si>
    <t>Budi Rejo</t>
  </si>
  <si>
    <t>Bambang Suyanto</t>
  </si>
  <si>
    <t>Sulami Yuliati</t>
  </si>
  <si>
    <t>Sujiono</t>
  </si>
  <si>
    <t>Suryanti</t>
  </si>
  <si>
    <t>Sarman</t>
  </si>
  <si>
    <t>Siti Nafsiah</t>
  </si>
  <si>
    <t>Turut</t>
  </si>
  <si>
    <t>Parinem</t>
  </si>
  <si>
    <t>Mardi</t>
  </si>
  <si>
    <t>Maerwati</t>
  </si>
  <si>
    <t>Dicki Yuni Irawan</t>
  </si>
  <si>
    <t>Sukarmi</t>
  </si>
  <si>
    <t>Sartini</t>
  </si>
  <si>
    <t>Meslan</t>
  </si>
  <si>
    <t>Meswanto</t>
  </si>
  <si>
    <t>Jumakir</t>
  </si>
  <si>
    <t>Dedy Irawan</t>
  </si>
  <si>
    <t>Ngatini</t>
  </si>
  <si>
    <t>Suroso</t>
  </si>
  <si>
    <t>Novan Ramadani</t>
  </si>
  <si>
    <t>Paikem</t>
  </si>
  <si>
    <t>Edi Kurniawan</t>
  </si>
  <si>
    <t>Surati</t>
  </si>
  <si>
    <t>Suradi</t>
  </si>
  <si>
    <t>Febri Kurniawan</t>
  </si>
  <si>
    <t>Sarijem</t>
  </si>
  <si>
    <t>Ngatiman</t>
  </si>
  <si>
    <t>Frengki Sulaiman</t>
  </si>
  <si>
    <t>Siti Maemunah</t>
  </si>
  <si>
    <t>Lea Adrian</t>
  </si>
  <si>
    <t>Tukilah</t>
  </si>
  <si>
    <t>Mispan</t>
  </si>
  <si>
    <t>Junaidi Prasetyo</t>
  </si>
  <si>
    <t>Nadib Firman Maulana</t>
  </si>
  <si>
    <t>Muhyasin</t>
  </si>
  <si>
    <t>Arfianto</t>
  </si>
  <si>
    <t>Parinah</t>
  </si>
  <si>
    <t>Suhardi</t>
  </si>
  <si>
    <t>Istiyah</t>
  </si>
  <si>
    <t>Makmun</t>
  </si>
  <si>
    <t>Fakhri Almuksin</t>
  </si>
  <si>
    <t>Siti Rohani</t>
  </si>
  <si>
    <t>Sulastomo</t>
  </si>
  <si>
    <t>Napri Sumidran</t>
  </si>
  <si>
    <t>Mar'ah</t>
  </si>
  <si>
    <t>Lukito</t>
  </si>
  <si>
    <t>Dwi Noviawan</t>
  </si>
  <si>
    <t>Fanada Putra</t>
  </si>
  <si>
    <t>Ariyanto Enggal Saputra</t>
  </si>
  <si>
    <t>Suraten</t>
  </si>
  <si>
    <t>Waginah</t>
  </si>
  <si>
    <t>Paslan</t>
  </si>
  <si>
    <t>Yusmanto</t>
  </si>
  <si>
    <t>Sariyah</t>
  </si>
  <si>
    <t>Sartono</t>
  </si>
  <si>
    <t>Suratmi</t>
  </si>
  <si>
    <t>Paiman</t>
  </si>
  <si>
    <t>Amat Ponidi</t>
  </si>
  <si>
    <t>Baitah</t>
  </si>
  <si>
    <t>Solimin</t>
  </si>
  <si>
    <t>Siti Robiah</t>
  </si>
  <si>
    <t>Mujari</t>
  </si>
  <si>
    <t>13//12/2001</t>
  </si>
  <si>
    <t>Sukini</t>
  </si>
  <si>
    <t>Kadarsih</t>
  </si>
  <si>
    <t>Mukilan</t>
  </si>
  <si>
    <t>Suratinah</t>
  </si>
  <si>
    <t>Sabar</t>
  </si>
  <si>
    <t>Erwan Adi Sapura</t>
  </si>
  <si>
    <t>Egi Wahyu Saputra</t>
  </si>
  <si>
    <t>Cimas Indriyat</t>
  </si>
  <si>
    <t>Mujirah</t>
  </si>
  <si>
    <t>Wanito</t>
  </si>
  <si>
    <t>Beni Nugroho</t>
  </si>
  <si>
    <t>Musriin</t>
  </si>
  <si>
    <t>Sukiman</t>
  </si>
  <si>
    <t>Lenggo</t>
  </si>
  <si>
    <t>Rokanah</t>
  </si>
  <si>
    <t>Sutriono</t>
  </si>
  <si>
    <t>Zadri Viki Irvansyah</t>
  </si>
  <si>
    <t>Binatin</t>
  </si>
  <si>
    <t>Panut</t>
  </si>
  <si>
    <t>Sujiyem</t>
  </si>
  <si>
    <t>Ngadiman</t>
  </si>
  <si>
    <t>Okdi Arrahman</t>
  </si>
  <si>
    <t>Bagus Suprapto</t>
  </si>
  <si>
    <t>Anna</t>
  </si>
  <si>
    <t>Hariyanto</t>
  </si>
  <si>
    <t>Zevin Riyanto</t>
  </si>
  <si>
    <t>Ahmad Damanhuri</t>
  </si>
  <si>
    <t>Agus Setiawan</t>
  </si>
  <si>
    <t>Mariah</t>
  </si>
  <si>
    <t>Nopi Trianto</t>
  </si>
  <si>
    <t>Sularsih</t>
  </si>
  <si>
    <t>Sunarji</t>
  </si>
  <si>
    <t>Fani Andrean</t>
  </si>
  <si>
    <t>Sukatmi</t>
  </si>
  <si>
    <t>Giran</t>
  </si>
  <si>
    <t>Riono</t>
  </si>
  <si>
    <t>M.Nurul Hidayat</t>
  </si>
  <si>
    <t>Jemiatin</t>
  </si>
  <si>
    <t>Suprayetno</t>
  </si>
  <si>
    <t>Arif Riyanto</t>
  </si>
  <si>
    <t>Marsiyah</t>
  </si>
  <si>
    <t>Yeyen Fungki</t>
  </si>
  <si>
    <t>Sumarti</t>
  </si>
  <si>
    <t>Ipan Saputra</t>
  </si>
  <si>
    <t>Anggo Perdana</t>
  </si>
  <si>
    <t>Srinatun</t>
  </si>
  <si>
    <t>Ngawiyo</t>
  </si>
  <si>
    <t>Ilham Sidik</t>
  </si>
  <si>
    <t>Erna Wati</t>
  </si>
  <si>
    <t>Edo Septian</t>
  </si>
  <si>
    <t>Tamsil</t>
  </si>
  <si>
    <t>Arizki Febriyansyah</t>
  </si>
  <si>
    <t>Muhammad Zainal Abidin</t>
  </si>
  <si>
    <t>Kustiyah</t>
  </si>
  <si>
    <t>Sutarno</t>
  </si>
  <si>
    <t>Soinah</t>
  </si>
  <si>
    <t>Panijo</t>
  </si>
  <si>
    <t>Dimi</t>
  </si>
  <si>
    <t>Misdi</t>
  </si>
  <si>
    <t>Yahmin</t>
  </si>
  <si>
    <t>Supirah</t>
  </si>
  <si>
    <t>Tarkim</t>
  </si>
  <si>
    <t>Tolaim</t>
  </si>
  <si>
    <t>Joko Tri Mursito</t>
  </si>
  <si>
    <t>Nyuidah</t>
  </si>
  <si>
    <t>Sajiono</t>
  </si>
  <si>
    <t>Agus Susanto</t>
  </si>
  <si>
    <t>Parjiah</t>
  </si>
  <si>
    <t>Asmu</t>
  </si>
  <si>
    <t>Sudarman</t>
  </si>
  <si>
    <t>Suminah</t>
  </si>
  <si>
    <t>Pairah</t>
  </si>
  <si>
    <t>Jasmani</t>
  </si>
  <si>
    <t>Isnadi</t>
  </si>
  <si>
    <t>Madilah</t>
  </si>
  <si>
    <t>Lamidi</t>
  </si>
  <si>
    <t>Subadi</t>
  </si>
  <si>
    <t>Kadirah</t>
  </si>
  <si>
    <t>Misman</t>
  </si>
  <si>
    <t>Sarinem</t>
  </si>
  <si>
    <t>Ngadul</t>
  </si>
  <si>
    <t>Musri'ah</t>
  </si>
  <si>
    <t>Suwardi</t>
  </si>
  <si>
    <t>Misem</t>
  </si>
  <si>
    <t>Jamari</t>
  </si>
  <si>
    <t>Marsinem</t>
  </si>
  <si>
    <t>Jamingan</t>
  </si>
  <si>
    <t>Poniran</t>
  </si>
  <si>
    <t>Katmiyati</t>
  </si>
  <si>
    <t>Tupar</t>
  </si>
  <si>
    <t>Sadiyem</t>
  </si>
  <si>
    <t>Madi Suarno</t>
  </si>
  <si>
    <t>Mariyadi</t>
  </si>
  <si>
    <t>Rukiyah</t>
  </si>
  <si>
    <t>Rajiyo</t>
  </si>
  <si>
    <t>Patah</t>
  </si>
  <si>
    <t>Muslim</t>
  </si>
  <si>
    <t>Leginem</t>
  </si>
  <si>
    <t>Radi</t>
  </si>
  <si>
    <t>Supinah</t>
  </si>
  <si>
    <t>Mansur</t>
  </si>
  <si>
    <t>Supalal</t>
  </si>
  <si>
    <t>Siti Salami</t>
  </si>
  <si>
    <t>Markum</t>
  </si>
  <si>
    <t>Hendriyanto</t>
  </si>
  <si>
    <t>Kartik</t>
  </si>
  <si>
    <t>Sugiono</t>
  </si>
  <si>
    <t>Mujiono</t>
  </si>
  <si>
    <t>Syamsiar</t>
  </si>
  <si>
    <t>Minhadi</t>
  </si>
  <si>
    <t>Tugirah</t>
  </si>
  <si>
    <t>Jakimin</t>
  </si>
  <si>
    <t>Sunardi</t>
  </si>
  <si>
    <t>Pariem</t>
  </si>
  <si>
    <t>Bukari</t>
  </si>
  <si>
    <t>Badrun Mustofa</t>
  </si>
  <si>
    <t>Muntoha</t>
  </si>
  <si>
    <t>Boge Seniman</t>
  </si>
  <si>
    <t>Tukijem</t>
  </si>
  <si>
    <t>Wagiyo</t>
  </si>
  <si>
    <t>Mariman</t>
  </si>
  <si>
    <t>Kaiman</t>
  </si>
  <si>
    <t>Subroto</t>
  </si>
  <si>
    <t>Rinem</t>
  </si>
  <si>
    <t>Suraji</t>
  </si>
  <si>
    <t>Pujianto</t>
  </si>
  <si>
    <t>Ngatijem</t>
  </si>
  <si>
    <t>Leginah</t>
  </si>
  <si>
    <t>Seni</t>
  </si>
  <si>
    <t>Alanah</t>
  </si>
  <si>
    <t>Sarifudin</t>
  </si>
  <si>
    <t>Parijem</t>
  </si>
  <si>
    <t>Rukijo</t>
  </si>
  <si>
    <t>Katemi</t>
  </si>
  <si>
    <t>Sakijan</t>
  </si>
  <si>
    <t>Rebin</t>
  </si>
  <si>
    <t>Suharni</t>
  </si>
  <si>
    <t>Sukarjo</t>
  </si>
  <si>
    <t>Panikem</t>
  </si>
  <si>
    <t>Karnen</t>
  </si>
  <si>
    <t>Sarno</t>
  </si>
  <si>
    <t>Kamsiah</t>
  </si>
  <si>
    <t>Simin</t>
  </si>
  <si>
    <t>Rebo</t>
  </si>
  <si>
    <t>Suyono</t>
  </si>
  <si>
    <t>Anton Bahri</t>
  </si>
  <si>
    <t>Tumiyem</t>
  </si>
  <si>
    <t>Mujadi</t>
  </si>
  <si>
    <t>Endi Takaryadi</t>
  </si>
  <si>
    <t>Wasnah</t>
  </si>
  <si>
    <t>Kamsidi</t>
  </si>
  <si>
    <t>Samsudin Syah</t>
  </si>
  <si>
    <t>Jamin</t>
  </si>
  <si>
    <t>Paino</t>
  </si>
  <si>
    <t>Bainah</t>
  </si>
  <si>
    <t>Tomin</t>
  </si>
  <si>
    <t>Agus Eko Sumanto</t>
  </si>
  <si>
    <t>Tukiyem</t>
  </si>
  <si>
    <t>Rusnadi</t>
  </si>
  <si>
    <t>Tukiyat</t>
  </si>
  <si>
    <t>Madiono</t>
  </si>
  <si>
    <t>Saniyah</t>
  </si>
  <si>
    <t>Kadimin</t>
  </si>
  <si>
    <t>Trimo Utomo</t>
  </si>
  <si>
    <t>Katinem</t>
  </si>
  <si>
    <t>Tukiran</t>
  </si>
  <si>
    <t>Waluyo</t>
  </si>
  <si>
    <t>Ratinem</t>
  </si>
  <si>
    <t>Gimah</t>
  </si>
  <si>
    <t>Musiyem</t>
  </si>
  <si>
    <t>yasin Siswowasito</t>
  </si>
  <si>
    <t>Jemikem</t>
  </si>
  <si>
    <t>Dolla Alim</t>
  </si>
  <si>
    <t>Siti</t>
  </si>
  <si>
    <t>Sarjimin</t>
  </si>
  <si>
    <t>Rohimah</t>
  </si>
  <si>
    <t>Sulamso</t>
  </si>
  <si>
    <t>Ngudi Prihatin</t>
  </si>
  <si>
    <t>Siti Rochmah</t>
  </si>
  <si>
    <t>Syarifin</t>
  </si>
  <si>
    <t>Sakiyem</t>
  </si>
  <si>
    <t>Dasimin</t>
  </si>
  <si>
    <t>Fatoni</t>
  </si>
  <si>
    <t>Yatinem</t>
  </si>
  <si>
    <t>Tariyo</t>
  </si>
  <si>
    <t>Sudarmi</t>
  </si>
  <si>
    <t>Nurwahed</t>
  </si>
  <si>
    <t>Waginem</t>
  </si>
  <si>
    <t>Ngadiyem</t>
  </si>
  <si>
    <t>Paimo</t>
  </si>
  <si>
    <t>Musman</t>
  </si>
  <si>
    <t>Kartinem</t>
  </si>
  <si>
    <t>Wanto</t>
  </si>
  <si>
    <t>Sopingi</t>
  </si>
  <si>
    <t>Sujio</t>
  </si>
  <si>
    <t>Suyekti</t>
  </si>
  <si>
    <t>Kadiman</t>
  </si>
  <si>
    <t>Paselan</t>
  </si>
  <si>
    <t>Juni</t>
  </si>
  <si>
    <t>Sutinah</t>
  </si>
  <si>
    <t>Boyamin</t>
  </si>
  <si>
    <t>Sikem</t>
  </si>
  <si>
    <t>Arojan</t>
  </si>
  <si>
    <t>Murdinah</t>
  </si>
  <si>
    <t>Ramadi</t>
  </si>
  <si>
    <t>Kainem</t>
  </si>
  <si>
    <t>Wasiyo</t>
  </si>
  <si>
    <t>Patonah</t>
  </si>
  <si>
    <t>Babasari</t>
  </si>
  <si>
    <t>Sugiman</t>
  </si>
  <si>
    <t>Ngatirah</t>
  </si>
  <si>
    <t>Cokro Sumitro</t>
  </si>
  <si>
    <t>Maryanto</t>
  </si>
  <si>
    <t>Suti</t>
  </si>
  <si>
    <t>Samuri</t>
  </si>
  <si>
    <t>Boinem</t>
  </si>
  <si>
    <t>Rohmat</t>
  </si>
  <si>
    <t>Purnomo</t>
  </si>
  <si>
    <t>waginem</t>
  </si>
  <si>
    <t>Engkun Solikin</t>
  </si>
  <si>
    <t>Saodah</t>
  </si>
  <si>
    <t>Ahmad</t>
  </si>
  <si>
    <t>Darmanto</t>
  </si>
  <si>
    <t>Dalinem</t>
  </si>
  <si>
    <t>Darmo Dirin</t>
  </si>
  <si>
    <t>Harto</t>
  </si>
  <si>
    <t>Sudiyo</t>
  </si>
  <si>
    <t>Jeminah</t>
  </si>
  <si>
    <t>Kasmi Diharjo</t>
  </si>
  <si>
    <t>Mukimah</t>
  </si>
  <si>
    <t>Muhyadi</t>
  </si>
  <si>
    <t>Juman</t>
  </si>
  <si>
    <t>Ponatun</t>
  </si>
  <si>
    <t>Sukiyato</t>
  </si>
  <si>
    <t>Sukinem</t>
  </si>
  <si>
    <t>Sarno Basuki</t>
  </si>
  <si>
    <t>Tariyem</t>
  </si>
  <si>
    <t>Katijan</t>
  </si>
  <si>
    <t>Karti</t>
  </si>
  <si>
    <t>Giyem</t>
  </si>
  <si>
    <t>Boimin</t>
  </si>
  <si>
    <t>Suratmin</t>
  </si>
  <si>
    <t>Wagiyah</t>
  </si>
  <si>
    <t>Pawiro Inangun</t>
  </si>
  <si>
    <t>Sadimun</t>
  </si>
  <si>
    <t>Sagirah</t>
  </si>
  <si>
    <t>Saeran</t>
  </si>
  <si>
    <t>Poniman</t>
  </si>
  <si>
    <t>Sugirah</t>
  </si>
  <si>
    <t>Sarji</t>
  </si>
  <si>
    <t>Sainah</t>
  </si>
  <si>
    <t>Samidi</t>
  </si>
  <si>
    <t>Juli</t>
  </si>
  <si>
    <t>Pini</t>
  </si>
  <si>
    <t>Yadi</t>
  </si>
  <si>
    <t>Rubiyem</t>
  </si>
  <si>
    <t>Kartomo</t>
  </si>
  <si>
    <t>Gumbrek</t>
  </si>
  <si>
    <t>Sali</t>
  </si>
  <si>
    <t>Margito</t>
  </si>
  <si>
    <t>Siruk</t>
  </si>
  <si>
    <t>Mujiman</t>
  </si>
  <si>
    <t>Tuminah</t>
  </si>
  <si>
    <t>Resoi Kromo</t>
  </si>
  <si>
    <t>Sines</t>
  </si>
  <si>
    <t>Simen</t>
  </si>
  <si>
    <t>Ngatimen</t>
  </si>
  <si>
    <t>Jaikoro</t>
  </si>
  <si>
    <t>Darsono</t>
  </si>
  <si>
    <t>Subagio</t>
  </si>
  <si>
    <t>Lasido</t>
  </si>
  <si>
    <t>Sujiyono</t>
  </si>
  <si>
    <t>Jiren</t>
  </si>
  <si>
    <t>Rubinah</t>
  </si>
  <si>
    <t>Pawiro Nangun</t>
  </si>
  <si>
    <t>Mislan</t>
  </si>
  <si>
    <t>Markuat</t>
  </si>
  <si>
    <t>Yoni</t>
  </si>
  <si>
    <t>Sutrisno</t>
  </si>
  <si>
    <t>Reko Subowo</t>
  </si>
  <si>
    <t>Wina Anggraini</t>
  </si>
  <si>
    <t>Jumini</t>
  </si>
  <si>
    <t>Edi Sukisno</t>
  </si>
  <si>
    <t>Icha Amelia</t>
  </si>
  <si>
    <t>Turiah</t>
  </si>
  <si>
    <t>Ummi Latifah</t>
  </si>
  <si>
    <t>Suloso</t>
  </si>
  <si>
    <t>Mikha Avike Putri</t>
  </si>
  <si>
    <t>Sri Arianah</t>
  </si>
  <si>
    <t>Syamsudin</t>
  </si>
  <si>
    <t>Wartini</t>
  </si>
  <si>
    <t>Ngatinem</t>
  </si>
  <si>
    <t>Ipung Purwsih</t>
  </si>
  <si>
    <t>Nita Yuliana</t>
  </si>
  <si>
    <t>Sri Mulyani</t>
  </si>
  <si>
    <t>Suarti</t>
  </si>
  <si>
    <t>Untung Suprianto</t>
  </si>
  <si>
    <t>Anis Nur Hidaya</t>
  </si>
  <si>
    <t>Eki Sukowati</t>
  </si>
  <si>
    <t>Tekat</t>
  </si>
  <si>
    <t>Tuwe Ratnawati</t>
  </si>
  <si>
    <t>Sintia</t>
  </si>
  <si>
    <t>Bonaten</t>
  </si>
  <si>
    <t>Yulia Arsinta</t>
  </si>
  <si>
    <t>Yesi Novita Sari</t>
  </si>
  <si>
    <t>Lina Sari</t>
  </si>
  <si>
    <t>Bariah</t>
  </si>
  <si>
    <t>Wagiran</t>
  </si>
  <si>
    <t>Saniah</t>
  </si>
  <si>
    <t>Kadimen</t>
  </si>
  <si>
    <t>Kesiyawati</t>
  </si>
  <si>
    <t>Samirah</t>
  </si>
  <si>
    <t>Suryani</t>
  </si>
  <si>
    <t>Tuwardi</t>
  </si>
  <si>
    <t>Septi Durotun Nisa</t>
  </si>
  <si>
    <t>Istimaiyah</t>
  </si>
  <si>
    <t>Sugino</t>
  </si>
  <si>
    <t>Monika Anggraini</t>
  </si>
  <si>
    <t>Muaman</t>
  </si>
  <si>
    <t>Anisa Dewi</t>
  </si>
  <si>
    <t>Mureni</t>
  </si>
  <si>
    <t>M. Sudarsono</t>
  </si>
  <si>
    <t>Fanesa Rama Saputri</t>
  </si>
  <si>
    <t>Lisa Widiya Sari</t>
  </si>
  <si>
    <t>Fajar Harianto</t>
  </si>
  <si>
    <t>Rumiyati</t>
  </si>
  <si>
    <t>Tumijah</t>
  </si>
  <si>
    <t>Abdul Bakri</t>
  </si>
  <si>
    <t>Tirta Handini Pangestuti</t>
  </si>
  <si>
    <t>Tantri Handayni</t>
  </si>
  <si>
    <t>Dwi Mintarto</t>
  </si>
  <si>
    <t>Suminatun</t>
  </si>
  <si>
    <t>Sukatijo</t>
  </si>
  <si>
    <t>Lanjar</t>
  </si>
  <si>
    <t>Sunar</t>
  </si>
  <si>
    <t>Aura Fitriani</t>
  </si>
  <si>
    <t>Vivin Suryani</t>
  </si>
  <si>
    <t>Milasari</t>
  </si>
  <si>
    <t>Kateno</t>
  </si>
  <si>
    <t>Bela Oktapiana</t>
  </si>
  <si>
    <t>Mahpudin</t>
  </si>
  <si>
    <t>Elisa Septia Ningsih</t>
  </si>
  <si>
    <t>Hariantini</t>
  </si>
  <si>
    <t>Sajimen</t>
  </si>
  <si>
    <t>Septianggraini</t>
  </si>
  <si>
    <t>Komariyah</t>
  </si>
  <si>
    <t>Saeman</t>
  </si>
  <si>
    <t>Ratiyah</t>
  </si>
  <si>
    <t>Ahmdi</t>
  </si>
  <si>
    <t>Tamara Nisa</t>
  </si>
  <si>
    <t>Devisahira</t>
  </si>
  <si>
    <t>Sofia Noverlina</t>
  </si>
  <si>
    <t>Puryanti</t>
  </si>
  <si>
    <t>Alin Ananda Putri</t>
  </si>
  <si>
    <t>Reva Febiana</t>
  </si>
  <si>
    <t>Siti Rokimah</t>
  </si>
  <si>
    <t>Citra Amelia</t>
  </si>
  <si>
    <t>Martini</t>
  </si>
  <si>
    <t>Sumini</t>
  </si>
  <si>
    <t>Erista Herlian Putri</t>
  </si>
  <si>
    <t>Agua Suwanto</t>
  </si>
  <si>
    <t>Laiza Amalia</t>
  </si>
  <si>
    <t>Siti Kotijah</t>
  </si>
  <si>
    <t>Ania Zahra Mufliha</t>
  </si>
  <si>
    <t>Do'I Andara</t>
  </si>
  <si>
    <t>Sulitiani</t>
  </si>
  <si>
    <t>Sujud</t>
  </si>
  <si>
    <t>Ayu Charisma</t>
  </si>
  <si>
    <t>Thoiyibah Shobatul Asslamiah</t>
  </si>
  <si>
    <t>Nurainiah</t>
  </si>
  <si>
    <t>Istinganah</t>
  </si>
  <si>
    <t>Sumardiono</t>
  </si>
  <si>
    <t>Dea Dewi Astuti</t>
  </si>
  <si>
    <t>Sadio</t>
  </si>
  <si>
    <t>Sustriani</t>
  </si>
  <si>
    <t>Nursini</t>
  </si>
  <si>
    <t>Ukar</t>
  </si>
  <si>
    <t>Triariani</t>
  </si>
  <si>
    <t>Jumi</t>
  </si>
  <si>
    <t>Suryadi</t>
  </si>
  <si>
    <t>Kriswati</t>
  </si>
  <si>
    <t>Damiranda</t>
  </si>
  <si>
    <t>Ivah Yulina Sari</t>
  </si>
  <si>
    <t>Tumini</t>
  </si>
  <si>
    <t>Ibnu Shoim</t>
  </si>
  <si>
    <t>Salamah</t>
  </si>
  <si>
    <t>Mela Susiana</t>
  </si>
  <si>
    <t>Sumuni</t>
  </si>
  <si>
    <t>Laela Yusvita Sari</t>
  </si>
  <si>
    <t>Yohanis</t>
  </si>
  <si>
    <t>Purwanto</t>
  </si>
  <si>
    <t>Wasripah</t>
  </si>
  <si>
    <t>Sucipto</t>
  </si>
  <si>
    <t>Kartini</t>
  </si>
  <si>
    <t>Slamet Hadi</t>
  </si>
  <si>
    <t>Sandra Febriana</t>
  </si>
  <si>
    <t>Kuswati</t>
  </si>
  <si>
    <t>Rismanto</t>
  </si>
  <si>
    <t>Misirah</t>
  </si>
  <si>
    <t>Suhandri</t>
  </si>
  <si>
    <t>Waginten</t>
  </si>
  <si>
    <t>Satimin</t>
  </si>
  <si>
    <t>Indah Putriana</t>
  </si>
  <si>
    <t>Purwaningsih</t>
  </si>
  <si>
    <t>Sumiatin</t>
  </si>
  <si>
    <t>Misiem</t>
  </si>
  <si>
    <t>Misnatun</t>
  </si>
  <si>
    <t>Supriatin</t>
  </si>
  <si>
    <t>Saminah</t>
  </si>
  <si>
    <t>Mawon</t>
  </si>
  <si>
    <t>Sarminah</t>
  </si>
  <si>
    <t>Junaidi</t>
  </si>
  <si>
    <t>Katiah</t>
  </si>
  <si>
    <t>Mei Ervianti</t>
  </si>
  <si>
    <t>Makuat</t>
  </si>
  <si>
    <t>Asilia Trisnawati</t>
  </si>
  <si>
    <t>Darmini</t>
  </si>
  <si>
    <t>Teguh Sutrisno</t>
  </si>
  <si>
    <t>Imelda Yunita Sari</t>
  </si>
  <si>
    <t>Boniman</t>
  </si>
  <si>
    <t>Peni Kasiati</t>
  </si>
  <si>
    <t>Dakir</t>
  </si>
  <si>
    <t>Sariah</t>
  </si>
  <si>
    <t>Pailah</t>
  </si>
  <si>
    <t>Ruswanto</t>
  </si>
  <si>
    <t>Marsuti</t>
  </si>
  <si>
    <t>Munawir</t>
  </si>
  <si>
    <t>Aaaa</t>
  </si>
  <si>
    <t>Ssss</t>
  </si>
  <si>
    <t>Sabila Putri Waluyo</t>
  </si>
  <si>
    <t>Kuswiyanti</t>
  </si>
  <si>
    <t>Ananta Wijaya Waluyo</t>
  </si>
  <si>
    <t>Desi Ratnasari</t>
  </si>
  <si>
    <t>Riski Puspita Sari</t>
  </si>
  <si>
    <t>Meiliya</t>
  </si>
  <si>
    <t>Kasianto</t>
  </si>
  <si>
    <t>Narsom Amri</t>
  </si>
  <si>
    <t>Musriah</t>
  </si>
  <si>
    <t>Suardi</t>
  </si>
  <si>
    <t>Desi Tri Fatmawati</t>
  </si>
  <si>
    <t>Marmi</t>
  </si>
  <si>
    <t>Sunarwan</t>
  </si>
  <si>
    <t>Revika Dwi Leatari</t>
  </si>
  <si>
    <t>Veni Nila Sari</t>
  </si>
  <si>
    <t>Musaroh</t>
  </si>
  <si>
    <t>Selvia Hendra R</t>
  </si>
  <si>
    <t>Nur Ainah</t>
  </si>
  <si>
    <t>Sukaesih</t>
  </si>
  <si>
    <t>Susana</t>
  </si>
  <si>
    <t>Aprilia cahyanti</t>
  </si>
  <si>
    <t>Binti Masonah</t>
  </si>
  <si>
    <t>Purwadi</t>
  </si>
  <si>
    <t>Narseh</t>
  </si>
  <si>
    <t>Miswatun Khasanah</t>
  </si>
  <si>
    <t>Ristiani</t>
  </si>
  <si>
    <t>Musrini</t>
  </si>
  <si>
    <t>Septiana Wati</t>
  </si>
  <si>
    <t>tumiyah</t>
  </si>
  <si>
    <t>Bani</t>
  </si>
  <si>
    <t>Khoirotun Nisa</t>
  </si>
  <si>
    <t>Trilestari</t>
  </si>
  <si>
    <t>Sri sulistiati</t>
  </si>
  <si>
    <t>Mariyati</t>
  </si>
  <si>
    <t>Zuniar Gita Anggraini</t>
  </si>
  <si>
    <t>Emi Sulastri</t>
  </si>
  <si>
    <t>Samsul</t>
  </si>
  <si>
    <t>Cantiq Atichafortain</t>
  </si>
  <si>
    <t>Triadmaji</t>
  </si>
  <si>
    <t>Rahma yanti</t>
  </si>
  <si>
    <t>Riski vauziah</t>
  </si>
  <si>
    <t>Mariana</t>
  </si>
  <si>
    <t>Sutikno</t>
  </si>
  <si>
    <t>Kanti Rahayu</t>
  </si>
  <si>
    <t>Aulia Rahma</t>
  </si>
  <si>
    <t>Sri Pujiati</t>
  </si>
  <si>
    <t>Surahyo</t>
  </si>
  <si>
    <t>Beti Maulidianawati</t>
  </si>
  <si>
    <t>Lungati</t>
  </si>
  <si>
    <t>Alia Chayah Seminar</t>
  </si>
  <si>
    <t>Beti Maulidinawati</t>
  </si>
  <si>
    <t>Daroji</t>
  </si>
  <si>
    <t>Malfira Pratiwi</t>
  </si>
  <si>
    <t>Sumiati</t>
  </si>
  <si>
    <t>Baderun Mustofa</t>
  </si>
  <si>
    <t>Sulasmi</t>
  </si>
  <si>
    <t>Adang Marwono</t>
  </si>
  <si>
    <t>Fika Wigati</t>
  </si>
  <si>
    <t>Titin</t>
  </si>
  <si>
    <t>Fera Adelia</t>
  </si>
  <si>
    <t>Mingan</t>
  </si>
  <si>
    <t>Dela Salamah</t>
  </si>
  <si>
    <t>Iin Pujiati</t>
  </si>
  <si>
    <t>Duwi Arista</t>
  </si>
  <si>
    <t>Anwar</t>
  </si>
  <si>
    <t>Riski Wulan Rama Dhani</t>
  </si>
  <si>
    <t>Iis Sugiarti</t>
  </si>
  <si>
    <t>Dwi Ningsih</t>
  </si>
  <si>
    <t>Gatot Susilo</t>
  </si>
  <si>
    <t>Dwi Septi Komala Sari</t>
  </si>
  <si>
    <t>Leni Ratna Sari</t>
  </si>
  <si>
    <t>Aan Apriyani</t>
  </si>
  <si>
    <t>Muslim,mnbc</t>
  </si>
  <si>
    <t>p</t>
  </si>
  <si>
    <t>Iffah Yulina Sari</t>
  </si>
  <si>
    <t>Astried Martaretasari</t>
  </si>
  <si>
    <t>Marsilah</t>
  </si>
  <si>
    <t>Sudarno</t>
  </si>
  <si>
    <t>Fatah Kurohmah</t>
  </si>
  <si>
    <t>Paerah</t>
  </si>
  <si>
    <t>Rasini</t>
  </si>
  <si>
    <t>Sikat</t>
  </si>
  <si>
    <t>Jiman</t>
  </si>
  <si>
    <t>Hadi Suwarno</t>
  </si>
  <si>
    <t>Darsih</t>
  </si>
  <si>
    <t>Sarijo</t>
  </si>
  <si>
    <t>Jamilah</t>
  </si>
  <si>
    <t>Samijan</t>
  </si>
  <si>
    <t>Painah</t>
  </si>
  <si>
    <t>Tugiyatun</t>
  </si>
  <si>
    <t>Surip</t>
  </si>
  <si>
    <t>Sadiem</t>
  </si>
  <si>
    <t>Maeran</t>
  </si>
  <si>
    <t>Hamidah</t>
  </si>
  <si>
    <t>Amir</t>
  </si>
  <si>
    <t>Nuriah</t>
  </si>
  <si>
    <t>Tarsiah</t>
  </si>
  <si>
    <t>Supian</t>
  </si>
  <si>
    <t>Siti Maimunah</t>
  </si>
  <si>
    <t>Kaesih</t>
  </si>
  <si>
    <t>Sujana</t>
  </si>
  <si>
    <t>Marinten</t>
  </si>
  <si>
    <t>Iin Pujianti</t>
  </si>
  <si>
    <t>Musiem</t>
  </si>
  <si>
    <t>Mukri</t>
  </si>
  <si>
    <t>Inem</t>
  </si>
  <si>
    <t>Wakiran</t>
  </si>
  <si>
    <t>Watini</t>
  </si>
  <si>
    <t>Payem</t>
  </si>
  <si>
    <t>A. Suwito</t>
  </si>
  <si>
    <t>Suyani</t>
  </si>
  <si>
    <t>Suriyah</t>
  </si>
  <si>
    <t>Dadi</t>
  </si>
  <si>
    <t>Sanadi</t>
  </si>
  <si>
    <t>Jumirah</t>
  </si>
  <si>
    <t>Jumadi</t>
  </si>
  <si>
    <t>Umi</t>
  </si>
  <si>
    <t>Kasan Samat</t>
  </si>
  <si>
    <t>Marwati</t>
  </si>
  <si>
    <t>Marindi</t>
  </si>
  <si>
    <t>Rumiah</t>
  </si>
  <si>
    <t>Riswanti</t>
  </si>
  <si>
    <t>Umi Saudah</t>
  </si>
  <si>
    <t>Jayusman</t>
  </si>
  <si>
    <t>Wasiyem</t>
  </si>
  <si>
    <t>Sahman</t>
  </si>
  <si>
    <t>Masirah</t>
  </si>
  <si>
    <t>Dono Karyo</t>
  </si>
  <si>
    <t>Sriahyuni</t>
  </si>
  <si>
    <t>Kirut</t>
  </si>
  <si>
    <t>Sudiman</t>
  </si>
  <si>
    <t>Warsi</t>
  </si>
  <si>
    <t>Warso</t>
  </si>
  <si>
    <t>Siti Nursiah</t>
  </si>
  <si>
    <t>Suginah</t>
  </si>
  <si>
    <t>Nurhadi</t>
  </si>
  <si>
    <t>Kholifatun</t>
  </si>
  <si>
    <t>Jani</t>
  </si>
  <si>
    <t>Maduean</t>
  </si>
  <si>
    <t>Boyman</t>
  </si>
  <si>
    <t>Puji Rahayu</t>
  </si>
  <si>
    <t>Sudio</t>
  </si>
  <si>
    <t>Heriyantini</t>
  </si>
  <si>
    <t>Sri Murni</t>
  </si>
  <si>
    <t>Tumi</t>
  </si>
  <si>
    <t>Dalilah</t>
  </si>
  <si>
    <t>Sogirah</t>
  </si>
  <si>
    <t>Tukimin</t>
  </si>
  <si>
    <t>Boyati</t>
  </si>
  <si>
    <t>Misri</t>
  </si>
  <si>
    <t>Sulamsih</t>
  </si>
  <si>
    <t>Poni</t>
  </si>
  <si>
    <t>Kasimun</t>
  </si>
  <si>
    <t>Siti Rohimah</t>
  </si>
  <si>
    <t>Sumartini</t>
  </si>
  <si>
    <t>M Zaet</t>
  </si>
  <si>
    <t>Boniyem</t>
  </si>
  <si>
    <t>Karto Rejo</t>
  </si>
  <si>
    <t>Boymin</t>
  </si>
  <si>
    <t>Susilawati</t>
  </si>
  <si>
    <t>Kadarisman</t>
  </si>
  <si>
    <t>Anjaryati</t>
  </si>
  <si>
    <t>Linda Astuti</t>
  </si>
  <si>
    <t>Ledung</t>
  </si>
  <si>
    <t>Tumidi</t>
  </si>
  <si>
    <t>Udiq Karsih</t>
  </si>
  <si>
    <t>Bogiman</t>
  </si>
  <si>
    <t>Mintarsih</t>
  </si>
  <si>
    <t>Komari</t>
  </si>
  <si>
    <t>Marsini</t>
  </si>
  <si>
    <t>Mujiah</t>
  </si>
  <si>
    <t>Kusmin</t>
  </si>
  <si>
    <t>A. suwito</t>
  </si>
  <si>
    <t>Katmirah</t>
  </si>
  <si>
    <t>Kasan Rejo</t>
  </si>
  <si>
    <t>Minten</t>
  </si>
  <si>
    <t>Sukijah</t>
  </si>
  <si>
    <t>Glendoh</t>
  </si>
  <si>
    <t>Umi Kalsum</t>
  </si>
  <si>
    <t>Marso</t>
  </si>
  <si>
    <t>Misinem</t>
  </si>
  <si>
    <t>Paniyem</t>
  </si>
  <si>
    <t>Sugiati</t>
  </si>
  <si>
    <t>S. Giyem</t>
  </si>
  <si>
    <t>Bingatin</t>
  </si>
  <si>
    <t>Kustiah</t>
  </si>
  <si>
    <t>Paenah</t>
  </si>
  <si>
    <t>Tursidi</t>
  </si>
  <si>
    <t>Rubitah</t>
  </si>
  <si>
    <t>Titi Suryati</t>
  </si>
  <si>
    <t>Wasenah</t>
  </si>
  <si>
    <t>Sabtuah</t>
  </si>
  <si>
    <t>Rosad</t>
  </si>
  <si>
    <t>Monijan</t>
  </si>
  <si>
    <t>Mugiyem</t>
  </si>
  <si>
    <t>Mustofa</t>
  </si>
  <si>
    <t>Joyo</t>
  </si>
  <si>
    <t>Ngadimin</t>
  </si>
  <si>
    <t>Wongso Rejo</t>
  </si>
  <si>
    <t>Cokro</t>
  </si>
  <si>
    <t>Torejo</t>
  </si>
  <si>
    <t>Juriyah</t>
  </si>
  <si>
    <t>Jamal</t>
  </si>
  <si>
    <t>Parto Misran</t>
  </si>
  <si>
    <t>Rajio</t>
  </si>
  <si>
    <t>Boginem</t>
  </si>
  <si>
    <t>Yugo Dinomo</t>
  </si>
  <si>
    <t>Ngadinah</t>
  </si>
  <si>
    <t>Soginah</t>
  </si>
  <si>
    <t>Nandir</t>
  </si>
  <si>
    <t>Suliyati</t>
  </si>
  <si>
    <t>Joyo Sumedi</t>
  </si>
  <si>
    <t>Siti Barwiyah</t>
  </si>
  <si>
    <t>Yasin Siswowasito</t>
  </si>
  <si>
    <t>Kartodikromo</t>
  </si>
  <si>
    <t>Suratemi</t>
  </si>
  <si>
    <t>M khohari</t>
  </si>
  <si>
    <t>Waisem</t>
  </si>
  <si>
    <t>Saman</t>
  </si>
  <si>
    <t>Sukaptinah</t>
  </si>
  <si>
    <t>Purwantini</t>
  </si>
  <si>
    <t>Munjiah</t>
  </si>
  <si>
    <t>Karjono</t>
  </si>
  <si>
    <t>Satiyem</t>
  </si>
  <si>
    <t>Dollah Halim</t>
  </si>
  <si>
    <t>Reben</t>
  </si>
  <si>
    <t>Endang</t>
  </si>
  <si>
    <t>Sumiem</t>
  </si>
  <si>
    <t>Rejo Prawiro</t>
  </si>
  <si>
    <t>Mijem</t>
  </si>
  <si>
    <t>Amat</t>
  </si>
  <si>
    <t>Tinem</t>
  </si>
  <si>
    <t>Sairan</t>
  </si>
  <si>
    <t>Sudinem</t>
  </si>
  <si>
    <t>Sarto Giono</t>
  </si>
  <si>
    <t>Sokromo</t>
  </si>
  <si>
    <t>Yasin Siswo Wasito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</si>
  <si>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</si>
  <si>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</si>
  <si>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</si>
  <si>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</si>
  <si>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</si>
  <si>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</si>
  <si>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</si>
  <si>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</si>
  <si>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</si>
  <si>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</si>
  <si>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</si>
  <si>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</si>
  <si>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</si>
  <si>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</si>
  <si>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</si>
  <si>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</si>
  <si>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</si>
  <si>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</si>
  <si>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</si>
  <si>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</si>
  <si>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</si>
  <si>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</si>
  <si>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</si>
  <si>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</si>
  <si>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</si>
  <si>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</si>
  <si>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</si>
  <si>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</si>
  <si>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</si>
  <si>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</si>
  <si>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</si>
  <si>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</si>
  <si>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</si>
  <si>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</si>
  <si>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</si>
  <si>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</si>
  <si>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</si>
  <si>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</si>
  <si>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</si>
  <si>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</si>
  <si>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</si>
  <si>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</si>
  <si>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</si>
  <si>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</si>
  <si>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</si>
  <si>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</si>
  <si>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</si>
  <si>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</si>
  <si>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</si>
  <si>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</si>
  <si>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</si>
  <si>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</si>
  <si>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</si>
  <si>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</si>
  <si>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</si>
  <si>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</si>
  <si>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</si>
  <si>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</si>
  <si>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</si>
  <si>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</si>
  <si>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</si>
  <si>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</si>
  <si>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</si>
  <si>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</si>
  <si>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</si>
  <si>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</si>
  <si>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</si>
  <si>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</si>
  <si>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</si>
  <si>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</si>
  <si>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</si>
  <si>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</si>
  <si>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</si>
  <si>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</si>
  <si>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</si>
  <si>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</si>
  <si>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</si>
  <si>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</si>
  <si>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</si>
  <si>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</si>
  <si>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</si>
  <si>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</si>
  <si>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</si>
  <si>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</si>
  <si>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</si>
  <si>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</si>
  <si>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</si>
  <si>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</si>
  <si>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</si>
  <si>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</si>
  <si>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</si>
  <si>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</si>
  <si>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</si>
  <si>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</si>
  <si>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</si>
  <si>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</si>
  <si>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</si>
  <si>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</si>
  <si>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</si>
  <si>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</si>
  <si>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</si>
  <si>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</si>
  <si>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</si>
  <si>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</si>
  <si>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</si>
  <si>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</si>
  <si>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</si>
  <si>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</si>
  <si>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</si>
  <si>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</si>
  <si>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</si>
  <si>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</si>
  <si>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</si>
  <si>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</si>
  <si>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</si>
  <si>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</si>
  <si>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</si>
  <si>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</si>
  <si>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</si>
  <si>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</si>
  <si>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</si>
  <si>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</si>
  <si>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</si>
  <si>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</si>
  <si>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</si>
  <si>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</si>
  <si>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</si>
  <si>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</si>
  <si>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</si>
  <si>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</si>
  <si>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</si>
  <si>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</si>
  <si>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</si>
  <si>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</si>
  <si>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</si>
  <si>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</si>
  <si>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</si>
  <si>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</si>
  <si>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</si>
  <si>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</si>
  <si>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</si>
  <si>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</si>
  <si>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</si>
  <si>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</si>
  <si>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</si>
  <si>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</si>
  <si>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</si>
  <si>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</si>
  <si>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</si>
  <si>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</si>
  <si>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</si>
  <si>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</si>
  <si>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</si>
  <si>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</si>
  <si>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</si>
  <si>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</si>
  <si>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</si>
  <si>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</si>
  <si>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</si>
  <si>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</si>
  <si>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</si>
  <si>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</si>
  <si>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</si>
  <si>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</si>
  <si>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</si>
  <si>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</si>
  <si>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</si>
  <si>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</si>
  <si>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 xml:space="preserve">: 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</si>
  <si>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</si>
  <si>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</si>
  <si>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</si>
  <si>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</si>
  <si>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</si>
  <si>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</si>
  <si>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</si>
  <si>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</si>
  <si>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</si>
  <si>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</si>
  <si>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</si>
  <si>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</si>
  <si>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</si>
  <si>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</si>
  <si>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APEL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</si>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</sst>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mm-dd-yyyy"/>
    <numFmt numFmtId="166" formatCode="m-d-yyyy"/>
    <numFmt numFmtId="167" formatCode="dd/mm/yyyy"/>
    <numFmt numFmtId="168" formatCode="mmmm yyyy"/>
    <numFmt numFmtId="169" formatCode="dd mmmm yyyy"/>
    <numFmt numFmtId="170" formatCode="d mmm yyyy"/>
    <numFmt numFmtId="171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color rgb="FF000000"/>
      <name val="Arial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bottom"/>
    </xf>
    <xf borderId="4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6" fillId="0" fontId="6" numFmtId="0" xfId="0" applyAlignment="1" applyBorder="1" applyFont="1">
      <alignment horizontal="center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4" fillId="0" fontId="3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8" numFmtId="0" xfId="0" applyAlignment="1" applyBorder="1" applyFont="1">
      <alignment horizontal="center" vertical="bottom"/>
    </xf>
    <xf borderId="6" fillId="3" fontId="8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6" fillId="0" fontId="3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5" numFmtId="164" xfId="0" applyAlignment="1" applyBorder="1" applyFont="1" applyNumberFormat="1">
      <alignment horizontal="center"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6" fillId="3" fontId="6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shrinkToFit="0" vertical="bottom" wrapText="0"/>
    </xf>
    <xf borderId="0" fillId="0" fontId="7" numFmtId="164" xfId="0" applyAlignment="1" applyFont="1" applyNumberFormat="1">
      <alignment horizontal="center" readingOrder="0" shrinkToFit="0" vertical="bottom" wrapText="0"/>
    </xf>
    <xf borderId="5" fillId="0" fontId="5" numFmtId="165" xfId="0" applyAlignment="1" applyBorder="1" applyFont="1" applyNumberFormat="1">
      <alignment horizontal="center" readingOrder="0" shrinkToFit="0" vertical="bottom" wrapText="0"/>
    </xf>
    <xf borderId="5" fillId="0" fontId="3" numFmtId="165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9" fillId="0" fontId="4" numFmtId="0" xfId="0" applyBorder="1" applyFont="1"/>
    <xf borderId="7" fillId="0" fontId="8" numFmtId="0" xfId="0" applyAlignment="1" applyBorder="1" applyFont="1">
      <alignment horizontal="center" vertical="center"/>
    </xf>
    <xf borderId="8" fillId="2" fontId="8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8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8" numFmtId="0" xfId="0" applyAlignment="1" applyBorder="1" applyFont="1">
      <alignment horizontal="center" vertical="center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vertical="bottom"/>
    </xf>
    <xf borderId="4" fillId="0" fontId="6" numFmtId="0" xfId="0" applyAlignment="1" applyBorder="1" applyFont="1">
      <alignment horizontal="right" readingOrder="0" shrinkToFit="0" vertical="bottom" wrapText="0"/>
    </xf>
    <xf borderId="5" fillId="0" fontId="6" numFmtId="0" xfId="0" applyAlignment="1" applyBorder="1" applyFont="1">
      <alignment horizontal="right" readingOrder="0" shrinkToFit="0" vertical="bottom" wrapText="0"/>
    </xf>
    <xf borderId="5" fillId="0" fontId="7" numFmtId="0" xfId="0" applyAlignment="1" applyBorder="1" applyFont="1">
      <alignment horizontal="right" shrinkToFit="0" vertical="bottom" wrapText="0"/>
    </xf>
    <xf borderId="5" fillId="0" fontId="6" numFmtId="0" xfId="0" applyAlignment="1" applyBorder="1" applyFont="1">
      <alignment horizontal="right" shrinkToFit="0" vertical="bottom" wrapText="0"/>
    </xf>
    <xf borderId="6" fillId="0" fontId="6" numFmtId="0" xfId="0" applyAlignment="1" applyBorder="1" applyFont="1">
      <alignment horizontal="right" readingOrder="0" shrinkToFit="0" vertical="bottom" wrapText="0"/>
    </xf>
    <xf borderId="5" fillId="0" fontId="7" numFmtId="0" xfId="0" applyAlignment="1" applyBorder="1" applyFont="1">
      <alignment horizontal="right" readingOrder="0" shrinkToFit="0" vertical="bottom" wrapText="0"/>
    </xf>
    <xf borderId="4" fillId="0" fontId="7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0" fillId="3" fontId="14" numFmtId="0" xfId="0" applyFont="1"/>
    <xf borderId="6" fillId="0" fontId="8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8" numFmtId="0" xfId="0" applyAlignment="1" applyBorder="1" applyFont="1">
      <alignment horizontal="center" readingOrder="0" vertical="bottom"/>
    </xf>
    <xf borderId="3" fillId="0" fontId="6" numFmtId="0" xfId="0" applyAlignment="1" applyBorder="1" applyFont="1">
      <alignment horizontal="left" readingOrder="0" shrinkToFit="0" vertical="bottom" wrapText="0"/>
    </xf>
    <xf borderId="6" fillId="0" fontId="7" numFmtId="0" xfId="0" applyAlignment="1" applyBorder="1" applyFont="1">
      <alignment horizontal="left" readingOrder="0" shrinkToFit="0" vertical="bottom" wrapText="0"/>
    </xf>
    <xf borderId="6" fillId="0" fontId="7" numFmtId="0" xfId="0" applyAlignment="1" applyBorder="1" applyFont="1">
      <alignment horizontal="right" readingOrder="0" shrinkToFit="0" vertical="bottom" wrapText="0"/>
    </xf>
    <xf borderId="6" fillId="0" fontId="7" numFmtId="0" xfId="0" applyAlignment="1" applyBorder="1" applyFont="1">
      <alignment horizontal="right" shrinkToFit="0" vertical="bottom" wrapText="0"/>
    </xf>
    <xf borderId="0" fillId="3" fontId="2" numFmtId="0" xfId="0" applyAlignment="1" applyFont="1">
      <alignment vertical="bottom"/>
    </xf>
    <xf borderId="5" fillId="0" fontId="6" numFmtId="0" xfId="0" applyAlignment="1" applyBorder="1" applyFont="1">
      <alignment horizontal="left" readingOrder="0" shrinkToFit="0" vertical="bottom" wrapText="0"/>
    </xf>
    <xf borderId="6" fillId="0" fontId="6" numFmtId="0" xfId="0" applyAlignment="1" applyBorder="1" applyFont="1">
      <alignment horizontal="left" readingOrder="0" shrinkToFit="0" vertical="bottom" wrapText="0"/>
    </xf>
    <xf borderId="12" fillId="0" fontId="7" numFmtId="0" xfId="0" applyAlignment="1" applyBorder="1" applyFont="1">
      <alignment horizontal="left" readingOrder="0" shrinkToFit="0" vertical="bottom" wrapText="0"/>
    </xf>
    <xf borderId="12" fillId="0" fontId="7" numFmtId="0" xfId="0" applyAlignment="1" applyBorder="1" applyFont="1">
      <alignment horizontal="right" readingOrder="0" shrinkToFit="0" vertical="bottom" wrapText="0"/>
    </xf>
    <xf borderId="12" fillId="0" fontId="7" numFmtId="0" xfId="0" applyAlignment="1" applyBorder="1" applyFont="1">
      <alignment horizontal="right" shrinkToFit="0" vertical="bottom" wrapText="0"/>
    </xf>
    <xf borderId="6" fillId="0" fontId="7" numFmtId="0" xfId="0" applyAlignment="1" applyBorder="1" applyFont="1">
      <alignment horizontal="left" shrinkToFit="0" vertical="bottom" wrapText="0"/>
    </xf>
    <xf borderId="6" fillId="0" fontId="7" numFmtId="0" xfId="0" applyAlignment="1" applyBorder="1" applyFont="1">
      <alignment shrinkToFit="0" vertical="bottom" wrapText="0"/>
    </xf>
    <xf borderId="13" fillId="0" fontId="6" numFmtId="0" xfId="0" applyAlignment="1" applyBorder="1" applyFont="1">
      <alignment horizontal="left" readingOrder="0" shrinkToFit="0" vertical="bottom" wrapText="0"/>
    </xf>
    <xf borderId="12" fillId="0" fontId="7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horizontal="left" readingOrder="0" vertical="center"/>
    </xf>
    <xf borderId="7" fillId="0" fontId="8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center" readingOrder="0" shrinkToFit="0" vertical="bottom" wrapText="0"/>
    </xf>
    <xf borderId="6" fillId="0" fontId="7" numFmtId="164" xfId="0" applyAlignment="1" applyBorder="1" applyFont="1" applyNumberFormat="1">
      <alignment horizontal="center" readingOrder="0" shrinkToFit="0" vertical="bottom" wrapText="0"/>
    </xf>
    <xf borderId="6" fillId="0" fontId="7" numFmtId="0" xfId="0" applyAlignment="1" applyBorder="1" applyFont="1">
      <alignment horizontal="center" shrinkToFit="0" vertical="bottom" wrapText="0"/>
    </xf>
    <xf borderId="6" fillId="0" fontId="7" numFmtId="167" xfId="0" applyAlignment="1" applyBorder="1" applyFont="1" applyNumberFormat="1">
      <alignment horizontal="center" readingOrder="0" shrinkToFit="0" vertical="bottom" wrapText="0"/>
    </xf>
    <xf borderId="13" fillId="0" fontId="7" numFmtId="0" xfId="0" applyAlignment="1" applyBorder="1" applyFont="1">
      <alignment horizontal="left" readingOrder="0" shrinkToFit="0" vertical="bottom" wrapText="0"/>
    </xf>
    <xf borderId="12" fillId="0" fontId="7" numFmtId="0" xfId="0" applyAlignment="1" applyBorder="1" applyFont="1">
      <alignment horizontal="center" readingOrder="0" shrinkToFit="0" vertical="bottom" wrapText="0"/>
    </xf>
    <xf borderId="12" fillId="0" fontId="7" numFmtId="167" xfId="0" applyAlignment="1" applyBorder="1" applyFont="1" applyNumberFormat="1">
      <alignment horizontal="center" readingOrder="0" shrinkToFit="0" vertical="bottom" wrapText="0"/>
    </xf>
    <xf borderId="12" fillId="0" fontId="7" numFmtId="0" xfId="0" applyAlignment="1" applyBorder="1" applyFont="1">
      <alignment horizontal="center"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2" fillId="0" fontId="7" numFmtId="0" xfId="0" applyAlignment="1" applyBorder="1" applyFont="1">
      <alignment readingOrder="0" shrinkToFit="0" vertical="bottom" wrapText="0"/>
    </xf>
    <xf borderId="6" fillId="0" fontId="7" numFmtId="0" xfId="0" applyAlignment="1" applyBorder="1" applyFont="1">
      <alignment horizontal="right" readingOrder="0" shrinkToFit="0" vertical="bottom" wrapText="0"/>
    </xf>
    <xf borderId="3" fillId="0" fontId="7" numFmtId="0" xfId="0" applyAlignment="1" applyBorder="1" applyFont="1">
      <alignment horizontal="right"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15" fillId="0" fontId="7" numFmtId="0" xfId="0" applyAlignment="1" applyBorder="1" applyFont="1">
      <alignment readingOrder="0" shrinkToFit="0" vertical="bottom" wrapText="0"/>
    </xf>
    <xf borderId="6" fillId="0" fontId="7" numFmtId="0" xfId="0" applyAlignment="1" applyBorder="1" applyFont="1">
      <alignment shrinkToFit="0" vertical="bottom" wrapText="0"/>
    </xf>
    <xf borderId="12" fillId="0" fontId="6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7" fillId="0" fontId="7" numFmtId="0" xfId="0" applyAlignment="1" applyBorder="1" applyFont="1">
      <alignment readingOrder="0" shrinkToFit="0" vertical="bottom" wrapText="0"/>
    </xf>
    <xf borderId="14" fillId="0" fontId="7" numFmtId="0" xfId="0" applyAlignment="1" applyBorder="1" applyFont="1">
      <alignment readingOrder="0" shrinkToFit="0" vertical="bottom" wrapText="0"/>
    </xf>
    <xf borderId="6" fillId="0" fontId="7" numFmtId="0" xfId="0" applyAlignment="1" applyBorder="1" applyFont="1">
      <alignment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horizontal="right" readingOrder="0" shrinkToFit="0" vertical="bottom" wrapText="0"/>
    </xf>
    <xf borderId="12" fillId="0" fontId="7" numFmtId="164" xfId="0" applyAlignment="1" applyBorder="1" applyFont="1" applyNumberFormat="1">
      <alignment horizontal="center" readingOrder="0"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borderId="11" fillId="0" fontId="7" numFmtId="0" xfId="0" applyAlignment="1" applyBorder="1" applyFont="1">
      <alignment horizontal="center" readingOrder="0" shrinkToFit="0" vertical="bottom" wrapText="0"/>
    </xf>
    <xf borderId="11" fillId="0" fontId="7" numFmtId="167" xfId="0" applyAlignment="1" applyBorder="1" applyFont="1" applyNumberFormat="1">
      <alignment horizontal="center" readingOrder="0" shrinkToFit="0" vertical="bottom" wrapText="0"/>
    </xf>
    <xf borderId="11" fillId="0" fontId="7" numFmtId="0" xfId="0" applyAlignment="1" applyBorder="1" applyFont="1">
      <alignment horizontal="left" readingOrder="0" shrinkToFit="0" vertical="bottom" wrapText="0"/>
    </xf>
    <xf borderId="11" fillId="0" fontId="7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horizontal="left" readingOrder="0" shrinkToFit="0" vertical="bottom" wrapText="0"/>
    </xf>
    <xf borderId="5" fillId="0" fontId="7" numFmtId="167" xfId="0" applyAlignment="1" applyBorder="1" applyFont="1" applyNumberFormat="1">
      <alignment horizontal="center" readingOrder="0" shrinkToFit="0" wrapText="0"/>
    </xf>
    <xf borderId="5" fillId="0" fontId="7" numFmtId="0" xfId="0" applyAlignment="1" applyBorder="1" applyFont="1">
      <alignment horizontal="left" readingOrder="0" shrinkToFit="0" vertical="bottom" wrapText="0"/>
    </xf>
    <xf borderId="3" fillId="0" fontId="7" numFmtId="0" xfId="0" applyAlignment="1" applyBorder="1" applyFont="1">
      <alignment horizontal="center" readingOrder="0" shrinkToFit="0" vertical="bottom" wrapText="0"/>
    </xf>
    <xf borderId="3" fillId="0" fontId="7" numFmtId="167" xfId="0" applyAlignment="1" applyBorder="1" applyFont="1" applyNumberFormat="1">
      <alignment horizontal="center" readingOrder="0" shrinkToFit="0" vertical="bottom" wrapText="0"/>
    </xf>
    <xf borderId="3" fillId="0" fontId="7" numFmtId="0" xfId="0" applyAlignment="1" applyBorder="1" applyFont="1">
      <alignment horizontal="left" readingOrder="0" shrinkToFit="0" vertical="bottom" wrapText="0"/>
    </xf>
    <xf borderId="15" fillId="0" fontId="7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vertical="bottom"/>
    </xf>
    <xf borderId="15" fillId="0" fontId="7" numFmtId="164" xfId="0" applyAlignment="1" applyBorder="1" applyFont="1" applyNumberFormat="1">
      <alignment horizontal="center" readingOrder="0" shrinkToFit="0" vertical="bottom" wrapText="0"/>
    </xf>
    <xf borderId="5" fillId="0" fontId="7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horizontal="center" vertical="bottom"/>
    </xf>
    <xf borderId="2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vertical="bottom"/>
    </xf>
    <xf borderId="13" fillId="0" fontId="8" numFmtId="0" xfId="0" applyAlignment="1" applyBorder="1" applyFont="1">
      <alignment horizontal="center" shrinkToFit="0" vertical="bottom" wrapText="1"/>
    </xf>
    <xf borderId="8" fillId="0" fontId="8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shrinkToFit="0" vertical="bottom" wrapText="1"/>
    </xf>
    <xf borderId="4" fillId="0" fontId="8" numFmtId="0" xfId="0" applyAlignment="1" applyBorder="1" applyFont="1">
      <alignment horizontal="center" vertical="bottom"/>
    </xf>
    <xf borderId="5" fillId="0" fontId="15" numFmtId="0" xfId="0" applyAlignment="1" applyBorder="1" applyFont="1">
      <alignment vertical="bottom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8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horizontal="center" readingOrder="0" vertical="center"/>
    </xf>
    <xf borderId="14" fillId="3" fontId="8" numFmtId="0" xfId="0" applyAlignment="1" applyBorder="1" applyFont="1">
      <alignment readingOrder="0" vertical="bottom"/>
    </xf>
    <xf borderId="15" fillId="3" fontId="8" numFmtId="0" xfId="0" applyAlignment="1" applyBorder="1" applyFont="1">
      <alignment vertical="bottom"/>
    </xf>
    <xf borderId="13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5" numFmtId="168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vertical="center"/>
    </xf>
    <xf borderId="6" fillId="0" fontId="10" numFmtId="0" xfId="0" applyAlignment="1" applyBorder="1" applyFont="1">
      <alignment vertical="bottom"/>
    </xf>
    <xf borderId="6" fillId="0" fontId="13" numFmtId="0" xfId="0" applyAlignment="1" applyBorder="1" applyFont="1">
      <alignment readingOrder="0" vertical="bottom"/>
    </xf>
    <xf borderId="13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left" readingOrder="0" vertical="center"/>
    </xf>
    <xf borderId="7" fillId="3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readingOrder="0" vertical="bottom"/>
    </xf>
    <xf borderId="4" fillId="0" fontId="13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6" fillId="3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8" numFmtId="168" xfId="0" applyAlignment="1" applyBorder="1" applyFont="1" applyNumberFormat="1">
      <alignment horizontal="left" readingOrder="0" vertical="bottom"/>
    </xf>
    <xf borderId="8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14" fillId="0" fontId="14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8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2" fillId="0" fontId="14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2" fillId="0" fontId="8" numFmtId="0" xfId="0" applyAlignment="1" applyBorder="1" applyFont="1">
      <alignment horizontal="center" readingOrder="0"/>
    </xf>
    <xf borderId="15" fillId="3" fontId="8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5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5" fillId="0" fontId="2" numFmtId="170" xfId="0" applyAlignment="1" applyBorder="1" applyFont="1" applyNumberForma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4">
        <v>295.0</v>
      </c>
      <c r="E6" s="15">
        <v>311.0</v>
      </c>
      <c r="F6" s="14">
        <v>924.0</v>
      </c>
      <c r="G6" s="14">
        <v>64.0</v>
      </c>
      <c r="H6" s="14">
        <v>91.0</v>
      </c>
      <c r="I6" s="14">
        <v>500.0</v>
      </c>
      <c r="J6" s="14">
        <v>134.0</v>
      </c>
      <c r="K6" s="14">
        <v>2.0</v>
      </c>
      <c r="L6" s="16"/>
      <c r="M6" s="14">
        <v>1.0</v>
      </c>
      <c r="N6" s="17"/>
      <c r="O6" s="18" t="s">
        <v>25</v>
      </c>
      <c r="P6" s="14">
        <v>9.0</v>
      </c>
      <c r="Q6" s="18" t="s">
        <v>26</v>
      </c>
      <c r="R6" s="14" t="s">
        <v>27</v>
      </c>
      <c r="S6" s="2"/>
    </row>
    <row r="7">
      <c r="A7" s="19">
        <v>2.0</v>
      </c>
      <c r="B7" s="13" t="s">
        <v>28</v>
      </c>
      <c r="C7" s="14" t="s">
        <v>29</v>
      </c>
      <c r="D7" s="14">
        <v>268.0</v>
      </c>
      <c r="E7" s="15">
        <v>294.0</v>
      </c>
      <c r="F7" s="14">
        <v>803.0</v>
      </c>
      <c r="G7" s="14">
        <v>20.0</v>
      </c>
      <c r="H7" s="14">
        <v>64.0</v>
      </c>
      <c r="I7" s="14">
        <v>435.0</v>
      </c>
      <c r="J7" s="14">
        <v>136.0</v>
      </c>
      <c r="K7" s="14">
        <v>0.0</v>
      </c>
      <c r="L7" s="20"/>
      <c r="M7" s="14">
        <v>1.0</v>
      </c>
      <c r="N7" s="17"/>
      <c r="O7" s="21" t="s">
        <v>25</v>
      </c>
      <c r="P7" s="14">
        <v>9.0</v>
      </c>
      <c r="Q7" s="18" t="s">
        <v>26</v>
      </c>
      <c r="R7" s="14" t="s">
        <v>27</v>
      </c>
      <c r="S7" s="2"/>
    </row>
    <row r="8">
      <c r="A8" s="19">
        <v>3.0</v>
      </c>
      <c r="B8" s="13" t="s">
        <v>30</v>
      </c>
      <c r="C8" s="14" t="s">
        <v>29</v>
      </c>
      <c r="D8" s="14">
        <v>269.0</v>
      </c>
      <c r="E8" s="15">
        <v>333.0</v>
      </c>
      <c r="F8" s="14">
        <v>929.0</v>
      </c>
      <c r="G8" s="14">
        <v>35.0</v>
      </c>
      <c r="H8" s="14">
        <v>84.0</v>
      </c>
      <c r="I8" s="14">
        <v>514.0</v>
      </c>
      <c r="J8" s="14">
        <v>161.0</v>
      </c>
      <c r="K8" s="14">
        <v>2.0</v>
      </c>
      <c r="L8" s="22"/>
      <c r="M8" s="14">
        <v>1.0</v>
      </c>
      <c r="N8" s="17"/>
      <c r="O8" s="18" t="s">
        <v>25</v>
      </c>
      <c r="P8" s="14">
        <v>9.0</v>
      </c>
      <c r="Q8" s="18" t="s">
        <v>26</v>
      </c>
      <c r="R8" s="14" t="s">
        <v>27</v>
      </c>
      <c r="S8" s="2"/>
    </row>
    <row r="9">
      <c r="A9" s="19">
        <v>4.0</v>
      </c>
      <c r="B9" s="13" t="s">
        <v>31</v>
      </c>
      <c r="C9" s="14" t="s">
        <v>32</v>
      </c>
      <c r="D9" s="14">
        <v>315.0</v>
      </c>
      <c r="E9" s="15">
        <v>363.0</v>
      </c>
      <c r="F9" s="14">
        <v>883.0</v>
      </c>
      <c r="G9" s="14">
        <v>41.0</v>
      </c>
      <c r="H9" s="14">
        <v>82.0</v>
      </c>
      <c r="I9" s="14">
        <v>337.0</v>
      </c>
      <c r="J9" s="14">
        <v>99.0</v>
      </c>
      <c r="K9" s="14">
        <v>3.0</v>
      </c>
      <c r="L9" s="22"/>
      <c r="M9" s="14">
        <v>1.0</v>
      </c>
      <c r="N9" s="17"/>
      <c r="O9" s="18" t="s">
        <v>25</v>
      </c>
      <c r="P9" s="14">
        <v>9.0</v>
      </c>
      <c r="Q9" s="18" t="s">
        <v>33</v>
      </c>
      <c r="R9" s="14" t="s">
        <v>27</v>
      </c>
      <c r="S9" s="2"/>
    </row>
    <row r="10">
      <c r="A10" s="19">
        <v>5.0</v>
      </c>
      <c r="B10" s="13" t="s">
        <v>34</v>
      </c>
      <c r="C10" s="14" t="s">
        <v>35</v>
      </c>
      <c r="D10" s="14">
        <v>263.0</v>
      </c>
      <c r="E10" s="15">
        <v>295.0</v>
      </c>
      <c r="F10" s="14">
        <v>915.0</v>
      </c>
      <c r="G10" s="14">
        <v>38.0</v>
      </c>
      <c r="H10" s="14">
        <v>59.0</v>
      </c>
      <c r="I10" s="14">
        <v>122.0</v>
      </c>
      <c r="J10" s="14">
        <v>128.0</v>
      </c>
      <c r="K10" s="14">
        <v>1.0</v>
      </c>
      <c r="L10" s="20"/>
      <c r="M10" s="14">
        <v>1.0</v>
      </c>
      <c r="N10" s="17"/>
      <c r="O10" s="18" t="s">
        <v>25</v>
      </c>
      <c r="P10" s="14">
        <v>9.0</v>
      </c>
      <c r="Q10" s="18" t="s">
        <v>26</v>
      </c>
      <c r="R10" s="14" t="s">
        <v>27</v>
      </c>
      <c r="S10" s="2"/>
    </row>
    <row r="11">
      <c r="A11" s="12"/>
      <c r="B11" s="23"/>
      <c r="C11" s="24"/>
      <c r="D11" s="24"/>
      <c r="E11" s="25"/>
      <c r="F11" s="24"/>
      <c r="G11" s="24"/>
      <c r="H11" s="24"/>
      <c r="I11" s="24"/>
      <c r="J11" s="24"/>
      <c r="K11" s="24"/>
      <c r="L11" s="24"/>
      <c r="M11" s="26"/>
      <c r="N11" s="24"/>
      <c r="O11" s="26"/>
      <c r="P11" s="27"/>
      <c r="Q11" s="28"/>
      <c r="R11" s="24"/>
      <c r="S11" s="2"/>
    </row>
    <row r="12">
      <c r="A12" s="29" t="s">
        <v>36</v>
      </c>
      <c r="B12" s="30"/>
      <c r="C12" s="8"/>
      <c r="D12" s="24">
        <f t="shared" ref="D12:P12" si="1">SUM(D6:D11)</f>
        <v>1410</v>
      </c>
      <c r="E12" s="24">
        <f t="shared" si="1"/>
        <v>1596</v>
      </c>
      <c r="F12" s="24">
        <f t="shared" si="1"/>
        <v>4454</v>
      </c>
      <c r="G12" s="24">
        <f t="shared" si="1"/>
        <v>198</v>
      </c>
      <c r="H12" s="24">
        <f t="shared" si="1"/>
        <v>380</v>
      </c>
      <c r="I12" s="24">
        <f t="shared" si="1"/>
        <v>1908</v>
      </c>
      <c r="J12" s="24">
        <f t="shared" si="1"/>
        <v>658</v>
      </c>
      <c r="K12" s="24">
        <f t="shared" si="1"/>
        <v>8</v>
      </c>
      <c r="L12" s="24">
        <f t="shared" si="1"/>
        <v>0</v>
      </c>
      <c r="M12" s="24">
        <f t="shared" si="1"/>
        <v>5</v>
      </c>
      <c r="N12" s="24">
        <f t="shared" si="1"/>
        <v>0</v>
      </c>
      <c r="O12" s="24">
        <f t="shared" si="1"/>
        <v>0</v>
      </c>
      <c r="P12" s="24">
        <f t="shared" si="1"/>
        <v>45</v>
      </c>
      <c r="Q12" s="31">
        <v>5.0</v>
      </c>
      <c r="R12" s="24">
        <f>SUM(R6:R11)</f>
        <v>0</v>
      </c>
      <c r="S12" s="2"/>
    </row>
  </sheetData>
  <mergeCells count="18">
    <mergeCell ref="G4:G5"/>
    <mergeCell ref="H4:H5"/>
    <mergeCell ref="A12:C12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tr">
        <f>DATABASE!C2</f>
        <v>: TAMAN BOGO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39</v>
      </c>
      <c r="B5" s="35" t="s">
        <v>40</v>
      </c>
      <c r="C5" s="35" t="s">
        <v>41</v>
      </c>
      <c r="D5" s="35" t="s">
        <v>42</v>
      </c>
      <c r="E5" s="35" t="s">
        <v>43</v>
      </c>
      <c r="F5" s="35" t="s">
        <v>44</v>
      </c>
      <c r="G5" s="35" t="s">
        <v>45</v>
      </c>
      <c r="H5" s="36" t="s">
        <v>46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47</v>
      </c>
      <c r="I6" s="37" t="s">
        <v>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40">
        <v>45983.0</v>
      </c>
      <c r="C8" s="41" t="s">
        <v>23</v>
      </c>
      <c r="D8" s="18">
        <v>1.80709130611E15</v>
      </c>
      <c r="E8" s="42" t="s">
        <v>49</v>
      </c>
      <c r="F8" s="41" t="s">
        <v>50</v>
      </c>
      <c r="G8" s="41" t="s">
        <v>51</v>
      </c>
      <c r="H8" s="43"/>
      <c r="I8" s="14" t="s">
        <v>52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44">
        <v>45983.0</v>
      </c>
      <c r="C9" s="41" t="s">
        <v>53</v>
      </c>
      <c r="D9" s="18">
        <v>1.80708060911E15</v>
      </c>
      <c r="E9" s="42" t="s">
        <v>54</v>
      </c>
      <c r="F9" s="41" t="s">
        <v>55</v>
      </c>
      <c r="G9" s="41" t="s">
        <v>56</v>
      </c>
      <c r="H9" s="43"/>
      <c r="I9" s="14" t="s">
        <v>52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19">
        <v>3.0</v>
      </c>
      <c r="B10" s="40">
        <v>45983.0</v>
      </c>
      <c r="C10" s="41" t="s">
        <v>53</v>
      </c>
      <c r="D10" s="14" t="s">
        <v>57</v>
      </c>
      <c r="E10" s="41" t="s">
        <v>58</v>
      </c>
      <c r="F10" s="41" t="s">
        <v>55</v>
      </c>
      <c r="G10" s="41" t="s">
        <v>56</v>
      </c>
      <c r="H10" s="43"/>
      <c r="I10" s="2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>
        <v>4.0</v>
      </c>
      <c r="B11" s="45">
        <v>45982.0</v>
      </c>
      <c r="C11" s="41" t="s">
        <v>31</v>
      </c>
      <c r="D11" s="18" t="s">
        <v>59</v>
      </c>
      <c r="E11" s="42" t="s">
        <v>60</v>
      </c>
      <c r="F11" s="41" t="s">
        <v>61</v>
      </c>
      <c r="G11" s="41" t="s">
        <v>62</v>
      </c>
      <c r="H11" s="43"/>
      <c r="I11" s="14" t="s">
        <v>52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9">
        <v>5.0</v>
      </c>
      <c r="B12" s="40">
        <v>45982.0</v>
      </c>
      <c r="C12" s="41" t="s">
        <v>31</v>
      </c>
      <c r="D12" s="14" t="s">
        <v>63</v>
      </c>
      <c r="E12" s="41" t="s">
        <v>64</v>
      </c>
      <c r="F12" s="41" t="s">
        <v>65</v>
      </c>
      <c r="G12" s="41" t="s">
        <v>62</v>
      </c>
      <c r="H12" s="43"/>
      <c r="I12" s="2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>
        <v>6.0</v>
      </c>
      <c r="B13" s="45">
        <v>45982.0</v>
      </c>
      <c r="C13" s="41" t="s">
        <v>31</v>
      </c>
      <c r="D13" s="14" t="s">
        <v>66</v>
      </c>
      <c r="E13" s="41" t="s">
        <v>67</v>
      </c>
      <c r="F13" s="41" t="s">
        <v>65</v>
      </c>
      <c r="G13" s="41" t="s">
        <v>62</v>
      </c>
      <c r="H13" s="43"/>
      <c r="I13" s="2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9">
        <v>7.0</v>
      </c>
      <c r="B14" s="45">
        <v>45982.0</v>
      </c>
      <c r="C14" s="41" t="s">
        <v>31</v>
      </c>
      <c r="D14" s="14" t="s">
        <v>68</v>
      </c>
      <c r="E14" s="41" t="s">
        <v>69</v>
      </c>
      <c r="F14" s="41" t="s">
        <v>61</v>
      </c>
      <c r="G14" s="41" t="s">
        <v>62</v>
      </c>
      <c r="H14" s="22"/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>
        <v>8.0</v>
      </c>
      <c r="B15" s="45">
        <v>45989.0</v>
      </c>
      <c r="C15" s="41" t="s">
        <v>70</v>
      </c>
      <c r="D15" s="14" t="s">
        <v>71</v>
      </c>
      <c r="E15" s="41" t="s">
        <v>72</v>
      </c>
      <c r="F15" s="41" t="s">
        <v>65</v>
      </c>
      <c r="G15" s="41" t="s">
        <v>73</v>
      </c>
      <c r="H15" s="43"/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9">
        <v>9.0</v>
      </c>
      <c r="B16" s="45">
        <v>45989.0</v>
      </c>
      <c r="C16" s="41" t="s">
        <v>70</v>
      </c>
      <c r="D16" s="14" t="s">
        <v>74</v>
      </c>
      <c r="E16" s="41" t="s">
        <v>75</v>
      </c>
      <c r="F16" s="41" t="s">
        <v>76</v>
      </c>
      <c r="G16" s="41" t="s">
        <v>73</v>
      </c>
      <c r="H16" s="43"/>
      <c r="I16" s="2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>
        <v>10.0</v>
      </c>
      <c r="B17" s="45">
        <v>45989.0</v>
      </c>
      <c r="C17" s="41" t="s">
        <v>70</v>
      </c>
      <c r="D17" s="14" t="s">
        <v>77</v>
      </c>
      <c r="E17" s="41" t="s">
        <v>78</v>
      </c>
      <c r="F17" s="41" t="s">
        <v>79</v>
      </c>
      <c r="G17" s="41" t="s">
        <v>73</v>
      </c>
      <c r="H17" s="22"/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9">
        <v>11.0</v>
      </c>
      <c r="B18" s="45">
        <v>45989.0</v>
      </c>
      <c r="C18" s="41" t="s">
        <v>70</v>
      </c>
      <c r="D18" s="14" t="s">
        <v>80</v>
      </c>
      <c r="E18" s="42" t="s">
        <v>81</v>
      </c>
      <c r="F18" s="41" t="s">
        <v>82</v>
      </c>
      <c r="G18" s="41" t="s">
        <v>73</v>
      </c>
      <c r="H18" s="43"/>
      <c r="I18" s="2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6"/>
      <c r="C19" s="47"/>
      <c r="D19" s="47"/>
      <c r="E19" s="47"/>
      <c r="F19" s="47"/>
      <c r="G19" s="47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6"/>
      <c r="C20" s="47"/>
      <c r="D20" s="47"/>
      <c r="E20" s="47"/>
      <c r="F20" s="47"/>
      <c r="G20" s="47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6"/>
      <c r="C21" s="47"/>
      <c r="D21" s="47"/>
      <c r="E21" s="47"/>
      <c r="F21" s="47"/>
      <c r="G21" s="47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8"/>
      <c r="C22" s="47"/>
      <c r="D22" s="47"/>
      <c r="E22" s="47"/>
      <c r="F22" s="47"/>
      <c r="G22" s="47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6"/>
      <c r="C23" s="47"/>
      <c r="D23" s="47"/>
      <c r="E23" s="47"/>
      <c r="F23" s="47"/>
      <c r="G23" s="47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6"/>
      <c r="C24" s="47"/>
      <c r="D24" s="47"/>
      <c r="E24" s="47"/>
      <c r="F24" s="47"/>
      <c r="G24" s="47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6"/>
      <c r="C25" s="47"/>
      <c r="D25" s="47"/>
      <c r="E25" s="47"/>
      <c r="F25" s="47"/>
      <c r="G25" s="47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6"/>
      <c r="C26" s="47"/>
      <c r="D26" s="47"/>
      <c r="E26" s="47"/>
      <c r="F26" s="47"/>
      <c r="G26" s="47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6"/>
      <c r="C27" s="47"/>
      <c r="D27" s="49"/>
      <c r="E27" s="47"/>
      <c r="F27" s="47"/>
      <c r="G27" s="47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50"/>
      <c r="C28" s="47"/>
      <c r="D28" s="47"/>
      <c r="E28" s="47"/>
      <c r="F28" s="47"/>
      <c r="G28" s="47"/>
      <c r="H28" s="26"/>
      <c r="I28" s="4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50"/>
      <c r="C29" s="47"/>
      <c r="D29" s="47"/>
      <c r="E29" s="47"/>
      <c r="F29" s="47"/>
      <c r="G29" s="47"/>
      <c r="H29" s="26"/>
      <c r="I29" s="4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1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1"/>
      <c r="B31" s="26"/>
      <c r="C31" s="26"/>
      <c r="D31" s="26"/>
      <c r="E31" s="26"/>
      <c r="F31" s="26"/>
      <c r="G31" s="26"/>
      <c r="H31" s="26"/>
      <c r="I31" s="2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2" t="s">
        <v>83</v>
      </c>
      <c r="AL1" s="53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 t="str">
        <f>PENDIDIKAN!C3</f>
        <v>: TAMAN BOGO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4" t="s">
        <v>3</v>
      </c>
      <c r="B4" s="54" t="s">
        <v>84</v>
      </c>
      <c r="C4" s="55" t="s">
        <v>85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8"/>
      <c r="AA4" s="56" t="s">
        <v>86</v>
      </c>
      <c r="AB4" s="30"/>
      <c r="AC4" s="30"/>
      <c r="AD4" s="30"/>
      <c r="AE4" s="30"/>
      <c r="AF4" s="8"/>
      <c r="AG4" s="56" t="s">
        <v>87</v>
      </c>
      <c r="AH4" s="30"/>
      <c r="AI4" s="30"/>
      <c r="AJ4" s="8"/>
      <c r="AK4" s="57" t="s">
        <v>88</v>
      </c>
      <c r="AL4" s="2"/>
    </row>
    <row r="5">
      <c r="A5" s="58"/>
      <c r="B5" s="58"/>
      <c r="C5" s="59" t="s">
        <v>89</v>
      </c>
      <c r="D5" s="30"/>
      <c r="E5" s="30"/>
      <c r="F5" s="30"/>
      <c r="G5" s="30"/>
      <c r="H5" s="30"/>
      <c r="I5" s="30"/>
      <c r="J5" s="8"/>
      <c r="K5" s="60" t="s">
        <v>90</v>
      </c>
      <c r="L5" s="61"/>
      <c r="M5" s="61"/>
      <c r="N5" s="62"/>
      <c r="O5" s="63" t="s">
        <v>91</v>
      </c>
      <c r="R5" s="64"/>
      <c r="S5" s="63" t="s">
        <v>92</v>
      </c>
      <c r="V5" s="64"/>
      <c r="W5" s="65" t="s">
        <v>93</v>
      </c>
      <c r="X5" s="56" t="s">
        <v>94</v>
      </c>
      <c r="Y5" s="30"/>
      <c r="Z5" s="8"/>
      <c r="AA5" s="54" t="s">
        <v>95</v>
      </c>
      <c r="AB5" s="62"/>
      <c r="AC5" s="54" t="s">
        <v>96</v>
      </c>
      <c r="AD5" s="62"/>
      <c r="AE5" s="54" t="s">
        <v>97</v>
      </c>
      <c r="AF5" s="62"/>
      <c r="AG5" s="54" t="s">
        <v>98</v>
      </c>
      <c r="AH5" s="62"/>
      <c r="AI5" s="54" t="s">
        <v>99</v>
      </c>
      <c r="AJ5" s="62"/>
      <c r="AK5" s="66"/>
      <c r="AL5" s="2"/>
    </row>
    <row r="6">
      <c r="A6" s="58"/>
      <c r="B6" s="58"/>
      <c r="C6" s="59" t="s">
        <v>100</v>
      </c>
      <c r="D6" s="30"/>
      <c r="E6" s="30"/>
      <c r="F6" s="8"/>
      <c r="G6" s="56" t="s">
        <v>101</v>
      </c>
      <c r="H6" s="30"/>
      <c r="I6" s="30"/>
      <c r="J6" s="8"/>
      <c r="K6" s="67"/>
      <c r="L6" s="68"/>
      <c r="M6" s="68"/>
      <c r="N6" s="69"/>
      <c r="O6" s="67"/>
      <c r="P6" s="68"/>
      <c r="Q6" s="68"/>
      <c r="R6" s="69"/>
      <c r="S6" s="67"/>
      <c r="T6" s="68"/>
      <c r="U6" s="68"/>
      <c r="V6" s="69"/>
      <c r="W6" s="66"/>
      <c r="X6" s="65" t="s">
        <v>102</v>
      </c>
      <c r="Y6" s="65" t="s">
        <v>103</v>
      </c>
      <c r="Z6" s="65" t="s">
        <v>104</v>
      </c>
      <c r="AA6" s="58"/>
      <c r="AB6" s="64"/>
      <c r="AC6" s="58"/>
      <c r="AD6" s="64"/>
      <c r="AE6" s="58"/>
      <c r="AF6" s="64"/>
      <c r="AG6" s="58"/>
      <c r="AH6" s="64"/>
      <c r="AI6" s="58"/>
      <c r="AJ6" s="64"/>
      <c r="AK6" s="66"/>
      <c r="AL6" s="2"/>
    </row>
    <row r="7">
      <c r="A7" s="58"/>
      <c r="B7" s="58"/>
      <c r="C7" s="59" t="s">
        <v>105</v>
      </c>
      <c r="D7" s="8"/>
      <c r="E7" s="56" t="s">
        <v>106</v>
      </c>
      <c r="F7" s="8"/>
      <c r="G7" s="56" t="s">
        <v>105</v>
      </c>
      <c r="H7" s="8"/>
      <c r="I7" s="56" t="s">
        <v>106</v>
      </c>
      <c r="J7" s="8"/>
      <c r="K7" s="70" t="s">
        <v>105</v>
      </c>
      <c r="L7" s="69"/>
      <c r="M7" s="70" t="s">
        <v>106</v>
      </c>
      <c r="N7" s="69"/>
      <c r="O7" s="70" t="s">
        <v>105</v>
      </c>
      <c r="P7" s="69"/>
      <c r="Q7" s="70" t="s">
        <v>106</v>
      </c>
      <c r="R7" s="69"/>
      <c r="S7" s="70" t="s">
        <v>105</v>
      </c>
      <c r="T7" s="69"/>
      <c r="U7" s="70" t="s">
        <v>106</v>
      </c>
      <c r="V7" s="69"/>
      <c r="W7" s="66"/>
      <c r="X7" s="66"/>
      <c r="Y7" s="66"/>
      <c r="Z7" s="66"/>
      <c r="AA7" s="67"/>
      <c r="AB7" s="69"/>
      <c r="AC7" s="67"/>
      <c r="AD7" s="69"/>
      <c r="AE7" s="67"/>
      <c r="AF7" s="69"/>
      <c r="AG7" s="67"/>
      <c r="AH7" s="69"/>
      <c r="AI7" s="67"/>
      <c r="AJ7" s="69"/>
      <c r="AK7" s="66"/>
      <c r="AL7" s="2"/>
    </row>
    <row r="8">
      <c r="A8" s="67"/>
      <c r="B8" s="67"/>
      <c r="C8" s="71" t="s">
        <v>107</v>
      </c>
      <c r="D8" s="72" t="s">
        <v>108</v>
      </c>
      <c r="E8" s="72" t="s">
        <v>107</v>
      </c>
      <c r="F8" s="72" t="s">
        <v>108</v>
      </c>
      <c r="G8" s="72" t="s">
        <v>107</v>
      </c>
      <c r="H8" s="72" t="s">
        <v>108</v>
      </c>
      <c r="I8" s="72" t="s">
        <v>107</v>
      </c>
      <c r="J8" s="72" t="s">
        <v>108</v>
      </c>
      <c r="K8" s="73" t="s">
        <v>107</v>
      </c>
      <c r="L8" s="73" t="s">
        <v>108</v>
      </c>
      <c r="M8" s="73" t="s">
        <v>107</v>
      </c>
      <c r="N8" s="73" t="s">
        <v>108</v>
      </c>
      <c r="O8" s="73" t="s">
        <v>107</v>
      </c>
      <c r="P8" s="73" t="s">
        <v>108</v>
      </c>
      <c r="Q8" s="73" t="s">
        <v>107</v>
      </c>
      <c r="R8" s="73" t="s">
        <v>108</v>
      </c>
      <c r="S8" s="73" t="s">
        <v>107</v>
      </c>
      <c r="T8" s="73" t="s">
        <v>108</v>
      </c>
      <c r="U8" s="73" t="s">
        <v>107</v>
      </c>
      <c r="V8" s="73" t="s">
        <v>108</v>
      </c>
      <c r="W8" s="10"/>
      <c r="X8" s="10"/>
      <c r="Y8" s="10"/>
      <c r="Z8" s="10"/>
      <c r="AA8" s="72" t="s">
        <v>107</v>
      </c>
      <c r="AB8" s="72" t="s">
        <v>108</v>
      </c>
      <c r="AC8" s="72" t="s">
        <v>107</v>
      </c>
      <c r="AD8" s="72" t="s">
        <v>108</v>
      </c>
      <c r="AE8" s="72" t="s">
        <v>107</v>
      </c>
      <c r="AF8" s="72" t="s">
        <v>108</v>
      </c>
      <c r="AG8" s="72" t="s">
        <v>107</v>
      </c>
      <c r="AH8" s="72" t="s">
        <v>108</v>
      </c>
      <c r="AI8" s="72" t="s">
        <v>107</v>
      </c>
      <c r="AJ8" s="72" t="s">
        <v>108</v>
      </c>
      <c r="AK8" s="10"/>
      <c r="AL8" s="2"/>
    </row>
    <row r="9">
      <c r="A9" s="74">
        <v>1.0</v>
      </c>
      <c r="B9" s="75">
        <v>2.0</v>
      </c>
      <c r="C9" s="75">
        <v>3.0</v>
      </c>
      <c r="D9" s="75">
        <v>4.0</v>
      </c>
      <c r="E9" s="75">
        <v>5.0</v>
      </c>
      <c r="F9" s="75">
        <v>6.0</v>
      </c>
      <c r="G9" s="75">
        <v>7.0</v>
      </c>
      <c r="H9" s="75">
        <v>8.0</v>
      </c>
      <c r="I9" s="75">
        <v>9.0</v>
      </c>
      <c r="J9" s="75">
        <v>10.0</v>
      </c>
      <c r="K9" s="76">
        <v>11.0</v>
      </c>
      <c r="L9" s="76">
        <v>12.0</v>
      </c>
      <c r="M9" s="76">
        <v>13.0</v>
      </c>
      <c r="N9" s="76">
        <v>14.0</v>
      </c>
      <c r="O9" s="76">
        <v>15.0</v>
      </c>
      <c r="P9" s="76">
        <v>16.0</v>
      </c>
      <c r="Q9" s="76">
        <v>17.0</v>
      </c>
      <c r="R9" s="76">
        <v>18.0</v>
      </c>
      <c r="S9" s="76">
        <v>19.0</v>
      </c>
      <c r="T9" s="76">
        <v>20.0</v>
      </c>
      <c r="U9" s="76">
        <v>21.0</v>
      </c>
      <c r="V9" s="76">
        <v>22.0</v>
      </c>
      <c r="W9" s="76">
        <v>23.0</v>
      </c>
      <c r="X9" s="76">
        <v>24.0</v>
      </c>
      <c r="Y9" s="76">
        <v>25.0</v>
      </c>
      <c r="Z9" s="76">
        <v>26.0</v>
      </c>
      <c r="AA9" s="76">
        <v>27.0</v>
      </c>
      <c r="AB9" s="76">
        <v>28.0</v>
      </c>
      <c r="AC9" s="76">
        <v>29.0</v>
      </c>
      <c r="AD9" s="76">
        <v>30.0</v>
      </c>
      <c r="AE9" s="76">
        <v>31.0</v>
      </c>
      <c r="AF9" s="76">
        <v>32.0</v>
      </c>
      <c r="AG9" s="76">
        <v>33.0</v>
      </c>
      <c r="AH9" s="76">
        <v>34.0</v>
      </c>
      <c r="AI9" s="76">
        <v>35.0</v>
      </c>
      <c r="AJ9" s="76">
        <v>36.0</v>
      </c>
      <c r="AK9" s="76">
        <v>37.0</v>
      </c>
      <c r="AL9" s="2"/>
    </row>
    <row r="10">
      <c r="A10" s="27">
        <v>1.0</v>
      </c>
      <c r="B10" s="77" t="s">
        <v>109</v>
      </c>
      <c r="C10" s="78">
        <v>2.0</v>
      </c>
      <c r="D10" s="79">
        <v>3.0</v>
      </c>
      <c r="E10" s="79">
        <v>8.0</v>
      </c>
      <c r="F10" s="79">
        <v>10.0</v>
      </c>
      <c r="G10" s="79">
        <v>0.0</v>
      </c>
      <c r="H10" s="79">
        <v>0.0</v>
      </c>
      <c r="I10" s="79">
        <v>8.0</v>
      </c>
      <c r="J10" s="79">
        <v>16.0</v>
      </c>
      <c r="K10" s="79">
        <v>0.0</v>
      </c>
      <c r="L10" s="79">
        <v>0.0</v>
      </c>
      <c r="M10" s="79">
        <v>0.0</v>
      </c>
      <c r="N10" s="79">
        <v>0.0</v>
      </c>
      <c r="O10" s="79">
        <v>0.0</v>
      </c>
      <c r="P10" s="79">
        <v>0.0</v>
      </c>
      <c r="Q10" s="79">
        <v>0.0</v>
      </c>
      <c r="R10" s="79">
        <v>4.0</v>
      </c>
      <c r="S10" s="79">
        <v>0.0</v>
      </c>
      <c r="T10" s="79">
        <v>0.0</v>
      </c>
      <c r="U10" s="79">
        <v>10.0</v>
      </c>
      <c r="V10" s="79">
        <v>55.0</v>
      </c>
      <c r="W10" s="79">
        <v>6.0</v>
      </c>
      <c r="X10" s="79">
        <f>52+28</f>
        <v>80</v>
      </c>
      <c r="Y10" s="79">
        <v>4.0</v>
      </c>
      <c r="Z10" s="79">
        <f>19+6</f>
        <v>25</v>
      </c>
      <c r="AA10" s="79">
        <v>0.0</v>
      </c>
      <c r="AB10" s="79">
        <v>25.0</v>
      </c>
      <c r="AC10" s="79">
        <v>0.0</v>
      </c>
      <c r="AD10" s="79">
        <v>0.0</v>
      </c>
      <c r="AE10" s="79">
        <v>0.0</v>
      </c>
      <c r="AF10" s="79">
        <v>4.0</v>
      </c>
      <c r="AG10" s="79">
        <v>0.0</v>
      </c>
      <c r="AH10" s="79">
        <v>0.0</v>
      </c>
      <c r="AI10" s="79">
        <v>0.0</v>
      </c>
      <c r="AJ10" s="79">
        <v>0.0</v>
      </c>
      <c r="AK10" s="80"/>
      <c r="AL10" s="2"/>
    </row>
    <row r="11">
      <c r="A11" s="27">
        <v>2.0</v>
      </c>
      <c r="B11" s="77" t="s">
        <v>110</v>
      </c>
      <c r="C11" s="78">
        <v>0.0</v>
      </c>
      <c r="D11" s="79">
        <v>1.0</v>
      </c>
      <c r="E11" s="79">
        <v>7.0</v>
      </c>
      <c r="F11" s="79">
        <v>10.0</v>
      </c>
      <c r="G11" s="79">
        <v>0.0</v>
      </c>
      <c r="H11" s="79">
        <v>0.0</v>
      </c>
      <c r="I11" s="79">
        <v>11.0</v>
      </c>
      <c r="J11" s="79">
        <v>17.0</v>
      </c>
      <c r="K11" s="79">
        <v>0.0</v>
      </c>
      <c r="L11" s="79">
        <v>0.0</v>
      </c>
      <c r="M11" s="79">
        <v>0.0</v>
      </c>
      <c r="N11" s="79">
        <v>0.0</v>
      </c>
      <c r="O11" s="79">
        <v>0.0</v>
      </c>
      <c r="P11" s="79">
        <v>0.0</v>
      </c>
      <c r="Q11" s="79">
        <v>0.0</v>
      </c>
      <c r="R11" s="79">
        <v>6.0</v>
      </c>
      <c r="S11" s="79">
        <v>0.0</v>
      </c>
      <c r="T11" s="79">
        <v>0.0</v>
      </c>
      <c r="U11" s="79">
        <v>11.0</v>
      </c>
      <c r="V11" s="79">
        <v>66.0</v>
      </c>
      <c r="W11" s="79">
        <v>5.0</v>
      </c>
      <c r="X11" s="79">
        <f>52+33</f>
        <v>85</v>
      </c>
      <c r="Y11" s="79">
        <v>3.0</v>
      </c>
      <c r="Z11" s="79">
        <f>17+7</f>
        <v>24</v>
      </c>
      <c r="AA11" s="79">
        <v>0.0</v>
      </c>
      <c r="AB11" s="79">
        <v>25.0</v>
      </c>
      <c r="AC11" s="79">
        <v>0.0</v>
      </c>
      <c r="AD11" s="79">
        <v>0.0</v>
      </c>
      <c r="AE11" s="79">
        <v>0.0</v>
      </c>
      <c r="AF11" s="79">
        <v>2.0</v>
      </c>
      <c r="AG11" s="79">
        <v>0.0</v>
      </c>
      <c r="AH11" s="79">
        <v>3.0</v>
      </c>
      <c r="AI11" s="79">
        <v>0.0</v>
      </c>
      <c r="AJ11" s="79">
        <v>0.0</v>
      </c>
      <c r="AK11" s="80"/>
      <c r="AL11" s="2"/>
    </row>
    <row r="12">
      <c r="A12" s="27">
        <v>3.0</v>
      </c>
      <c r="B12" s="77" t="s">
        <v>111</v>
      </c>
      <c r="C12" s="78">
        <v>0.0</v>
      </c>
      <c r="D12" s="79">
        <v>0.0</v>
      </c>
      <c r="E12" s="79">
        <v>8.0</v>
      </c>
      <c r="F12" s="79">
        <v>10.0</v>
      </c>
      <c r="G12" s="79">
        <v>0.0</v>
      </c>
      <c r="H12" s="79">
        <v>0.0</v>
      </c>
      <c r="I12" s="79">
        <v>7.0</v>
      </c>
      <c r="J12" s="79">
        <v>12.0</v>
      </c>
      <c r="K12" s="79">
        <v>0.0</v>
      </c>
      <c r="L12" s="79">
        <v>0.0</v>
      </c>
      <c r="M12" s="79">
        <v>0.0</v>
      </c>
      <c r="N12" s="79">
        <v>0.0</v>
      </c>
      <c r="O12" s="79">
        <v>0.0</v>
      </c>
      <c r="P12" s="79">
        <v>1.0</v>
      </c>
      <c r="Q12" s="79">
        <v>0.0</v>
      </c>
      <c r="R12" s="79">
        <v>2.0</v>
      </c>
      <c r="S12" s="79">
        <v>1.0</v>
      </c>
      <c r="T12" s="79">
        <v>0.0</v>
      </c>
      <c r="U12" s="79">
        <v>12.0</v>
      </c>
      <c r="V12" s="79">
        <v>82.0</v>
      </c>
      <c r="W12" s="79">
        <v>9.0</v>
      </c>
      <c r="X12" s="79">
        <f>42+18</f>
        <v>60</v>
      </c>
      <c r="Y12" s="79">
        <v>2.0</v>
      </c>
      <c r="Z12" s="79">
        <f t="shared" ref="Z12:Z13" si="1">19+4</f>
        <v>23</v>
      </c>
      <c r="AA12" s="79">
        <v>0.0</v>
      </c>
      <c r="AB12" s="79">
        <v>22.0</v>
      </c>
      <c r="AC12" s="79">
        <v>0.0</v>
      </c>
      <c r="AD12" s="79">
        <v>0.0</v>
      </c>
      <c r="AE12" s="79">
        <v>0.0</v>
      </c>
      <c r="AF12" s="79">
        <v>2.0</v>
      </c>
      <c r="AG12" s="79">
        <v>2.0</v>
      </c>
      <c r="AH12" s="79">
        <v>1.0</v>
      </c>
      <c r="AI12" s="79">
        <v>0.0</v>
      </c>
      <c r="AJ12" s="79">
        <v>0.0</v>
      </c>
      <c r="AK12" s="81"/>
      <c r="AL12" s="2"/>
    </row>
    <row r="13">
      <c r="A13" s="27">
        <v>4.0</v>
      </c>
      <c r="B13" s="77" t="s">
        <v>112</v>
      </c>
      <c r="C13" s="78">
        <v>2.0</v>
      </c>
      <c r="D13" s="79">
        <v>2.0</v>
      </c>
      <c r="E13" s="79">
        <v>3.0</v>
      </c>
      <c r="F13" s="79">
        <v>6.0</v>
      </c>
      <c r="G13" s="79">
        <v>0.0</v>
      </c>
      <c r="H13" s="79">
        <v>0.0</v>
      </c>
      <c r="I13" s="79">
        <v>10.0</v>
      </c>
      <c r="J13" s="79">
        <v>10.0</v>
      </c>
      <c r="K13" s="79">
        <v>0.0</v>
      </c>
      <c r="L13" s="79">
        <v>0.0</v>
      </c>
      <c r="M13" s="79">
        <v>0.0</v>
      </c>
      <c r="N13" s="79">
        <v>0.0</v>
      </c>
      <c r="O13" s="79">
        <v>0.0</v>
      </c>
      <c r="P13" s="79">
        <v>10.0</v>
      </c>
      <c r="Q13" s="79">
        <v>0.0</v>
      </c>
      <c r="R13" s="79">
        <v>5.0</v>
      </c>
      <c r="S13" s="79">
        <v>1.0</v>
      </c>
      <c r="T13" s="79">
        <v>1.0</v>
      </c>
      <c r="U13" s="79">
        <v>8.0</v>
      </c>
      <c r="V13" s="79">
        <v>54.0</v>
      </c>
      <c r="W13" s="79">
        <v>7.0</v>
      </c>
      <c r="X13" s="79">
        <f>43+21</f>
        <v>64</v>
      </c>
      <c r="Y13" s="79">
        <v>2.0</v>
      </c>
      <c r="Z13" s="79">
        <f t="shared" si="1"/>
        <v>23</v>
      </c>
      <c r="AA13" s="79">
        <v>0.0</v>
      </c>
      <c r="AB13" s="79">
        <v>22.0</v>
      </c>
      <c r="AC13" s="79">
        <v>0.0</v>
      </c>
      <c r="AD13" s="79">
        <v>0.0</v>
      </c>
      <c r="AE13" s="79">
        <v>0.0</v>
      </c>
      <c r="AF13" s="79">
        <v>2.0</v>
      </c>
      <c r="AG13" s="79">
        <v>0.0</v>
      </c>
      <c r="AH13" s="79">
        <v>1.0</v>
      </c>
      <c r="AI13" s="79">
        <v>0.0</v>
      </c>
      <c r="AJ13" s="79">
        <v>0.0</v>
      </c>
      <c r="AK13" s="81"/>
      <c r="AL13" s="2"/>
    </row>
    <row r="14">
      <c r="A14" s="27">
        <v>5.0</v>
      </c>
      <c r="B14" s="77" t="s">
        <v>113</v>
      </c>
      <c r="C14" s="78">
        <v>0.0</v>
      </c>
      <c r="D14" s="79">
        <v>0.0</v>
      </c>
      <c r="E14" s="79">
        <v>6.0</v>
      </c>
      <c r="F14" s="79">
        <v>10.0</v>
      </c>
      <c r="G14" s="79">
        <v>0.0</v>
      </c>
      <c r="H14" s="79">
        <v>0.0</v>
      </c>
      <c r="I14" s="79">
        <v>19.0</v>
      </c>
      <c r="J14" s="79">
        <v>11.0</v>
      </c>
      <c r="K14" s="79">
        <v>0.0</v>
      </c>
      <c r="L14" s="79">
        <v>0.0</v>
      </c>
      <c r="M14" s="79">
        <v>0.0</v>
      </c>
      <c r="N14" s="79">
        <v>0.0</v>
      </c>
      <c r="O14" s="79">
        <v>0.0</v>
      </c>
      <c r="P14" s="79">
        <v>12.0</v>
      </c>
      <c r="Q14" s="79">
        <v>0.0</v>
      </c>
      <c r="R14" s="79">
        <v>14.0</v>
      </c>
      <c r="S14" s="79">
        <v>0.0</v>
      </c>
      <c r="T14" s="79">
        <v>0.0</v>
      </c>
      <c r="U14" s="79">
        <v>13.0</v>
      </c>
      <c r="V14" s="79">
        <v>69.0</v>
      </c>
      <c r="W14" s="79">
        <v>9.0</v>
      </c>
      <c r="X14" s="79">
        <f>52+25</f>
        <v>77</v>
      </c>
      <c r="Y14" s="79">
        <v>3.0</v>
      </c>
      <c r="Z14" s="79">
        <f>19+6</f>
        <v>25</v>
      </c>
      <c r="AA14" s="79">
        <v>0.0</v>
      </c>
      <c r="AB14" s="79">
        <v>22.0</v>
      </c>
      <c r="AC14" s="79">
        <v>0.0</v>
      </c>
      <c r="AD14" s="79">
        <v>0.0</v>
      </c>
      <c r="AE14" s="79">
        <v>0.0</v>
      </c>
      <c r="AF14" s="79">
        <v>4.0</v>
      </c>
      <c r="AG14" s="79">
        <v>1.0</v>
      </c>
      <c r="AH14" s="79">
        <v>1.0</v>
      </c>
      <c r="AI14" s="79">
        <v>0.0</v>
      </c>
      <c r="AJ14" s="79">
        <v>0.0</v>
      </c>
      <c r="AK14" s="81"/>
      <c r="AL14" s="2"/>
    </row>
    <row r="15">
      <c r="A15" s="27">
        <v>6.0</v>
      </c>
      <c r="B15" s="77" t="s">
        <v>114</v>
      </c>
      <c r="C15" s="78">
        <v>0.0</v>
      </c>
      <c r="D15" s="79">
        <v>0.0</v>
      </c>
      <c r="E15" s="79">
        <v>6.0</v>
      </c>
      <c r="F15" s="79">
        <v>7.0</v>
      </c>
      <c r="G15" s="79">
        <v>0.0</v>
      </c>
      <c r="H15" s="79">
        <v>0.0</v>
      </c>
      <c r="I15" s="79">
        <v>10.0</v>
      </c>
      <c r="J15" s="79">
        <v>11.0</v>
      </c>
      <c r="K15" s="79">
        <v>0.0</v>
      </c>
      <c r="L15" s="79">
        <v>0.0</v>
      </c>
      <c r="M15" s="79">
        <v>0.0</v>
      </c>
      <c r="N15" s="79">
        <v>0.0</v>
      </c>
      <c r="O15" s="79">
        <v>0.0</v>
      </c>
      <c r="P15" s="79">
        <v>2.0</v>
      </c>
      <c r="Q15" s="79">
        <v>0.0</v>
      </c>
      <c r="R15" s="79">
        <v>26.0</v>
      </c>
      <c r="S15" s="79">
        <v>1.0</v>
      </c>
      <c r="T15" s="79">
        <v>0.0</v>
      </c>
      <c r="U15" s="79">
        <v>12.0</v>
      </c>
      <c r="V15" s="79">
        <v>73.0</v>
      </c>
      <c r="W15" s="79">
        <v>8.0</v>
      </c>
      <c r="X15" s="79">
        <f>43+25</f>
        <v>68</v>
      </c>
      <c r="Y15" s="79">
        <v>3.0</v>
      </c>
      <c r="Z15" s="79">
        <f>20+1</f>
        <v>21</v>
      </c>
      <c r="AA15" s="79">
        <v>0.0</v>
      </c>
      <c r="AB15" s="79">
        <v>22.0</v>
      </c>
      <c r="AC15" s="79">
        <v>0.0</v>
      </c>
      <c r="AD15" s="79">
        <v>0.0</v>
      </c>
      <c r="AE15" s="79">
        <v>0.0</v>
      </c>
      <c r="AF15" s="79">
        <v>1.0</v>
      </c>
      <c r="AG15" s="79">
        <v>2.0</v>
      </c>
      <c r="AH15" s="79">
        <v>1.0</v>
      </c>
      <c r="AI15" s="79">
        <v>0.0</v>
      </c>
      <c r="AJ15" s="79">
        <v>0.0</v>
      </c>
      <c r="AK15" s="80"/>
      <c r="AL15" s="2"/>
    </row>
    <row r="16">
      <c r="A16" s="27">
        <v>7.0</v>
      </c>
      <c r="B16" s="77" t="s">
        <v>115</v>
      </c>
      <c r="C16" s="78">
        <v>2.0</v>
      </c>
      <c r="D16" s="79">
        <v>3.0</v>
      </c>
      <c r="E16" s="79">
        <v>8.0</v>
      </c>
      <c r="F16" s="79">
        <v>10.0</v>
      </c>
      <c r="G16" s="79">
        <v>0.0</v>
      </c>
      <c r="H16" s="79">
        <v>0.0</v>
      </c>
      <c r="I16" s="79">
        <v>8.0</v>
      </c>
      <c r="J16" s="79">
        <v>8.0</v>
      </c>
      <c r="K16" s="79">
        <v>0.0</v>
      </c>
      <c r="L16" s="79">
        <v>0.0</v>
      </c>
      <c r="M16" s="79">
        <v>0.0</v>
      </c>
      <c r="N16" s="79">
        <v>0.0</v>
      </c>
      <c r="O16" s="79">
        <v>0.0</v>
      </c>
      <c r="P16" s="79">
        <v>4.0</v>
      </c>
      <c r="Q16" s="79">
        <v>0.0</v>
      </c>
      <c r="R16" s="79">
        <v>23.0</v>
      </c>
      <c r="S16" s="79">
        <v>0.0</v>
      </c>
      <c r="T16" s="79">
        <v>0.0</v>
      </c>
      <c r="U16" s="79">
        <v>15.0</v>
      </c>
      <c r="V16" s="79">
        <v>72.0</v>
      </c>
      <c r="W16" s="79">
        <v>11.0</v>
      </c>
      <c r="X16" s="79">
        <f>44+23</f>
        <v>67</v>
      </c>
      <c r="Y16" s="79">
        <v>3.0</v>
      </c>
      <c r="Z16" s="79">
        <f>26+6</f>
        <v>32</v>
      </c>
      <c r="AA16" s="79">
        <v>0.0</v>
      </c>
      <c r="AB16" s="79">
        <v>22.0</v>
      </c>
      <c r="AC16" s="79">
        <v>0.0</v>
      </c>
      <c r="AD16" s="79">
        <v>0.0</v>
      </c>
      <c r="AE16" s="79">
        <v>0.0</v>
      </c>
      <c r="AF16" s="79">
        <v>2.0</v>
      </c>
      <c r="AG16" s="79">
        <v>2.0</v>
      </c>
      <c r="AH16" s="79">
        <v>0.0</v>
      </c>
      <c r="AI16" s="79">
        <v>0.0</v>
      </c>
      <c r="AJ16" s="79">
        <v>0.0</v>
      </c>
      <c r="AK16" s="81"/>
      <c r="AL16" s="2"/>
    </row>
    <row r="17">
      <c r="A17" s="27">
        <v>8.0</v>
      </c>
      <c r="B17" s="77" t="s">
        <v>116</v>
      </c>
      <c r="C17" s="78">
        <v>2.0</v>
      </c>
      <c r="D17" s="79">
        <v>2.0</v>
      </c>
      <c r="E17" s="82">
        <v>8.0</v>
      </c>
      <c r="F17" s="82">
        <v>10.0</v>
      </c>
      <c r="G17" s="79">
        <v>0.0</v>
      </c>
      <c r="H17" s="79">
        <v>0.0</v>
      </c>
      <c r="I17" s="82">
        <v>17.0</v>
      </c>
      <c r="J17" s="82">
        <v>6.0</v>
      </c>
      <c r="K17" s="79">
        <v>0.0</v>
      </c>
      <c r="L17" s="79">
        <v>0.0</v>
      </c>
      <c r="M17" s="79">
        <v>0.0</v>
      </c>
      <c r="N17" s="79">
        <v>0.0</v>
      </c>
      <c r="O17" s="79">
        <v>1.0</v>
      </c>
      <c r="P17" s="79">
        <v>2.0</v>
      </c>
      <c r="Q17" s="79">
        <v>0.0</v>
      </c>
      <c r="R17" s="79">
        <v>26.0</v>
      </c>
      <c r="S17" s="79">
        <v>0.0</v>
      </c>
      <c r="T17" s="79">
        <v>0.0</v>
      </c>
      <c r="U17" s="82">
        <v>10.0</v>
      </c>
      <c r="V17" s="82">
        <v>52.0</v>
      </c>
      <c r="W17" s="82">
        <v>7.0</v>
      </c>
      <c r="X17" s="82">
        <f>45+20</f>
        <v>65</v>
      </c>
      <c r="Y17" s="82">
        <v>3.0</v>
      </c>
      <c r="Z17" s="82">
        <f>25+7</f>
        <v>32</v>
      </c>
      <c r="AA17" s="79">
        <v>0.0</v>
      </c>
      <c r="AB17" s="82">
        <v>21.0</v>
      </c>
      <c r="AC17" s="79">
        <v>0.0</v>
      </c>
      <c r="AD17" s="79">
        <v>0.0</v>
      </c>
      <c r="AE17" s="79">
        <v>0.0</v>
      </c>
      <c r="AF17" s="79">
        <v>2.0</v>
      </c>
      <c r="AG17" s="79">
        <v>0.0</v>
      </c>
      <c r="AH17" s="79">
        <v>1.0</v>
      </c>
      <c r="AI17" s="79">
        <v>0.0</v>
      </c>
      <c r="AJ17" s="79">
        <v>0.0</v>
      </c>
      <c r="AK17" s="80"/>
      <c r="AL17" s="2"/>
    </row>
    <row r="18">
      <c r="A18" s="27">
        <v>9.0</v>
      </c>
      <c r="B18" s="77" t="s">
        <v>117</v>
      </c>
      <c r="C18" s="78">
        <v>0.0</v>
      </c>
      <c r="D18" s="79">
        <v>0.0</v>
      </c>
      <c r="E18" s="79">
        <v>4.0</v>
      </c>
      <c r="F18" s="79">
        <v>12.0</v>
      </c>
      <c r="G18" s="79">
        <v>0.0</v>
      </c>
      <c r="H18" s="79">
        <v>0.0</v>
      </c>
      <c r="I18" s="79">
        <v>14.0</v>
      </c>
      <c r="J18" s="79">
        <v>20.0</v>
      </c>
      <c r="K18" s="79">
        <v>0.0</v>
      </c>
      <c r="L18" s="79">
        <v>0.0</v>
      </c>
      <c r="M18" s="79">
        <v>0.0</v>
      </c>
      <c r="N18" s="79">
        <v>0.0</v>
      </c>
      <c r="O18" s="79">
        <v>0.0</v>
      </c>
      <c r="P18" s="79">
        <v>7.0</v>
      </c>
      <c r="Q18" s="79">
        <v>0.0</v>
      </c>
      <c r="R18" s="79">
        <v>24.0</v>
      </c>
      <c r="S18" s="79">
        <v>1.0</v>
      </c>
      <c r="T18" s="79">
        <v>0.0</v>
      </c>
      <c r="U18" s="83">
        <v>8.0</v>
      </c>
      <c r="V18" s="83">
        <v>65.0</v>
      </c>
      <c r="W18" s="79">
        <v>8.0</v>
      </c>
      <c r="X18" s="79">
        <f>54+27</f>
        <v>81</v>
      </c>
      <c r="Y18" s="79">
        <v>6.0</v>
      </c>
      <c r="Z18" s="79">
        <f>21+9</f>
        <v>30</v>
      </c>
      <c r="AA18" s="79">
        <v>0.0</v>
      </c>
      <c r="AB18" s="79">
        <v>21.0</v>
      </c>
      <c r="AC18" s="79">
        <v>0.0</v>
      </c>
      <c r="AD18" s="79">
        <v>0.0</v>
      </c>
      <c r="AE18" s="79">
        <v>0.0</v>
      </c>
      <c r="AF18" s="79">
        <v>2.0</v>
      </c>
      <c r="AG18" s="79">
        <v>1.0</v>
      </c>
      <c r="AH18" s="79">
        <v>0.0</v>
      </c>
      <c r="AI18" s="79">
        <v>0.0</v>
      </c>
      <c r="AJ18" s="79">
        <v>0.0</v>
      </c>
      <c r="AK18" s="80"/>
      <c r="AL18" s="2"/>
    </row>
    <row r="19">
      <c r="A19" s="27">
        <v>10.0</v>
      </c>
      <c r="B19" s="77" t="s">
        <v>118</v>
      </c>
      <c r="C19" s="84">
        <v>0.0</v>
      </c>
      <c r="D19" s="83">
        <v>0.0</v>
      </c>
      <c r="E19" s="83">
        <v>6.0</v>
      </c>
      <c r="F19" s="83">
        <v>10.0</v>
      </c>
      <c r="G19" s="83">
        <v>0.0</v>
      </c>
      <c r="H19" s="83">
        <v>0.0</v>
      </c>
      <c r="I19" s="83">
        <v>13.0</v>
      </c>
      <c r="J19" s="83">
        <v>21.0</v>
      </c>
      <c r="K19" s="79">
        <v>0.0</v>
      </c>
      <c r="L19" s="79">
        <v>0.0</v>
      </c>
      <c r="M19" s="79">
        <v>0.0</v>
      </c>
      <c r="N19" s="79">
        <v>0.0</v>
      </c>
      <c r="O19" s="79">
        <v>0.0</v>
      </c>
      <c r="P19" s="79">
        <v>2.0</v>
      </c>
      <c r="Q19" s="79">
        <v>0.0</v>
      </c>
      <c r="R19" s="79">
        <v>35.0</v>
      </c>
      <c r="S19" s="79">
        <v>0.0</v>
      </c>
      <c r="T19" s="79">
        <v>0.0</v>
      </c>
      <c r="U19" s="83">
        <v>11.0</v>
      </c>
      <c r="V19" s="83">
        <v>65.0</v>
      </c>
      <c r="W19" s="83">
        <v>5.0</v>
      </c>
      <c r="X19" s="83">
        <f>57+25</f>
        <v>82</v>
      </c>
      <c r="Y19" s="83">
        <v>4.0</v>
      </c>
      <c r="Z19" s="83">
        <f>21+4</f>
        <v>25</v>
      </c>
      <c r="AA19" s="83">
        <v>0.0</v>
      </c>
      <c r="AB19" s="83">
        <v>22.0</v>
      </c>
      <c r="AC19" s="83">
        <v>0.0</v>
      </c>
      <c r="AD19" s="83">
        <v>0.0</v>
      </c>
      <c r="AE19" s="83">
        <v>0.0</v>
      </c>
      <c r="AF19" s="83">
        <v>2.0</v>
      </c>
      <c r="AG19" s="83">
        <v>1.0</v>
      </c>
      <c r="AH19" s="83">
        <v>0.0</v>
      </c>
      <c r="AI19" s="83">
        <v>0.0</v>
      </c>
      <c r="AJ19" s="83">
        <v>0.0</v>
      </c>
      <c r="AK19" s="80"/>
      <c r="AL19" s="2"/>
    </row>
    <row r="20">
      <c r="A20" s="27">
        <v>11.0</v>
      </c>
      <c r="B20" s="77" t="s">
        <v>119</v>
      </c>
      <c r="C20" s="84">
        <v>2.0</v>
      </c>
      <c r="D20" s="83">
        <v>0.0</v>
      </c>
      <c r="E20" s="83">
        <v>8.0</v>
      </c>
      <c r="F20" s="83">
        <v>9.0</v>
      </c>
      <c r="G20" s="83">
        <v>0.0</v>
      </c>
      <c r="H20" s="83">
        <v>0.0</v>
      </c>
      <c r="I20" s="83">
        <v>13.0</v>
      </c>
      <c r="J20" s="83">
        <v>25.0</v>
      </c>
      <c r="K20" s="79">
        <v>0.0</v>
      </c>
      <c r="L20" s="79">
        <v>0.0</v>
      </c>
      <c r="M20" s="79">
        <v>0.0</v>
      </c>
      <c r="N20" s="79">
        <v>0.0</v>
      </c>
      <c r="O20" s="79">
        <v>0.0</v>
      </c>
      <c r="P20" s="79">
        <v>5.0</v>
      </c>
      <c r="Q20" s="79">
        <v>0.0</v>
      </c>
      <c r="R20" s="79">
        <v>35.0</v>
      </c>
      <c r="S20" s="79">
        <v>1.0</v>
      </c>
      <c r="T20" s="79">
        <v>0.0</v>
      </c>
      <c r="U20" s="83">
        <v>12.0</v>
      </c>
      <c r="V20" s="83">
        <v>76.0</v>
      </c>
      <c r="W20" s="83">
        <v>3.0</v>
      </c>
      <c r="X20" s="83">
        <f>63+27</f>
        <v>90</v>
      </c>
      <c r="Y20" s="83">
        <v>3.0</v>
      </c>
      <c r="Z20" s="83">
        <f>21+6</f>
        <v>27</v>
      </c>
      <c r="AA20" s="83">
        <v>0.0</v>
      </c>
      <c r="AB20" s="83">
        <v>22.0</v>
      </c>
      <c r="AC20" s="83">
        <v>0.0</v>
      </c>
      <c r="AD20" s="83">
        <v>0.0</v>
      </c>
      <c r="AE20" s="83">
        <v>0.0</v>
      </c>
      <c r="AF20" s="83">
        <v>2.0</v>
      </c>
      <c r="AG20" s="83">
        <v>0.0</v>
      </c>
      <c r="AH20" s="83">
        <v>0.0</v>
      </c>
      <c r="AI20" s="83">
        <v>0.0</v>
      </c>
      <c r="AJ20" s="83">
        <v>0.0</v>
      </c>
      <c r="AK20" s="80"/>
      <c r="AL20" s="2"/>
    </row>
    <row r="21">
      <c r="A21" s="27">
        <v>12.0</v>
      </c>
      <c r="B21" s="77" t="s">
        <v>120</v>
      </c>
      <c r="C21" s="84">
        <v>0.0</v>
      </c>
      <c r="D21" s="83">
        <v>0.0</v>
      </c>
      <c r="E21" s="83">
        <v>0.0</v>
      </c>
      <c r="F21" s="83">
        <v>0.0</v>
      </c>
      <c r="G21" s="83">
        <v>0.0</v>
      </c>
      <c r="H21" s="83">
        <v>0.0</v>
      </c>
      <c r="I21" s="83">
        <v>0.0</v>
      </c>
      <c r="J21" s="83">
        <v>0.0</v>
      </c>
      <c r="K21" s="83">
        <v>0.0</v>
      </c>
      <c r="L21" s="83">
        <v>0.0</v>
      </c>
      <c r="M21" s="83">
        <v>0.0</v>
      </c>
      <c r="N21" s="83">
        <v>0.0</v>
      </c>
      <c r="O21" s="83">
        <v>0.0</v>
      </c>
      <c r="P21" s="83">
        <v>0.0</v>
      </c>
      <c r="Q21" s="83">
        <v>0.0</v>
      </c>
      <c r="R21" s="83">
        <v>0.0</v>
      </c>
      <c r="S21" s="83">
        <v>0.0</v>
      </c>
      <c r="T21" s="83">
        <v>0.0</v>
      </c>
      <c r="U21" s="83">
        <v>0.0</v>
      </c>
      <c r="V21" s="83">
        <v>0.0</v>
      </c>
      <c r="W21" s="83">
        <v>0.0</v>
      </c>
      <c r="X21" s="83">
        <v>0.0</v>
      </c>
      <c r="Y21" s="83">
        <v>0.0</v>
      </c>
      <c r="Z21" s="83">
        <v>0.0</v>
      </c>
      <c r="AA21" s="83">
        <v>0.0</v>
      </c>
      <c r="AB21" s="83">
        <v>0.0</v>
      </c>
      <c r="AC21" s="83">
        <v>0.0</v>
      </c>
      <c r="AD21" s="83">
        <v>0.0</v>
      </c>
      <c r="AE21" s="83">
        <v>0.0</v>
      </c>
      <c r="AF21" s="83">
        <v>0.0</v>
      </c>
      <c r="AG21" s="83">
        <v>0.0</v>
      </c>
      <c r="AH21" s="83">
        <v>0.0</v>
      </c>
      <c r="AI21" s="83">
        <v>0.0</v>
      </c>
      <c r="AJ21" s="83">
        <v>0.0</v>
      </c>
      <c r="AK21" s="83"/>
      <c r="AL21" s="2"/>
    </row>
    <row r="22">
      <c r="A22" s="8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6" t="s">
        <v>121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7" t="s">
        <v>122</v>
      </c>
      <c r="B25" s="88" t="str">
        <f>C3</f>
        <v>: TAMAN BOGO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7" t="s">
        <v>123</v>
      </c>
      <c r="B26" s="88" t="s">
        <v>124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7"/>
      <c r="B27" s="8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9" t="s">
        <v>125</v>
      </c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1" t="s">
        <v>3</v>
      </c>
      <c r="B29" s="92" t="s">
        <v>126</v>
      </c>
      <c r="C29" s="61"/>
      <c r="D29" s="61"/>
      <c r="E29" s="55" t="s">
        <v>127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8"/>
      <c r="Q29" s="93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94" t="s">
        <v>128</v>
      </c>
      <c r="C30" s="94" t="s">
        <v>129</v>
      </c>
      <c r="D30" s="94" t="s">
        <v>130</v>
      </c>
      <c r="E30" s="94" t="s">
        <v>131</v>
      </c>
      <c r="F30" s="94" t="s">
        <v>132</v>
      </c>
      <c r="G30" s="94" t="s">
        <v>133</v>
      </c>
      <c r="H30" s="94" t="s">
        <v>134</v>
      </c>
      <c r="I30" s="94" t="s">
        <v>113</v>
      </c>
      <c r="J30" s="94" t="s">
        <v>135</v>
      </c>
      <c r="K30" s="94" t="s">
        <v>136</v>
      </c>
      <c r="L30" s="94" t="s">
        <v>137</v>
      </c>
      <c r="M30" s="94" t="s">
        <v>138</v>
      </c>
      <c r="N30" s="94" t="s">
        <v>139</v>
      </c>
      <c r="O30" s="94" t="s">
        <v>140</v>
      </c>
      <c r="P30" s="94" t="s">
        <v>141</v>
      </c>
      <c r="Q30" s="93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5">
        <v>1.0</v>
      </c>
      <c r="B31" s="95">
        <v>2.0</v>
      </c>
      <c r="C31" s="95">
        <v>3.0</v>
      </c>
      <c r="D31" s="95">
        <v>4.0</v>
      </c>
      <c r="E31" s="95">
        <v>5.0</v>
      </c>
      <c r="F31" s="95">
        <v>6.0</v>
      </c>
      <c r="G31" s="95">
        <v>7.0</v>
      </c>
      <c r="H31" s="95">
        <v>8.0</v>
      </c>
      <c r="I31" s="95">
        <v>9.0</v>
      </c>
      <c r="J31" s="95">
        <v>10.0</v>
      </c>
      <c r="K31" s="95">
        <v>11.0</v>
      </c>
      <c r="L31" s="95">
        <v>12.0</v>
      </c>
      <c r="M31" s="95">
        <v>13.0</v>
      </c>
      <c r="N31" s="95">
        <v>14.0</v>
      </c>
      <c r="O31" s="95">
        <v>15.0</v>
      </c>
      <c r="P31" s="95">
        <v>16.0</v>
      </c>
      <c r="Q31" s="96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7">
        <v>1.0</v>
      </c>
      <c r="B32" s="98" t="s">
        <v>142</v>
      </c>
      <c r="C32" s="99" t="s">
        <v>143</v>
      </c>
      <c r="D32" s="99" t="s">
        <v>144</v>
      </c>
      <c r="E32" s="100">
        <v>1.0</v>
      </c>
      <c r="F32" s="100">
        <v>1.0</v>
      </c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7">
        <v>2.0</v>
      </c>
      <c r="B33" s="103" t="s">
        <v>145</v>
      </c>
      <c r="C33" s="99" t="s">
        <v>146</v>
      </c>
      <c r="D33" s="99" t="s">
        <v>147</v>
      </c>
      <c r="E33" s="100">
        <v>1.0</v>
      </c>
      <c r="F33" s="100">
        <v>1.0</v>
      </c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7">
        <v>3.0</v>
      </c>
      <c r="B34" s="104" t="s">
        <v>148</v>
      </c>
      <c r="C34" s="99" t="s">
        <v>149</v>
      </c>
      <c r="D34" s="99" t="s">
        <v>150</v>
      </c>
      <c r="E34" s="100">
        <v>1.0</v>
      </c>
      <c r="F34" s="100">
        <v>1.0</v>
      </c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7">
        <v>4.0</v>
      </c>
      <c r="B35" s="104" t="s">
        <v>151</v>
      </c>
      <c r="C35" s="99" t="s">
        <v>152</v>
      </c>
      <c r="D35" s="99" t="s">
        <v>153</v>
      </c>
      <c r="E35" s="100">
        <v>1.0</v>
      </c>
      <c r="F35" s="100">
        <v>1.0</v>
      </c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7">
        <v>5.0</v>
      </c>
      <c r="B36" s="104" t="s">
        <v>154</v>
      </c>
      <c r="C36" s="99" t="s">
        <v>155</v>
      </c>
      <c r="D36" s="99" t="s">
        <v>156</v>
      </c>
      <c r="E36" s="100">
        <v>1.0</v>
      </c>
      <c r="F36" s="100">
        <v>1.0</v>
      </c>
      <c r="G36" s="100">
        <v>1.0</v>
      </c>
      <c r="H36" s="101"/>
      <c r="I36" s="101"/>
      <c r="J36" s="101"/>
      <c r="K36" s="101"/>
      <c r="L36" s="101"/>
      <c r="M36" s="101"/>
      <c r="N36" s="101"/>
      <c r="O36" s="101"/>
      <c r="P36" s="101"/>
      <c r="Q36" s="10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7">
        <v>6.0</v>
      </c>
      <c r="B37" s="104" t="s">
        <v>157</v>
      </c>
      <c r="C37" s="99" t="s">
        <v>158</v>
      </c>
      <c r="D37" s="99" t="s">
        <v>159</v>
      </c>
      <c r="E37" s="100">
        <v>1.0</v>
      </c>
      <c r="F37" s="100">
        <v>1.0</v>
      </c>
      <c r="G37" s="100">
        <v>1.0</v>
      </c>
      <c r="H37" s="101"/>
      <c r="I37" s="101"/>
      <c r="J37" s="101"/>
      <c r="K37" s="101"/>
      <c r="L37" s="101"/>
      <c r="M37" s="101"/>
      <c r="N37" s="101"/>
      <c r="O37" s="101"/>
      <c r="P37" s="101"/>
      <c r="Q37" s="10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7">
        <v>7.0</v>
      </c>
      <c r="B38" s="104" t="s">
        <v>160</v>
      </c>
      <c r="C38" s="99" t="s">
        <v>161</v>
      </c>
      <c r="D38" s="99" t="s">
        <v>162</v>
      </c>
      <c r="E38" s="100">
        <v>1.0</v>
      </c>
      <c r="F38" s="100">
        <v>1.0</v>
      </c>
      <c r="G38" s="100">
        <v>1.0</v>
      </c>
      <c r="H38" s="100">
        <v>1.0</v>
      </c>
      <c r="I38" s="100">
        <v>1.0</v>
      </c>
      <c r="J38" s="101"/>
      <c r="K38" s="101"/>
      <c r="L38" s="101"/>
      <c r="M38" s="101"/>
      <c r="N38" s="101"/>
      <c r="O38" s="101"/>
      <c r="P38" s="101"/>
      <c r="Q38" s="10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7">
        <v>8.0</v>
      </c>
      <c r="B39" s="104" t="s">
        <v>163</v>
      </c>
      <c r="C39" s="99" t="s">
        <v>164</v>
      </c>
      <c r="D39" s="99" t="s">
        <v>165</v>
      </c>
      <c r="E39" s="100">
        <v>1.0</v>
      </c>
      <c r="F39" s="100">
        <v>1.0</v>
      </c>
      <c r="G39" s="100">
        <v>1.0</v>
      </c>
      <c r="H39" s="100">
        <v>1.0</v>
      </c>
      <c r="I39" s="100">
        <v>1.0</v>
      </c>
      <c r="J39" s="101"/>
      <c r="K39" s="101"/>
      <c r="L39" s="101"/>
      <c r="M39" s="101"/>
      <c r="N39" s="101"/>
      <c r="O39" s="101"/>
      <c r="P39" s="101"/>
      <c r="Q39" s="10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7">
        <v>9.0</v>
      </c>
      <c r="B40" s="104" t="s">
        <v>166</v>
      </c>
      <c r="C40" s="99" t="s">
        <v>167</v>
      </c>
      <c r="D40" s="99" t="s">
        <v>168</v>
      </c>
      <c r="E40" s="100">
        <v>1.0</v>
      </c>
      <c r="F40" s="100">
        <v>1.0</v>
      </c>
      <c r="G40" s="100">
        <v>1.0</v>
      </c>
      <c r="H40" s="100">
        <v>1.0</v>
      </c>
      <c r="I40" s="101"/>
      <c r="J40" s="100">
        <v>1.0</v>
      </c>
      <c r="K40" s="101"/>
      <c r="L40" s="101"/>
      <c r="M40" s="101"/>
      <c r="N40" s="101"/>
      <c r="O40" s="101"/>
      <c r="P40" s="101"/>
      <c r="Q40" s="10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7">
        <v>10.0</v>
      </c>
      <c r="B41" s="104" t="s">
        <v>169</v>
      </c>
      <c r="C41" s="99" t="s">
        <v>170</v>
      </c>
      <c r="D41" s="99" t="s">
        <v>171</v>
      </c>
      <c r="E41" s="100">
        <v>1.0</v>
      </c>
      <c r="F41" s="100">
        <v>1.0</v>
      </c>
      <c r="G41" s="100">
        <v>1.0</v>
      </c>
      <c r="H41" s="100">
        <v>1.0</v>
      </c>
      <c r="I41" s="100">
        <v>1.0</v>
      </c>
      <c r="J41" s="100">
        <v>1.0</v>
      </c>
      <c r="K41" s="101"/>
      <c r="L41" s="101"/>
      <c r="M41" s="101"/>
      <c r="N41" s="101"/>
      <c r="O41" s="101"/>
      <c r="P41" s="101"/>
      <c r="Q41" s="10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7">
        <v>11.0</v>
      </c>
      <c r="B42" s="104" t="s">
        <v>169</v>
      </c>
      <c r="C42" s="99" t="s">
        <v>170</v>
      </c>
      <c r="D42" s="105" t="s">
        <v>172</v>
      </c>
      <c r="E42" s="106">
        <v>1.0</v>
      </c>
      <c r="F42" s="106">
        <v>1.0</v>
      </c>
      <c r="G42" s="106">
        <v>1.0</v>
      </c>
      <c r="H42" s="106">
        <v>1.0</v>
      </c>
      <c r="I42" s="106">
        <v>1.0</v>
      </c>
      <c r="J42" s="106">
        <v>1.0</v>
      </c>
      <c r="K42" s="107"/>
      <c r="L42" s="107"/>
      <c r="M42" s="107"/>
      <c r="N42" s="107"/>
      <c r="O42" s="107"/>
      <c r="P42" s="107"/>
      <c r="Q42" s="10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7">
        <v>12.0</v>
      </c>
      <c r="B43" s="104" t="s">
        <v>173</v>
      </c>
      <c r="C43" s="99" t="s">
        <v>174</v>
      </c>
      <c r="D43" s="99" t="s">
        <v>175</v>
      </c>
      <c r="E43" s="100">
        <v>1.0</v>
      </c>
      <c r="F43" s="100">
        <v>1.0</v>
      </c>
      <c r="G43" s="100">
        <v>1.0</v>
      </c>
      <c r="H43" s="100">
        <v>1.0</v>
      </c>
      <c r="I43" s="100">
        <v>1.0</v>
      </c>
      <c r="J43" s="100">
        <v>1.0</v>
      </c>
      <c r="K43" s="100">
        <v>1.0</v>
      </c>
      <c r="L43" s="101"/>
      <c r="M43" s="101"/>
      <c r="N43" s="101"/>
      <c r="O43" s="101"/>
      <c r="P43" s="101"/>
      <c r="Q43" s="10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7">
        <v>13.0</v>
      </c>
      <c r="B44" s="104" t="s">
        <v>176</v>
      </c>
      <c r="C44" s="99" t="s">
        <v>177</v>
      </c>
      <c r="D44" s="99" t="s">
        <v>178</v>
      </c>
      <c r="E44" s="100">
        <v>1.0</v>
      </c>
      <c r="F44" s="100">
        <v>1.0</v>
      </c>
      <c r="G44" s="100">
        <v>1.0</v>
      </c>
      <c r="H44" s="100">
        <v>1.0</v>
      </c>
      <c r="I44" s="100">
        <v>1.0</v>
      </c>
      <c r="J44" s="100">
        <v>1.0</v>
      </c>
      <c r="K44" s="100">
        <v>1.0</v>
      </c>
      <c r="L44" s="100">
        <v>1.0</v>
      </c>
      <c r="M44" s="100">
        <v>1.0</v>
      </c>
      <c r="N44" s="100">
        <v>1.0</v>
      </c>
      <c r="O44" s="101"/>
      <c r="P44" s="101"/>
      <c r="Q44" s="10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7">
        <v>14.0</v>
      </c>
      <c r="B45" s="104" t="s">
        <v>179</v>
      </c>
      <c r="C45" s="99" t="s">
        <v>180</v>
      </c>
      <c r="D45" s="108"/>
      <c r="E45" s="101"/>
      <c r="F45" s="101"/>
      <c r="G45" s="101"/>
      <c r="H45" s="101"/>
      <c r="I45" s="100">
        <v>1.0</v>
      </c>
      <c r="J45" s="100">
        <v>1.0</v>
      </c>
      <c r="K45" s="100">
        <v>1.0</v>
      </c>
      <c r="L45" s="100">
        <v>1.0</v>
      </c>
      <c r="M45" s="100">
        <v>1.0</v>
      </c>
      <c r="N45" s="100">
        <v>1.0</v>
      </c>
      <c r="O45" s="100">
        <v>1.0</v>
      </c>
      <c r="P45" s="101"/>
      <c r="Q45" s="10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7">
        <v>15.0</v>
      </c>
      <c r="B46" s="104" t="s">
        <v>181</v>
      </c>
      <c r="C46" s="99" t="s">
        <v>182</v>
      </c>
      <c r="D46" s="108"/>
      <c r="E46" s="101"/>
      <c r="F46" s="101"/>
      <c r="G46" s="101"/>
      <c r="H46" s="101"/>
      <c r="I46" s="101"/>
      <c r="J46" s="100">
        <v>1.0</v>
      </c>
      <c r="K46" s="100">
        <v>1.0</v>
      </c>
      <c r="L46" s="100">
        <v>1.0</v>
      </c>
      <c r="M46" s="100">
        <v>1.0</v>
      </c>
      <c r="N46" s="100">
        <v>1.0</v>
      </c>
      <c r="O46" s="100">
        <v>1.0</v>
      </c>
      <c r="P46" s="101"/>
      <c r="Q46" s="10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7">
        <v>16.0</v>
      </c>
      <c r="B47" s="104" t="s">
        <v>183</v>
      </c>
      <c r="C47" s="99" t="s">
        <v>184</v>
      </c>
      <c r="D47" s="108"/>
      <c r="E47" s="101"/>
      <c r="F47" s="101"/>
      <c r="G47" s="101"/>
      <c r="H47" s="101"/>
      <c r="I47" s="101"/>
      <c r="J47" s="101"/>
      <c r="K47" s="100">
        <v>1.0</v>
      </c>
      <c r="L47" s="100">
        <v>1.0</v>
      </c>
      <c r="M47" s="100">
        <v>1.0</v>
      </c>
      <c r="N47" s="100">
        <v>1.0</v>
      </c>
      <c r="O47" s="100">
        <v>1.0</v>
      </c>
      <c r="P47" s="101"/>
      <c r="Q47" s="10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7">
        <v>17.0</v>
      </c>
      <c r="B48" s="104" t="s">
        <v>185</v>
      </c>
      <c r="C48" s="99" t="s">
        <v>186</v>
      </c>
      <c r="D48" s="108"/>
      <c r="E48" s="101"/>
      <c r="F48" s="101"/>
      <c r="G48" s="101"/>
      <c r="H48" s="101"/>
      <c r="I48" s="101"/>
      <c r="J48" s="101"/>
      <c r="K48" s="100">
        <v>1.0</v>
      </c>
      <c r="L48" s="100">
        <v>1.0</v>
      </c>
      <c r="M48" s="100">
        <v>1.0</v>
      </c>
      <c r="N48" s="100">
        <v>1.0</v>
      </c>
      <c r="O48" s="101"/>
      <c r="P48" s="101"/>
      <c r="Q48" s="10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7">
        <v>18.0</v>
      </c>
      <c r="B49" s="104" t="s">
        <v>187</v>
      </c>
      <c r="C49" s="99" t="s">
        <v>188</v>
      </c>
      <c r="D49" s="108"/>
      <c r="E49" s="101"/>
      <c r="F49" s="101"/>
      <c r="G49" s="101"/>
      <c r="H49" s="101"/>
      <c r="I49" s="101"/>
      <c r="J49" s="101"/>
      <c r="K49" s="101"/>
      <c r="L49" s="100">
        <v>1.0</v>
      </c>
      <c r="M49" s="100">
        <v>1.0</v>
      </c>
      <c r="N49" s="100">
        <v>1.0</v>
      </c>
      <c r="O49" s="101"/>
      <c r="P49" s="101"/>
      <c r="Q49" s="10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7">
        <v>19.0</v>
      </c>
      <c r="B50" s="98" t="s">
        <v>189</v>
      </c>
      <c r="C50" s="99" t="s">
        <v>190</v>
      </c>
      <c r="D50" s="99" t="s">
        <v>52</v>
      </c>
      <c r="E50" s="109"/>
      <c r="F50" s="109"/>
      <c r="G50" s="109"/>
      <c r="H50" s="109"/>
      <c r="I50" s="109"/>
      <c r="J50" s="109"/>
      <c r="K50" s="109"/>
      <c r="L50" s="100">
        <v>1.0</v>
      </c>
      <c r="M50" s="100">
        <v>1.0</v>
      </c>
      <c r="N50" s="100">
        <v>1.0</v>
      </c>
      <c r="O50" s="100">
        <v>1.0</v>
      </c>
      <c r="P50" s="109"/>
      <c r="Q50" s="10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7">
        <v>20.0</v>
      </c>
      <c r="B51" s="103" t="s">
        <v>191</v>
      </c>
      <c r="C51" s="99" t="s">
        <v>192</v>
      </c>
      <c r="D51" s="99" t="s">
        <v>52</v>
      </c>
      <c r="E51" s="109"/>
      <c r="F51" s="109"/>
      <c r="G51" s="109"/>
      <c r="H51" s="109"/>
      <c r="I51" s="109"/>
      <c r="J51" s="109"/>
      <c r="K51" s="109"/>
      <c r="L51" s="100">
        <v>1.0</v>
      </c>
      <c r="M51" s="100">
        <v>1.0</v>
      </c>
      <c r="N51" s="100">
        <v>1.0</v>
      </c>
      <c r="O51" s="100">
        <v>1.0</v>
      </c>
      <c r="P51" s="109"/>
      <c r="Q51" s="10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7">
        <v>21.0</v>
      </c>
      <c r="B52" s="104" t="s">
        <v>193</v>
      </c>
      <c r="C52" s="99" t="s">
        <v>194</v>
      </c>
      <c r="D52" s="99" t="s">
        <v>52</v>
      </c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0">
        <v>1.0</v>
      </c>
      <c r="P52" s="109"/>
      <c r="Q52" s="10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7">
        <v>22.0</v>
      </c>
      <c r="B53" s="104" t="s">
        <v>195</v>
      </c>
      <c r="C53" s="99" t="s">
        <v>196</v>
      </c>
      <c r="D53" s="99" t="s">
        <v>52</v>
      </c>
      <c r="E53" s="109"/>
      <c r="F53" s="109"/>
      <c r="G53" s="109"/>
      <c r="H53" s="109"/>
      <c r="I53" s="109"/>
      <c r="J53" s="109"/>
      <c r="K53" s="109"/>
      <c r="L53" s="109"/>
      <c r="M53" s="109"/>
      <c r="N53" s="100">
        <v>1.0</v>
      </c>
      <c r="O53" s="109"/>
      <c r="P53" s="109"/>
      <c r="Q53" s="10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7">
        <v>23.0</v>
      </c>
      <c r="B54" s="104" t="s">
        <v>197</v>
      </c>
      <c r="C54" s="99" t="s">
        <v>198</v>
      </c>
      <c r="D54" s="99" t="s">
        <v>52</v>
      </c>
      <c r="E54" s="109"/>
      <c r="F54" s="109"/>
      <c r="G54" s="109"/>
      <c r="H54" s="109"/>
      <c r="I54" s="100">
        <v>1.0</v>
      </c>
      <c r="J54" s="100">
        <v>1.0</v>
      </c>
      <c r="K54" s="100">
        <v>1.0</v>
      </c>
      <c r="L54" s="100">
        <v>1.0</v>
      </c>
      <c r="M54" s="100">
        <v>1.0</v>
      </c>
      <c r="N54" s="100">
        <v>1.0</v>
      </c>
      <c r="O54" s="100">
        <v>1.0</v>
      </c>
      <c r="P54" s="109"/>
      <c r="Q54" s="10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7">
        <v>24.0</v>
      </c>
      <c r="B55" s="104" t="s">
        <v>199</v>
      </c>
      <c r="C55" s="99" t="s">
        <v>200</v>
      </c>
      <c r="D55" s="99" t="s">
        <v>201</v>
      </c>
      <c r="E55" s="100">
        <v>1.0</v>
      </c>
      <c r="F55" s="100">
        <v>1.0</v>
      </c>
      <c r="G55" s="100">
        <v>1.0</v>
      </c>
      <c r="H55" s="100">
        <v>1.0</v>
      </c>
      <c r="I55" s="100">
        <v>1.0</v>
      </c>
      <c r="J55" s="100">
        <v>1.0</v>
      </c>
      <c r="K55" s="100">
        <v>1.0</v>
      </c>
      <c r="L55" s="100">
        <v>1.0</v>
      </c>
      <c r="M55" s="100">
        <v>1.0</v>
      </c>
      <c r="N55" s="100">
        <v>1.0</v>
      </c>
      <c r="O55" s="100">
        <v>1.0</v>
      </c>
      <c r="P55" s="109"/>
      <c r="Q55" s="10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7">
        <v>25.0</v>
      </c>
      <c r="B56" s="104" t="s">
        <v>202</v>
      </c>
      <c r="C56" s="99" t="s">
        <v>203</v>
      </c>
      <c r="D56" s="99" t="s">
        <v>204</v>
      </c>
      <c r="E56" s="100">
        <v>1.0</v>
      </c>
      <c r="F56" s="100">
        <v>1.0</v>
      </c>
      <c r="G56" s="100">
        <v>1.0</v>
      </c>
      <c r="H56" s="100">
        <v>1.0</v>
      </c>
      <c r="I56" s="100">
        <v>1.0</v>
      </c>
      <c r="J56" s="100">
        <v>1.0</v>
      </c>
      <c r="K56" s="100">
        <v>1.0</v>
      </c>
      <c r="L56" s="100">
        <v>1.0</v>
      </c>
      <c r="M56" s="100">
        <v>1.0</v>
      </c>
      <c r="N56" s="100">
        <v>1.0</v>
      </c>
      <c r="O56" s="100">
        <v>1.0</v>
      </c>
      <c r="P56" s="109"/>
      <c r="Q56" s="10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7">
        <v>26.0</v>
      </c>
      <c r="B57" s="104" t="s">
        <v>205</v>
      </c>
      <c r="C57" s="99" t="s">
        <v>206</v>
      </c>
      <c r="D57" s="99" t="s">
        <v>207</v>
      </c>
      <c r="E57" s="100">
        <v>1.0</v>
      </c>
      <c r="F57" s="100">
        <v>1.0</v>
      </c>
      <c r="G57" s="100">
        <v>1.0</v>
      </c>
      <c r="H57" s="100">
        <v>1.0</v>
      </c>
      <c r="I57" s="100">
        <v>1.0</v>
      </c>
      <c r="J57" s="100">
        <v>1.0</v>
      </c>
      <c r="K57" s="100">
        <v>1.0</v>
      </c>
      <c r="L57" s="100">
        <v>1.0</v>
      </c>
      <c r="M57" s="100">
        <v>1.0</v>
      </c>
      <c r="N57" s="100">
        <v>1.0</v>
      </c>
      <c r="O57" s="100">
        <v>1.0</v>
      </c>
      <c r="P57" s="109"/>
      <c r="Q57" s="10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7">
        <v>27.0</v>
      </c>
      <c r="B58" s="104" t="s">
        <v>208</v>
      </c>
      <c r="C58" s="99" t="s">
        <v>209</v>
      </c>
      <c r="D58" s="99" t="s">
        <v>210</v>
      </c>
      <c r="E58" s="100">
        <v>1.0</v>
      </c>
      <c r="F58" s="100">
        <v>1.0</v>
      </c>
      <c r="G58" s="100">
        <v>1.0</v>
      </c>
      <c r="H58" s="100">
        <v>1.0</v>
      </c>
      <c r="I58" s="100">
        <v>1.0</v>
      </c>
      <c r="J58" s="100">
        <v>1.0</v>
      </c>
      <c r="K58" s="100">
        <v>1.0</v>
      </c>
      <c r="L58" s="100">
        <v>1.0</v>
      </c>
      <c r="M58" s="100">
        <v>1.0</v>
      </c>
      <c r="N58" s="100">
        <v>1.0</v>
      </c>
      <c r="O58" s="100">
        <v>1.0</v>
      </c>
      <c r="P58" s="109"/>
      <c r="Q58" s="10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7">
        <v>28.0</v>
      </c>
      <c r="B59" s="104" t="s">
        <v>211</v>
      </c>
      <c r="C59" s="99" t="s">
        <v>212</v>
      </c>
      <c r="D59" s="99" t="s">
        <v>213</v>
      </c>
      <c r="E59" s="100">
        <v>1.0</v>
      </c>
      <c r="F59" s="100">
        <v>1.0</v>
      </c>
      <c r="G59" s="100">
        <v>1.0</v>
      </c>
      <c r="H59" s="100">
        <v>1.0</v>
      </c>
      <c r="I59" s="100">
        <v>1.0</v>
      </c>
      <c r="J59" s="100">
        <v>1.0</v>
      </c>
      <c r="K59" s="100">
        <v>1.0</v>
      </c>
      <c r="L59" s="100">
        <v>1.0</v>
      </c>
      <c r="M59" s="100">
        <v>1.0</v>
      </c>
      <c r="N59" s="100">
        <v>1.0</v>
      </c>
      <c r="O59" s="100">
        <v>1.0</v>
      </c>
      <c r="P59" s="109"/>
      <c r="Q59" s="10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7">
        <v>29.0</v>
      </c>
      <c r="B60" s="110" t="s">
        <v>214</v>
      </c>
      <c r="C60" s="105" t="s">
        <v>215</v>
      </c>
      <c r="D60" s="105" t="s">
        <v>216</v>
      </c>
      <c r="E60" s="100">
        <v>1.0</v>
      </c>
      <c r="F60" s="100">
        <v>1.0</v>
      </c>
      <c r="G60" s="100">
        <v>1.0</v>
      </c>
      <c r="H60" s="100">
        <v>1.0</v>
      </c>
      <c r="I60" s="100">
        <v>1.0</v>
      </c>
      <c r="J60" s="100">
        <v>1.0</v>
      </c>
      <c r="K60" s="100">
        <v>1.0</v>
      </c>
      <c r="L60" s="100">
        <v>1.0</v>
      </c>
      <c r="M60" s="100">
        <v>1.0</v>
      </c>
      <c r="N60" s="100">
        <v>1.0</v>
      </c>
      <c r="O60" s="100">
        <v>1.0</v>
      </c>
      <c r="P60" s="111"/>
      <c r="Q60" s="10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7">
        <v>30.0</v>
      </c>
      <c r="B61" s="104" t="s">
        <v>217</v>
      </c>
      <c r="C61" s="99" t="s">
        <v>218</v>
      </c>
      <c r="D61" s="99" t="s">
        <v>219</v>
      </c>
      <c r="E61" s="100">
        <v>1.0</v>
      </c>
      <c r="F61" s="100">
        <v>1.0</v>
      </c>
      <c r="G61" s="100">
        <v>1.0</v>
      </c>
      <c r="H61" s="100">
        <v>1.0</v>
      </c>
      <c r="I61" s="100">
        <v>1.0</v>
      </c>
      <c r="J61" s="100">
        <v>1.0</v>
      </c>
      <c r="K61" s="100">
        <v>1.0</v>
      </c>
      <c r="L61" s="100">
        <v>1.0</v>
      </c>
      <c r="M61" s="100">
        <v>1.0</v>
      </c>
      <c r="N61" s="100">
        <v>1.0</v>
      </c>
      <c r="O61" s="100">
        <v>1.0</v>
      </c>
      <c r="P61" s="109"/>
      <c r="Q61" s="10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7">
        <v>31.0</v>
      </c>
      <c r="B62" s="104" t="s">
        <v>220</v>
      </c>
      <c r="C62" s="99" t="s">
        <v>221</v>
      </c>
      <c r="D62" s="99" t="s">
        <v>222</v>
      </c>
      <c r="E62" s="100">
        <v>1.0</v>
      </c>
      <c r="F62" s="100">
        <v>1.0</v>
      </c>
      <c r="G62" s="100">
        <v>1.0</v>
      </c>
      <c r="H62" s="100">
        <v>1.0</v>
      </c>
      <c r="I62" s="100">
        <v>1.0</v>
      </c>
      <c r="J62" s="100">
        <v>1.0</v>
      </c>
      <c r="K62" s="100">
        <v>1.0</v>
      </c>
      <c r="L62" s="100">
        <v>1.0</v>
      </c>
      <c r="M62" s="100">
        <v>1.0</v>
      </c>
      <c r="N62" s="100">
        <v>1.0</v>
      </c>
      <c r="O62" s="100">
        <v>1.0</v>
      </c>
      <c r="P62" s="109"/>
      <c r="Q62" s="10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7">
        <v>32.0</v>
      </c>
      <c r="B63" s="104" t="s">
        <v>223</v>
      </c>
      <c r="C63" s="99" t="s">
        <v>224</v>
      </c>
      <c r="D63" s="99" t="s">
        <v>225</v>
      </c>
      <c r="E63" s="100">
        <v>1.0</v>
      </c>
      <c r="F63" s="100">
        <v>1.0</v>
      </c>
      <c r="G63" s="100">
        <v>1.0</v>
      </c>
      <c r="H63" s="100">
        <v>1.0</v>
      </c>
      <c r="I63" s="100">
        <v>1.0</v>
      </c>
      <c r="J63" s="100">
        <v>1.0</v>
      </c>
      <c r="K63" s="100">
        <v>1.0</v>
      </c>
      <c r="L63" s="100">
        <v>1.0</v>
      </c>
      <c r="M63" s="100">
        <v>1.0</v>
      </c>
      <c r="N63" s="100">
        <v>1.0</v>
      </c>
      <c r="O63" s="100">
        <v>1.0</v>
      </c>
      <c r="P63" s="109"/>
      <c r="Q63" s="10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7">
        <v>33.0</v>
      </c>
      <c r="B64" s="104" t="s">
        <v>226</v>
      </c>
      <c r="C64" s="99" t="s">
        <v>227</v>
      </c>
      <c r="D64" s="99" t="s">
        <v>228</v>
      </c>
      <c r="E64" s="100">
        <v>1.0</v>
      </c>
      <c r="F64" s="100">
        <v>1.0</v>
      </c>
      <c r="G64" s="100">
        <v>1.0</v>
      </c>
      <c r="H64" s="100">
        <v>1.0</v>
      </c>
      <c r="I64" s="100">
        <v>1.0</v>
      </c>
      <c r="J64" s="100">
        <v>1.0</v>
      </c>
      <c r="K64" s="100">
        <v>1.0</v>
      </c>
      <c r="L64" s="100">
        <v>1.0</v>
      </c>
      <c r="M64" s="100">
        <v>1.0</v>
      </c>
      <c r="N64" s="100">
        <v>1.0</v>
      </c>
      <c r="O64" s="100">
        <v>1.0</v>
      </c>
      <c r="P64" s="109"/>
      <c r="Q64" s="10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7">
        <v>34.0</v>
      </c>
      <c r="B65" s="104" t="s">
        <v>229</v>
      </c>
      <c r="C65" s="99" t="s">
        <v>230</v>
      </c>
      <c r="D65" s="99" t="s">
        <v>231</v>
      </c>
      <c r="E65" s="100">
        <v>1.0</v>
      </c>
      <c r="F65" s="100">
        <v>1.0</v>
      </c>
      <c r="G65" s="100">
        <v>1.0</v>
      </c>
      <c r="H65" s="100">
        <v>1.0</v>
      </c>
      <c r="I65" s="100">
        <v>1.0</v>
      </c>
      <c r="J65" s="100">
        <v>1.0</v>
      </c>
      <c r="K65" s="100">
        <v>1.0</v>
      </c>
      <c r="L65" s="100">
        <v>1.0</v>
      </c>
      <c r="M65" s="100">
        <v>1.0</v>
      </c>
      <c r="N65" s="100">
        <v>1.0</v>
      </c>
      <c r="O65" s="100">
        <v>1.0</v>
      </c>
      <c r="P65" s="109"/>
      <c r="Q65" s="10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7">
        <v>35.0</v>
      </c>
      <c r="B66" s="110" t="s">
        <v>232</v>
      </c>
      <c r="C66" s="105" t="s">
        <v>233</v>
      </c>
      <c r="D66" s="105" t="s">
        <v>234</v>
      </c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06">
        <v>1.0</v>
      </c>
      <c r="P66" s="111"/>
      <c r="Q66" s="10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2"/>
      <c r="B67" s="34"/>
      <c r="C67" s="2"/>
      <c r="D67" s="2"/>
      <c r="E67" s="2">
        <f t="shared" ref="E67:P67" si="2">SUM(E32:E66)</f>
        <v>24</v>
      </c>
      <c r="F67" s="2">
        <f t="shared" si="2"/>
        <v>24</v>
      </c>
      <c r="G67" s="2">
        <f t="shared" si="2"/>
        <v>20</v>
      </c>
      <c r="H67" s="2">
        <f t="shared" si="2"/>
        <v>18</v>
      </c>
      <c r="I67" s="2">
        <f t="shared" si="2"/>
        <v>19</v>
      </c>
      <c r="J67" s="2">
        <f t="shared" si="2"/>
        <v>19</v>
      </c>
      <c r="K67" s="2">
        <f t="shared" si="2"/>
        <v>18</v>
      </c>
      <c r="L67" s="2">
        <f t="shared" si="2"/>
        <v>20</v>
      </c>
      <c r="M67" s="2">
        <f t="shared" si="2"/>
        <v>20</v>
      </c>
      <c r="N67" s="2">
        <f t="shared" si="2"/>
        <v>21</v>
      </c>
      <c r="O67" s="2">
        <f t="shared" si="2"/>
        <v>19</v>
      </c>
      <c r="P67" s="2">
        <f t="shared" si="2"/>
        <v>0</v>
      </c>
      <c r="Q67" s="10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2"/>
      <c r="B68" s="3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0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2"/>
      <c r="B69" s="3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0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2"/>
      <c r="B70" s="3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0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2"/>
      <c r="B71" s="3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0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2"/>
      <c r="B72" s="3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0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3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0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3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0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3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0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2"/>
      <c r="B76" s="3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0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2"/>
      <c r="B77" s="3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0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9" t="s">
        <v>235</v>
      </c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1" t="s">
        <v>3</v>
      </c>
      <c r="B80" s="112" t="s">
        <v>236</v>
      </c>
      <c r="C80" s="91" t="s">
        <v>237</v>
      </c>
      <c r="D80" s="91" t="s">
        <v>238</v>
      </c>
      <c r="E80" s="113" t="s">
        <v>239</v>
      </c>
      <c r="F80" s="8"/>
      <c r="G80" s="113" t="s">
        <v>240</v>
      </c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8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"/>
      <c r="B81" s="10"/>
      <c r="C81" s="10"/>
      <c r="D81" s="10"/>
      <c r="E81" s="97" t="s">
        <v>94</v>
      </c>
      <c r="F81" s="97" t="s">
        <v>241</v>
      </c>
      <c r="G81" s="97" t="s">
        <v>131</v>
      </c>
      <c r="H81" s="97" t="s">
        <v>132</v>
      </c>
      <c r="I81" s="97" t="s">
        <v>133</v>
      </c>
      <c r="J81" s="97" t="s">
        <v>134</v>
      </c>
      <c r="K81" s="97" t="s">
        <v>113</v>
      </c>
      <c r="L81" s="97" t="s">
        <v>135</v>
      </c>
      <c r="M81" s="97" t="s">
        <v>136</v>
      </c>
      <c r="N81" s="97" t="s">
        <v>137</v>
      </c>
      <c r="O81" s="97" t="s">
        <v>138</v>
      </c>
      <c r="P81" s="97" t="s">
        <v>139</v>
      </c>
      <c r="Q81" s="97" t="s">
        <v>140</v>
      </c>
      <c r="R81" s="114" t="s">
        <v>141</v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1.0</v>
      </c>
      <c r="B82" s="95">
        <v>2.0</v>
      </c>
      <c r="C82" s="95">
        <v>3.0</v>
      </c>
      <c r="D82" s="95">
        <v>4.0</v>
      </c>
      <c r="E82" s="95">
        <v>5.0</v>
      </c>
      <c r="F82" s="95">
        <v>6.0</v>
      </c>
      <c r="G82" s="95">
        <v>7.0</v>
      </c>
      <c r="H82" s="95">
        <v>8.0</v>
      </c>
      <c r="I82" s="95">
        <v>9.0</v>
      </c>
      <c r="J82" s="95">
        <v>10.0</v>
      </c>
      <c r="K82" s="95">
        <v>11.0</v>
      </c>
      <c r="L82" s="95">
        <v>12.0</v>
      </c>
      <c r="M82" s="95">
        <v>13.0</v>
      </c>
      <c r="N82" s="95">
        <v>14.0</v>
      </c>
      <c r="O82" s="95">
        <v>15.0</v>
      </c>
      <c r="P82" s="95">
        <v>16.0</v>
      </c>
      <c r="Q82" s="95">
        <v>17.0</v>
      </c>
      <c r="R82" s="95">
        <v>18.0</v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15">
        <v>1.0</v>
      </c>
      <c r="B83" s="99" t="s">
        <v>242</v>
      </c>
      <c r="C83" s="116" t="s">
        <v>107</v>
      </c>
      <c r="D83" s="117">
        <v>45950.0</v>
      </c>
      <c r="E83" s="99" t="s">
        <v>176</v>
      </c>
      <c r="F83" s="99" t="s">
        <v>177</v>
      </c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6">
        <v>1.0</v>
      </c>
      <c r="R83" s="118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15">
        <v>2.0</v>
      </c>
      <c r="B84" s="99" t="s">
        <v>175</v>
      </c>
      <c r="C84" s="116" t="s">
        <v>107</v>
      </c>
      <c r="D84" s="119">
        <v>45853.0</v>
      </c>
      <c r="E84" s="99" t="s">
        <v>173</v>
      </c>
      <c r="F84" s="99" t="s">
        <v>174</v>
      </c>
      <c r="G84" s="118"/>
      <c r="H84" s="118"/>
      <c r="I84" s="118"/>
      <c r="J84" s="118"/>
      <c r="K84" s="118"/>
      <c r="L84" s="118"/>
      <c r="M84" s="118"/>
      <c r="N84" s="116">
        <v>1.0</v>
      </c>
      <c r="O84" s="116">
        <v>1.0</v>
      </c>
      <c r="P84" s="116">
        <v>1.0</v>
      </c>
      <c r="Q84" s="116">
        <v>1.0</v>
      </c>
      <c r="R84" s="118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15">
        <v>3.0</v>
      </c>
      <c r="B85" s="99" t="s">
        <v>172</v>
      </c>
      <c r="C85" s="116" t="s">
        <v>107</v>
      </c>
      <c r="D85" s="119">
        <v>45838.0</v>
      </c>
      <c r="E85" s="99" t="s">
        <v>243</v>
      </c>
      <c r="F85" s="99" t="s">
        <v>244</v>
      </c>
      <c r="G85" s="118"/>
      <c r="H85" s="118"/>
      <c r="I85" s="118"/>
      <c r="J85" s="118"/>
      <c r="K85" s="118"/>
      <c r="L85" s="118"/>
      <c r="M85" s="116">
        <v>1.0</v>
      </c>
      <c r="N85" s="116">
        <v>1.0</v>
      </c>
      <c r="O85" s="116">
        <v>1.0</v>
      </c>
      <c r="P85" s="116">
        <v>1.0</v>
      </c>
      <c r="Q85" s="116">
        <v>1.0</v>
      </c>
      <c r="R85" s="118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15">
        <v>4.0</v>
      </c>
      <c r="B86" s="99" t="s">
        <v>171</v>
      </c>
      <c r="C86" s="116" t="s">
        <v>107</v>
      </c>
      <c r="D86" s="119">
        <v>45838.0</v>
      </c>
      <c r="E86" s="99" t="s">
        <v>243</v>
      </c>
      <c r="F86" s="99" t="s">
        <v>244</v>
      </c>
      <c r="G86" s="118"/>
      <c r="H86" s="118"/>
      <c r="I86" s="118"/>
      <c r="J86" s="118"/>
      <c r="K86" s="118"/>
      <c r="L86" s="118"/>
      <c r="M86" s="116">
        <v>1.0</v>
      </c>
      <c r="N86" s="116">
        <v>1.0</v>
      </c>
      <c r="O86" s="116">
        <v>1.0</v>
      </c>
      <c r="P86" s="116">
        <v>1.0</v>
      </c>
      <c r="Q86" s="116">
        <v>1.0</v>
      </c>
      <c r="R86" s="118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15">
        <v>5.0</v>
      </c>
      <c r="B87" s="99" t="s">
        <v>168</v>
      </c>
      <c r="C87" s="116" t="s">
        <v>108</v>
      </c>
      <c r="D87" s="119">
        <v>45810.0</v>
      </c>
      <c r="E87" s="99" t="s">
        <v>166</v>
      </c>
      <c r="F87" s="99" t="s">
        <v>167</v>
      </c>
      <c r="G87" s="118"/>
      <c r="H87" s="118"/>
      <c r="I87" s="118"/>
      <c r="J87" s="118"/>
      <c r="K87" s="118"/>
      <c r="L87" s="118"/>
      <c r="M87" s="116">
        <v>1.0</v>
      </c>
      <c r="N87" s="116">
        <v>1.0</v>
      </c>
      <c r="O87" s="116">
        <v>1.0</v>
      </c>
      <c r="P87" s="118"/>
      <c r="Q87" s="116">
        <v>1.0</v>
      </c>
      <c r="R87" s="118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115">
        <v>6.0</v>
      </c>
      <c r="B88" s="99" t="s">
        <v>162</v>
      </c>
      <c r="C88" s="116" t="s">
        <v>108</v>
      </c>
      <c r="D88" s="119">
        <v>45779.0</v>
      </c>
      <c r="E88" s="99" t="s">
        <v>160</v>
      </c>
      <c r="F88" s="99" t="s">
        <v>245</v>
      </c>
      <c r="G88" s="118"/>
      <c r="H88" s="118"/>
      <c r="I88" s="118"/>
      <c r="J88" s="118"/>
      <c r="K88" s="118"/>
      <c r="L88" s="118"/>
      <c r="M88" s="118"/>
      <c r="N88" s="116">
        <v>1.0</v>
      </c>
      <c r="O88" s="116">
        <v>1.0</v>
      </c>
      <c r="P88" s="116">
        <v>1.0</v>
      </c>
      <c r="Q88" s="116">
        <v>1.0</v>
      </c>
      <c r="R88" s="118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115">
        <v>7.0</v>
      </c>
      <c r="B89" s="120" t="s">
        <v>246</v>
      </c>
      <c r="C89" s="121" t="s">
        <v>107</v>
      </c>
      <c r="D89" s="122">
        <v>45793.0</v>
      </c>
      <c r="E89" s="105" t="s">
        <v>163</v>
      </c>
      <c r="F89" s="105" t="s">
        <v>164</v>
      </c>
      <c r="G89" s="123"/>
      <c r="H89" s="123"/>
      <c r="I89" s="123"/>
      <c r="J89" s="123"/>
      <c r="K89" s="123"/>
      <c r="L89" s="123"/>
      <c r="M89" s="121">
        <v>1.0</v>
      </c>
      <c r="N89" s="121">
        <v>1.0</v>
      </c>
      <c r="O89" s="123"/>
      <c r="P89" s="121">
        <v>1.0</v>
      </c>
      <c r="Q89" s="121">
        <v>1.0</v>
      </c>
      <c r="R89" s="123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115">
        <v>8.0</v>
      </c>
      <c r="B90" s="99" t="s">
        <v>159</v>
      </c>
      <c r="C90" s="116" t="s">
        <v>107</v>
      </c>
      <c r="D90" s="119">
        <v>45744.0</v>
      </c>
      <c r="E90" s="99" t="s">
        <v>247</v>
      </c>
      <c r="F90" s="99" t="s">
        <v>158</v>
      </c>
      <c r="G90" s="118"/>
      <c r="H90" s="118"/>
      <c r="I90" s="118"/>
      <c r="J90" s="116">
        <v>1.0</v>
      </c>
      <c r="K90" s="116">
        <v>1.0</v>
      </c>
      <c r="L90" s="116">
        <v>1.0</v>
      </c>
      <c r="M90" s="116">
        <v>1.0</v>
      </c>
      <c r="N90" s="116">
        <v>1.0</v>
      </c>
      <c r="O90" s="116">
        <v>1.0</v>
      </c>
      <c r="P90" s="116">
        <v>1.0</v>
      </c>
      <c r="Q90" s="116">
        <v>1.0</v>
      </c>
      <c r="R90" s="118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115">
        <v>9.0</v>
      </c>
      <c r="B91" s="99" t="s">
        <v>248</v>
      </c>
      <c r="C91" s="116" t="s">
        <v>107</v>
      </c>
      <c r="D91" s="119">
        <v>45730.0</v>
      </c>
      <c r="E91" s="99" t="s">
        <v>154</v>
      </c>
      <c r="F91" s="99" t="s">
        <v>249</v>
      </c>
      <c r="G91" s="118"/>
      <c r="H91" s="118"/>
      <c r="I91" s="118"/>
      <c r="J91" s="116">
        <v>1.0</v>
      </c>
      <c r="K91" s="116">
        <v>1.0</v>
      </c>
      <c r="L91" s="116">
        <v>1.0</v>
      </c>
      <c r="M91" s="116">
        <v>1.0</v>
      </c>
      <c r="N91" s="116">
        <v>1.0</v>
      </c>
      <c r="O91" s="118"/>
      <c r="P91" s="116">
        <v>1.0</v>
      </c>
      <c r="Q91" s="116">
        <v>1.0</v>
      </c>
      <c r="R91" s="118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115">
        <v>10.0</v>
      </c>
      <c r="B92" s="99" t="s">
        <v>250</v>
      </c>
      <c r="C92" s="116" t="s">
        <v>108</v>
      </c>
      <c r="D92" s="119">
        <v>45705.0</v>
      </c>
      <c r="E92" s="99" t="s">
        <v>251</v>
      </c>
      <c r="F92" s="99" t="s">
        <v>152</v>
      </c>
      <c r="G92" s="118"/>
      <c r="H92" s="118"/>
      <c r="I92" s="118"/>
      <c r="J92" s="116">
        <v>1.0</v>
      </c>
      <c r="K92" s="116">
        <v>1.0</v>
      </c>
      <c r="L92" s="116">
        <v>1.0</v>
      </c>
      <c r="M92" s="116">
        <v>1.0</v>
      </c>
      <c r="N92" s="116">
        <v>1.0</v>
      </c>
      <c r="O92" s="116">
        <v>1.0</v>
      </c>
      <c r="P92" s="116">
        <v>1.0</v>
      </c>
      <c r="Q92" s="116">
        <v>1.0</v>
      </c>
      <c r="R92" s="118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115">
        <v>11.0</v>
      </c>
      <c r="B93" s="99" t="s">
        <v>252</v>
      </c>
      <c r="C93" s="116" t="s">
        <v>108</v>
      </c>
      <c r="D93" s="119">
        <v>45704.0</v>
      </c>
      <c r="E93" s="99" t="s">
        <v>148</v>
      </c>
      <c r="F93" s="99" t="s">
        <v>149</v>
      </c>
      <c r="G93" s="118"/>
      <c r="H93" s="118"/>
      <c r="I93" s="118"/>
      <c r="J93" s="116">
        <v>1.0</v>
      </c>
      <c r="K93" s="116">
        <v>1.0</v>
      </c>
      <c r="L93" s="116">
        <v>1.0</v>
      </c>
      <c r="M93" s="116">
        <v>1.0</v>
      </c>
      <c r="N93" s="116">
        <v>1.0</v>
      </c>
      <c r="O93" s="116">
        <v>1.0</v>
      </c>
      <c r="P93" s="116">
        <v>1.0</v>
      </c>
      <c r="Q93" s="116">
        <v>1.0</v>
      </c>
      <c r="R93" s="118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115">
        <v>12.0</v>
      </c>
      <c r="B94" s="99" t="s">
        <v>144</v>
      </c>
      <c r="C94" s="116" t="s">
        <v>108</v>
      </c>
      <c r="D94" s="119">
        <v>45708.0</v>
      </c>
      <c r="E94" s="99" t="s">
        <v>142</v>
      </c>
      <c r="F94" s="99" t="s">
        <v>253</v>
      </c>
      <c r="G94" s="118"/>
      <c r="H94" s="118"/>
      <c r="I94" s="116">
        <v>1.0</v>
      </c>
      <c r="J94" s="116">
        <v>1.0</v>
      </c>
      <c r="K94" s="116">
        <v>1.0</v>
      </c>
      <c r="L94" s="116">
        <v>1.0</v>
      </c>
      <c r="M94" s="116">
        <v>1.0</v>
      </c>
      <c r="N94" s="116">
        <v>1.0</v>
      </c>
      <c r="O94" s="118"/>
      <c r="P94" s="116">
        <v>1.0</v>
      </c>
      <c r="Q94" s="116">
        <v>1.0</v>
      </c>
      <c r="R94" s="118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115">
        <v>13.0</v>
      </c>
      <c r="B95" s="99" t="s">
        <v>254</v>
      </c>
      <c r="C95" s="116" t="s">
        <v>108</v>
      </c>
      <c r="D95" s="117">
        <v>45644.0</v>
      </c>
      <c r="E95" s="99" t="s">
        <v>255</v>
      </c>
      <c r="F95" s="99" t="s">
        <v>256</v>
      </c>
      <c r="G95" s="116">
        <v>1.0</v>
      </c>
      <c r="H95" s="116">
        <v>1.0</v>
      </c>
      <c r="I95" s="116">
        <v>1.0</v>
      </c>
      <c r="J95" s="116">
        <v>1.0</v>
      </c>
      <c r="K95" s="116">
        <v>1.0</v>
      </c>
      <c r="L95" s="116">
        <v>1.0</v>
      </c>
      <c r="M95" s="116">
        <v>1.0</v>
      </c>
      <c r="N95" s="116">
        <v>1.0</v>
      </c>
      <c r="O95" s="116">
        <v>1.0</v>
      </c>
      <c r="P95" s="116">
        <v>1.0</v>
      </c>
      <c r="Q95" s="116">
        <v>1.0</v>
      </c>
      <c r="R95" s="118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115">
        <v>14.0</v>
      </c>
      <c r="B96" s="99" t="s">
        <v>257</v>
      </c>
      <c r="C96" s="116" t="s">
        <v>108</v>
      </c>
      <c r="D96" s="119">
        <v>45627.0</v>
      </c>
      <c r="E96" s="99" t="s">
        <v>258</v>
      </c>
      <c r="F96" s="99" t="s">
        <v>259</v>
      </c>
      <c r="G96" s="116">
        <v>1.0</v>
      </c>
      <c r="H96" s="116">
        <v>1.0</v>
      </c>
      <c r="I96" s="116">
        <v>1.0</v>
      </c>
      <c r="J96" s="116">
        <v>1.0</v>
      </c>
      <c r="K96" s="116">
        <v>1.0</v>
      </c>
      <c r="L96" s="116">
        <v>1.0</v>
      </c>
      <c r="M96" s="116">
        <v>1.0</v>
      </c>
      <c r="N96" s="116">
        <v>1.0</v>
      </c>
      <c r="O96" s="116">
        <v>1.0</v>
      </c>
      <c r="P96" s="116">
        <v>1.0</v>
      </c>
      <c r="Q96" s="116">
        <v>1.0</v>
      </c>
      <c r="R96" s="118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115">
        <v>15.0</v>
      </c>
      <c r="B97" s="99" t="s">
        <v>260</v>
      </c>
      <c r="C97" s="116" t="s">
        <v>107</v>
      </c>
      <c r="D97" s="117">
        <v>45608.0</v>
      </c>
      <c r="E97" s="99" t="s">
        <v>261</v>
      </c>
      <c r="F97" s="99" t="s">
        <v>262</v>
      </c>
      <c r="G97" s="116">
        <v>1.0</v>
      </c>
      <c r="H97" s="116">
        <v>1.0</v>
      </c>
      <c r="I97" s="116">
        <v>1.0</v>
      </c>
      <c r="J97" s="116">
        <v>1.0</v>
      </c>
      <c r="K97" s="116">
        <v>1.0</v>
      </c>
      <c r="L97" s="116">
        <v>1.0</v>
      </c>
      <c r="M97" s="116">
        <v>1.0</v>
      </c>
      <c r="N97" s="116">
        <v>1.0</v>
      </c>
      <c r="O97" s="116">
        <v>1.0</v>
      </c>
      <c r="P97" s="116">
        <v>1.0</v>
      </c>
      <c r="Q97" s="116">
        <v>1.0</v>
      </c>
      <c r="R97" s="118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115">
        <v>16.0</v>
      </c>
      <c r="B98" s="99" t="s">
        <v>263</v>
      </c>
      <c r="C98" s="116" t="s">
        <v>108</v>
      </c>
      <c r="D98" s="119">
        <v>45601.0</v>
      </c>
      <c r="E98" s="99" t="s">
        <v>264</v>
      </c>
      <c r="F98" s="99" t="s">
        <v>265</v>
      </c>
      <c r="G98" s="116">
        <v>1.0</v>
      </c>
      <c r="H98" s="116">
        <v>1.0</v>
      </c>
      <c r="I98" s="116">
        <v>1.0</v>
      </c>
      <c r="J98" s="116">
        <v>1.0</v>
      </c>
      <c r="K98" s="116">
        <v>1.0</v>
      </c>
      <c r="L98" s="116">
        <v>1.0</v>
      </c>
      <c r="M98" s="118"/>
      <c r="N98" s="118"/>
      <c r="O98" s="118"/>
      <c r="P98" s="118"/>
      <c r="Q98" s="118"/>
      <c r="R98" s="118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115">
        <v>17.0</v>
      </c>
      <c r="B99" s="99" t="s">
        <v>266</v>
      </c>
      <c r="C99" s="116" t="s">
        <v>108</v>
      </c>
      <c r="D99" s="119">
        <v>45568.0</v>
      </c>
      <c r="E99" s="99" t="s">
        <v>267</v>
      </c>
      <c r="F99" s="99" t="s">
        <v>268</v>
      </c>
      <c r="G99" s="116">
        <v>1.0</v>
      </c>
      <c r="H99" s="116">
        <v>1.0</v>
      </c>
      <c r="I99" s="116">
        <v>1.0</v>
      </c>
      <c r="J99" s="116">
        <v>1.0</v>
      </c>
      <c r="K99" s="116">
        <v>1.0</v>
      </c>
      <c r="L99" s="116">
        <v>1.0</v>
      </c>
      <c r="M99" s="116">
        <v>1.0</v>
      </c>
      <c r="N99" s="116">
        <v>1.0</v>
      </c>
      <c r="O99" s="116">
        <v>1.0</v>
      </c>
      <c r="P99" s="116">
        <v>1.0</v>
      </c>
      <c r="Q99" s="116">
        <v>1.0</v>
      </c>
      <c r="R99" s="118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115">
        <v>18.0</v>
      </c>
      <c r="B100" s="99" t="s">
        <v>269</v>
      </c>
      <c r="C100" s="116" t="s">
        <v>108</v>
      </c>
      <c r="D100" s="119">
        <v>45531.0</v>
      </c>
      <c r="E100" s="99" t="s">
        <v>270</v>
      </c>
      <c r="F100" s="99" t="s">
        <v>271</v>
      </c>
      <c r="G100" s="116">
        <v>1.0</v>
      </c>
      <c r="H100" s="116">
        <v>1.0</v>
      </c>
      <c r="I100" s="118"/>
      <c r="J100" s="116">
        <v>1.0</v>
      </c>
      <c r="K100" s="116">
        <v>1.0</v>
      </c>
      <c r="L100" s="116">
        <v>1.0</v>
      </c>
      <c r="M100" s="116">
        <v>1.0</v>
      </c>
      <c r="N100" s="116">
        <v>1.0</v>
      </c>
      <c r="O100" s="116">
        <v>1.0</v>
      </c>
      <c r="P100" s="118"/>
      <c r="Q100" s="116">
        <v>1.0</v>
      </c>
      <c r="R100" s="118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115">
        <v>19.0</v>
      </c>
      <c r="B101" s="99" t="s">
        <v>272</v>
      </c>
      <c r="C101" s="116" t="s">
        <v>107</v>
      </c>
      <c r="D101" s="119">
        <v>45493.0</v>
      </c>
      <c r="E101" s="99" t="s">
        <v>273</v>
      </c>
      <c r="F101" s="99" t="s">
        <v>274</v>
      </c>
      <c r="G101" s="116">
        <v>1.0</v>
      </c>
      <c r="H101" s="116">
        <v>1.0</v>
      </c>
      <c r="I101" s="116">
        <v>1.0</v>
      </c>
      <c r="J101" s="116">
        <v>1.0</v>
      </c>
      <c r="K101" s="116">
        <v>1.0</v>
      </c>
      <c r="L101" s="116">
        <v>1.0</v>
      </c>
      <c r="M101" s="116">
        <v>1.0</v>
      </c>
      <c r="N101" s="116">
        <v>1.0</v>
      </c>
      <c r="O101" s="118"/>
      <c r="P101" s="118"/>
      <c r="Q101" s="118"/>
      <c r="R101" s="118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115">
        <v>20.0</v>
      </c>
      <c r="B102" s="99" t="s">
        <v>275</v>
      </c>
      <c r="C102" s="116" t="s">
        <v>108</v>
      </c>
      <c r="D102" s="119">
        <v>45420.0</v>
      </c>
      <c r="E102" s="99" t="s">
        <v>276</v>
      </c>
      <c r="F102" s="99" t="s">
        <v>277</v>
      </c>
      <c r="G102" s="116">
        <v>1.0</v>
      </c>
      <c r="H102" s="118"/>
      <c r="I102" s="116">
        <v>1.0</v>
      </c>
      <c r="J102" s="118"/>
      <c r="K102" s="116">
        <v>1.0</v>
      </c>
      <c r="L102" s="118"/>
      <c r="M102" s="116">
        <v>1.0</v>
      </c>
      <c r="N102" s="118"/>
      <c r="O102" s="116">
        <v>1.0</v>
      </c>
      <c r="P102" s="116">
        <v>1.0</v>
      </c>
      <c r="Q102" s="118"/>
      <c r="R102" s="118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115">
        <v>21.0</v>
      </c>
      <c r="B103" s="99" t="s">
        <v>278</v>
      </c>
      <c r="C103" s="116" t="s">
        <v>107</v>
      </c>
      <c r="D103" s="119">
        <v>45441.0</v>
      </c>
      <c r="E103" s="99" t="s">
        <v>279</v>
      </c>
      <c r="F103" s="99" t="s">
        <v>280</v>
      </c>
      <c r="G103" s="118"/>
      <c r="H103" s="118"/>
      <c r="I103" s="118"/>
      <c r="J103" s="118"/>
      <c r="K103" s="118"/>
      <c r="L103" s="116">
        <v>1.0</v>
      </c>
      <c r="M103" s="116">
        <v>1.0</v>
      </c>
      <c r="N103" s="116">
        <v>1.0</v>
      </c>
      <c r="O103" s="116">
        <v>1.0</v>
      </c>
      <c r="P103" s="116">
        <v>1.0</v>
      </c>
      <c r="Q103" s="116">
        <v>1.0</v>
      </c>
      <c r="R103" s="118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115">
        <v>22.0</v>
      </c>
      <c r="B104" s="99" t="s">
        <v>281</v>
      </c>
      <c r="C104" s="116" t="s">
        <v>107</v>
      </c>
      <c r="D104" s="119">
        <v>45406.0</v>
      </c>
      <c r="E104" s="99" t="s">
        <v>282</v>
      </c>
      <c r="F104" s="99" t="s">
        <v>283</v>
      </c>
      <c r="G104" s="116">
        <v>1.0</v>
      </c>
      <c r="H104" s="116">
        <v>1.0</v>
      </c>
      <c r="I104" s="116">
        <v>1.0</v>
      </c>
      <c r="J104" s="116">
        <v>1.0</v>
      </c>
      <c r="K104" s="116">
        <v>1.0</v>
      </c>
      <c r="L104" s="116">
        <v>1.0</v>
      </c>
      <c r="M104" s="116">
        <v>1.0</v>
      </c>
      <c r="N104" s="116">
        <v>1.0</v>
      </c>
      <c r="O104" s="116">
        <v>1.0</v>
      </c>
      <c r="P104" s="116">
        <v>1.0</v>
      </c>
      <c r="Q104" s="116">
        <v>1.0</v>
      </c>
      <c r="R104" s="118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115">
        <v>23.0</v>
      </c>
      <c r="B105" s="99" t="s">
        <v>284</v>
      </c>
      <c r="C105" s="116" t="s">
        <v>108</v>
      </c>
      <c r="D105" s="119">
        <v>45390.0</v>
      </c>
      <c r="E105" s="99" t="s">
        <v>285</v>
      </c>
      <c r="F105" s="99" t="s">
        <v>286</v>
      </c>
      <c r="G105" s="116">
        <v>1.0</v>
      </c>
      <c r="H105" s="116">
        <v>1.0</v>
      </c>
      <c r="I105" s="116">
        <v>1.0</v>
      </c>
      <c r="J105" s="116">
        <v>1.0</v>
      </c>
      <c r="K105" s="116">
        <v>1.0</v>
      </c>
      <c r="L105" s="118"/>
      <c r="M105" s="118"/>
      <c r="N105" s="118"/>
      <c r="O105" s="116">
        <v>1.0</v>
      </c>
      <c r="P105" s="116">
        <v>1.0</v>
      </c>
      <c r="Q105" s="116">
        <v>1.0</v>
      </c>
      <c r="R105" s="118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115">
        <v>24.0</v>
      </c>
      <c r="B106" s="99" t="s">
        <v>287</v>
      </c>
      <c r="C106" s="116" t="s">
        <v>107</v>
      </c>
      <c r="D106" s="119">
        <v>45365.0</v>
      </c>
      <c r="E106" s="99" t="s">
        <v>288</v>
      </c>
      <c r="F106" s="99" t="s">
        <v>289</v>
      </c>
      <c r="G106" s="118"/>
      <c r="H106" s="118"/>
      <c r="I106" s="118"/>
      <c r="J106" s="118"/>
      <c r="K106" s="116">
        <v>1.0</v>
      </c>
      <c r="L106" s="116">
        <v>1.0</v>
      </c>
      <c r="M106" s="118"/>
      <c r="N106" s="116">
        <v>1.0</v>
      </c>
      <c r="O106" s="116">
        <v>1.0</v>
      </c>
      <c r="P106" s="116">
        <v>1.0</v>
      </c>
      <c r="Q106" s="116">
        <v>1.0</v>
      </c>
      <c r="R106" s="118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115">
        <v>25.0</v>
      </c>
      <c r="B107" s="99" t="s">
        <v>290</v>
      </c>
      <c r="C107" s="116" t="s">
        <v>107</v>
      </c>
      <c r="D107" s="119">
        <v>45324.0</v>
      </c>
      <c r="E107" s="99" t="s">
        <v>291</v>
      </c>
      <c r="F107" s="99" t="s">
        <v>292</v>
      </c>
      <c r="G107" s="116">
        <v>1.0</v>
      </c>
      <c r="H107" s="116">
        <v>1.0</v>
      </c>
      <c r="I107" s="116">
        <v>1.0</v>
      </c>
      <c r="J107" s="116">
        <v>1.0</v>
      </c>
      <c r="K107" s="116">
        <v>1.0</v>
      </c>
      <c r="L107" s="116">
        <v>1.0</v>
      </c>
      <c r="M107" s="116">
        <v>1.0</v>
      </c>
      <c r="N107" s="116">
        <v>1.0</v>
      </c>
      <c r="O107" s="116">
        <v>1.0</v>
      </c>
      <c r="P107" s="116">
        <v>1.0</v>
      </c>
      <c r="Q107" s="116">
        <v>1.0</v>
      </c>
      <c r="R107" s="118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115">
        <v>26.0</v>
      </c>
      <c r="B108" s="99" t="s">
        <v>293</v>
      </c>
      <c r="C108" s="116" t="s">
        <v>108</v>
      </c>
      <c r="D108" s="119">
        <v>45342.0</v>
      </c>
      <c r="E108" s="99" t="s">
        <v>294</v>
      </c>
      <c r="F108" s="99" t="s">
        <v>295</v>
      </c>
      <c r="G108" s="116">
        <v>1.0</v>
      </c>
      <c r="H108" s="116">
        <v>1.0</v>
      </c>
      <c r="I108" s="116">
        <v>1.0</v>
      </c>
      <c r="J108" s="116">
        <v>1.0</v>
      </c>
      <c r="K108" s="116">
        <v>1.0</v>
      </c>
      <c r="L108" s="116">
        <v>1.0</v>
      </c>
      <c r="M108" s="116">
        <v>1.0</v>
      </c>
      <c r="N108" s="116">
        <v>1.0</v>
      </c>
      <c r="O108" s="118"/>
      <c r="P108" s="116">
        <v>1.0</v>
      </c>
      <c r="Q108" s="116">
        <v>1.0</v>
      </c>
      <c r="R108" s="118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115">
        <v>27.0</v>
      </c>
      <c r="B109" s="99" t="s">
        <v>296</v>
      </c>
      <c r="C109" s="116" t="s">
        <v>108</v>
      </c>
      <c r="D109" s="119">
        <v>45298.0</v>
      </c>
      <c r="E109" s="99" t="s">
        <v>142</v>
      </c>
      <c r="F109" s="99" t="s">
        <v>253</v>
      </c>
      <c r="G109" s="116">
        <v>1.0</v>
      </c>
      <c r="H109" s="116">
        <v>1.0</v>
      </c>
      <c r="I109" s="116">
        <v>1.0</v>
      </c>
      <c r="J109" s="116">
        <v>1.0</v>
      </c>
      <c r="K109" s="116">
        <v>1.0</v>
      </c>
      <c r="L109" s="118"/>
      <c r="M109" s="116">
        <v>1.0</v>
      </c>
      <c r="N109" s="116">
        <v>1.0</v>
      </c>
      <c r="O109" s="118"/>
      <c r="P109" s="116">
        <v>1.0</v>
      </c>
      <c r="Q109" s="116">
        <v>1.0</v>
      </c>
      <c r="R109" s="118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115">
        <v>28.0</v>
      </c>
      <c r="B110" s="99" t="s">
        <v>297</v>
      </c>
      <c r="C110" s="116" t="s">
        <v>108</v>
      </c>
      <c r="D110" s="117">
        <v>45258.0</v>
      </c>
      <c r="E110" s="99" t="s">
        <v>298</v>
      </c>
      <c r="F110" s="99" t="s">
        <v>299</v>
      </c>
      <c r="G110" s="116">
        <v>1.0</v>
      </c>
      <c r="H110" s="116">
        <v>1.0</v>
      </c>
      <c r="I110" s="116">
        <v>1.0</v>
      </c>
      <c r="J110" s="118"/>
      <c r="K110" s="116">
        <v>1.0</v>
      </c>
      <c r="L110" s="118"/>
      <c r="M110" s="116">
        <v>1.0</v>
      </c>
      <c r="N110" s="118"/>
      <c r="O110" s="116">
        <v>1.0</v>
      </c>
      <c r="P110" s="116">
        <v>1.0</v>
      </c>
      <c r="Q110" s="116">
        <v>1.0</v>
      </c>
      <c r="R110" s="118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115">
        <v>29.0</v>
      </c>
      <c r="B111" s="99" t="s">
        <v>300</v>
      </c>
      <c r="C111" s="116" t="s">
        <v>107</v>
      </c>
      <c r="D111" s="119">
        <v>45296.0</v>
      </c>
      <c r="E111" s="99" t="s">
        <v>301</v>
      </c>
      <c r="F111" s="99" t="s">
        <v>302</v>
      </c>
      <c r="G111" s="116">
        <v>1.0</v>
      </c>
      <c r="H111" s="116">
        <v>1.0</v>
      </c>
      <c r="I111" s="116">
        <v>1.0</v>
      </c>
      <c r="J111" s="116">
        <v>1.0</v>
      </c>
      <c r="K111" s="116">
        <v>1.0</v>
      </c>
      <c r="L111" s="116">
        <v>1.0</v>
      </c>
      <c r="M111" s="116">
        <v>1.0</v>
      </c>
      <c r="N111" s="116">
        <v>1.0</v>
      </c>
      <c r="O111" s="116">
        <v>1.0</v>
      </c>
      <c r="P111" s="116">
        <v>1.0</v>
      </c>
      <c r="Q111" s="116">
        <v>1.0</v>
      </c>
      <c r="R111" s="118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115">
        <v>30.0</v>
      </c>
      <c r="B112" s="99" t="s">
        <v>303</v>
      </c>
      <c r="C112" s="116" t="s">
        <v>107</v>
      </c>
      <c r="D112" s="119">
        <v>45182.0</v>
      </c>
      <c r="E112" s="99" t="s">
        <v>304</v>
      </c>
      <c r="F112" s="99" t="s">
        <v>305</v>
      </c>
      <c r="G112" s="116">
        <v>1.0</v>
      </c>
      <c r="H112" s="116">
        <v>1.0</v>
      </c>
      <c r="I112" s="116">
        <v>1.0</v>
      </c>
      <c r="J112" s="116">
        <v>1.0</v>
      </c>
      <c r="K112" s="116">
        <v>1.0</v>
      </c>
      <c r="L112" s="118"/>
      <c r="M112" s="118"/>
      <c r="N112" s="118"/>
      <c r="O112" s="116">
        <v>1.0</v>
      </c>
      <c r="P112" s="116">
        <v>1.0</v>
      </c>
      <c r="Q112" s="116">
        <v>1.0</v>
      </c>
      <c r="R112" s="118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115">
        <v>31.0</v>
      </c>
      <c r="B113" s="99" t="s">
        <v>306</v>
      </c>
      <c r="C113" s="116" t="s">
        <v>108</v>
      </c>
      <c r="D113" s="119">
        <v>45292.0</v>
      </c>
      <c r="E113" s="99" t="s">
        <v>307</v>
      </c>
      <c r="F113" s="99" t="s">
        <v>308</v>
      </c>
      <c r="G113" s="118"/>
      <c r="H113" s="118"/>
      <c r="I113" s="118"/>
      <c r="J113" s="118"/>
      <c r="K113" s="118"/>
      <c r="L113" s="118"/>
      <c r="M113" s="118"/>
      <c r="N113" s="118"/>
      <c r="O113" s="116">
        <v>1.0</v>
      </c>
      <c r="P113" s="116">
        <v>1.0</v>
      </c>
      <c r="Q113" s="116">
        <v>1.0</v>
      </c>
      <c r="R113" s="118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115">
        <v>32.0</v>
      </c>
      <c r="B114" s="99" t="s">
        <v>309</v>
      </c>
      <c r="C114" s="116" t="s">
        <v>108</v>
      </c>
      <c r="D114" s="119">
        <v>45143.0</v>
      </c>
      <c r="E114" s="99" t="s">
        <v>310</v>
      </c>
      <c r="F114" s="99" t="s">
        <v>311</v>
      </c>
      <c r="G114" s="118"/>
      <c r="H114" s="118"/>
      <c r="I114" s="118"/>
      <c r="J114" s="118"/>
      <c r="K114" s="118"/>
      <c r="L114" s="118"/>
      <c r="M114" s="118"/>
      <c r="N114" s="118"/>
      <c r="O114" s="116">
        <v>1.0</v>
      </c>
      <c r="P114" s="116">
        <v>1.0</v>
      </c>
      <c r="Q114" s="116">
        <v>1.0</v>
      </c>
      <c r="R114" s="118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115">
        <v>33.0</v>
      </c>
      <c r="B115" s="99" t="s">
        <v>312</v>
      </c>
      <c r="C115" s="116" t="s">
        <v>108</v>
      </c>
      <c r="D115" s="119">
        <v>45143.0</v>
      </c>
      <c r="E115" s="99" t="s">
        <v>310</v>
      </c>
      <c r="F115" s="99" t="s">
        <v>311</v>
      </c>
      <c r="G115" s="118"/>
      <c r="H115" s="118"/>
      <c r="I115" s="118"/>
      <c r="J115" s="118"/>
      <c r="K115" s="118"/>
      <c r="L115" s="118"/>
      <c r="M115" s="118"/>
      <c r="N115" s="118"/>
      <c r="O115" s="116">
        <v>1.0</v>
      </c>
      <c r="P115" s="116">
        <v>1.0</v>
      </c>
      <c r="Q115" s="116">
        <v>1.0</v>
      </c>
      <c r="R115" s="118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115">
        <v>34.0</v>
      </c>
      <c r="B116" s="99" t="s">
        <v>313</v>
      </c>
      <c r="C116" s="116" t="s">
        <v>108</v>
      </c>
      <c r="D116" s="119">
        <v>45169.0</v>
      </c>
      <c r="E116" s="99" t="s">
        <v>314</v>
      </c>
      <c r="F116" s="99" t="s">
        <v>315</v>
      </c>
      <c r="G116" s="116">
        <v>1.0</v>
      </c>
      <c r="H116" s="116">
        <v>1.0</v>
      </c>
      <c r="I116" s="116">
        <v>1.0</v>
      </c>
      <c r="J116" s="116">
        <v>1.0</v>
      </c>
      <c r="K116" s="118"/>
      <c r="L116" s="116">
        <v>1.0</v>
      </c>
      <c r="M116" s="118"/>
      <c r="N116" s="118"/>
      <c r="O116" s="116">
        <v>1.0</v>
      </c>
      <c r="P116" s="116">
        <v>1.0</v>
      </c>
      <c r="Q116" s="116">
        <v>1.0</v>
      </c>
      <c r="R116" s="118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115">
        <v>35.0</v>
      </c>
      <c r="B117" s="99" t="s">
        <v>316</v>
      </c>
      <c r="C117" s="116" t="s">
        <v>108</v>
      </c>
      <c r="D117" s="119">
        <v>45112.0</v>
      </c>
      <c r="E117" s="99" t="s">
        <v>166</v>
      </c>
      <c r="F117" s="99" t="s">
        <v>167</v>
      </c>
      <c r="G117" s="118"/>
      <c r="H117" s="116">
        <v>1.0</v>
      </c>
      <c r="I117" s="118"/>
      <c r="J117" s="118"/>
      <c r="K117" s="118"/>
      <c r="L117" s="118"/>
      <c r="M117" s="118"/>
      <c r="N117" s="118"/>
      <c r="O117" s="118"/>
      <c r="P117" s="118"/>
      <c r="Q117" s="116">
        <v>1.0</v>
      </c>
      <c r="R117" s="118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115">
        <v>36.0</v>
      </c>
      <c r="B118" s="99" t="s">
        <v>317</v>
      </c>
      <c r="C118" s="116" t="s">
        <v>108</v>
      </c>
      <c r="D118" s="119">
        <v>45092.0</v>
      </c>
      <c r="E118" s="99" t="s">
        <v>160</v>
      </c>
      <c r="F118" s="99" t="s">
        <v>245</v>
      </c>
      <c r="G118" s="118"/>
      <c r="H118" s="118"/>
      <c r="I118" s="118"/>
      <c r="J118" s="118"/>
      <c r="K118" s="118"/>
      <c r="L118" s="118"/>
      <c r="M118" s="118"/>
      <c r="N118" s="118"/>
      <c r="O118" s="116">
        <v>1.0</v>
      </c>
      <c r="P118" s="116">
        <v>1.0</v>
      </c>
      <c r="Q118" s="116">
        <v>1.0</v>
      </c>
      <c r="R118" s="118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115">
        <v>37.0</v>
      </c>
      <c r="B119" s="99" t="s">
        <v>318</v>
      </c>
      <c r="C119" s="116" t="s">
        <v>108</v>
      </c>
      <c r="D119" s="119">
        <v>44984.0</v>
      </c>
      <c r="E119" s="99" t="s">
        <v>319</v>
      </c>
      <c r="F119" s="99" t="s">
        <v>320</v>
      </c>
      <c r="G119" s="116">
        <v>1.0</v>
      </c>
      <c r="H119" s="116">
        <v>1.0</v>
      </c>
      <c r="I119" s="116">
        <v>1.0</v>
      </c>
      <c r="J119" s="116">
        <v>1.0</v>
      </c>
      <c r="K119" s="116">
        <v>1.0</v>
      </c>
      <c r="L119" s="116">
        <v>1.0</v>
      </c>
      <c r="M119" s="116">
        <v>1.0</v>
      </c>
      <c r="N119" s="116">
        <v>1.0</v>
      </c>
      <c r="O119" s="116">
        <v>1.0</v>
      </c>
      <c r="P119" s="116">
        <v>1.0</v>
      </c>
      <c r="Q119" s="116">
        <v>1.0</v>
      </c>
      <c r="R119" s="118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115">
        <v>38.0</v>
      </c>
      <c r="B120" s="99" t="s">
        <v>321</v>
      </c>
      <c r="C120" s="116" t="s">
        <v>107</v>
      </c>
      <c r="D120" s="119">
        <v>44993.0</v>
      </c>
      <c r="E120" s="99" t="s">
        <v>322</v>
      </c>
      <c r="F120" s="99" t="s">
        <v>323</v>
      </c>
      <c r="G120" s="116">
        <v>1.0</v>
      </c>
      <c r="H120" s="116">
        <v>1.0</v>
      </c>
      <c r="I120" s="116">
        <v>1.0</v>
      </c>
      <c r="J120" s="116">
        <v>1.0</v>
      </c>
      <c r="K120" s="116">
        <v>1.0</v>
      </c>
      <c r="L120" s="116">
        <v>1.0</v>
      </c>
      <c r="M120" s="116">
        <v>1.0</v>
      </c>
      <c r="N120" s="118"/>
      <c r="O120" s="116">
        <v>1.0</v>
      </c>
      <c r="P120" s="116">
        <v>1.0</v>
      </c>
      <c r="Q120" s="116">
        <v>1.0</v>
      </c>
      <c r="R120" s="118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115">
        <v>39.0</v>
      </c>
      <c r="B121" s="99" t="s">
        <v>324</v>
      </c>
      <c r="C121" s="116" t="s">
        <v>108</v>
      </c>
      <c r="D121" s="119">
        <v>44959.0</v>
      </c>
      <c r="E121" s="99" t="s">
        <v>325</v>
      </c>
      <c r="F121" s="99" t="s">
        <v>326</v>
      </c>
      <c r="G121" s="116">
        <v>1.0</v>
      </c>
      <c r="H121" s="116">
        <v>1.0</v>
      </c>
      <c r="I121" s="116">
        <v>1.0</v>
      </c>
      <c r="J121" s="116">
        <v>1.0</v>
      </c>
      <c r="K121" s="116">
        <v>1.0</v>
      </c>
      <c r="L121" s="116">
        <v>1.0</v>
      </c>
      <c r="M121" s="118"/>
      <c r="N121" s="116">
        <v>1.0</v>
      </c>
      <c r="O121" s="116">
        <v>1.0</v>
      </c>
      <c r="P121" s="116">
        <v>1.0</v>
      </c>
      <c r="Q121" s="116">
        <v>1.0</v>
      </c>
      <c r="R121" s="118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115">
        <v>40.0</v>
      </c>
      <c r="B122" s="99" t="s">
        <v>327</v>
      </c>
      <c r="C122" s="116" t="s">
        <v>107</v>
      </c>
      <c r="D122" s="117">
        <v>44853.0</v>
      </c>
      <c r="E122" s="99" t="s">
        <v>328</v>
      </c>
      <c r="F122" s="99" t="s">
        <v>329</v>
      </c>
      <c r="G122" s="116">
        <v>1.0</v>
      </c>
      <c r="H122" s="116">
        <v>1.0</v>
      </c>
      <c r="I122" s="116">
        <v>1.0</v>
      </c>
      <c r="J122" s="118"/>
      <c r="K122" s="116">
        <v>1.0</v>
      </c>
      <c r="L122" s="116">
        <v>1.0</v>
      </c>
      <c r="M122" s="116">
        <v>1.0</v>
      </c>
      <c r="N122" s="116">
        <v>1.0</v>
      </c>
      <c r="O122" s="116">
        <v>1.0</v>
      </c>
      <c r="P122" s="116">
        <v>1.0</v>
      </c>
      <c r="Q122" s="116">
        <v>1.0</v>
      </c>
      <c r="R122" s="118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115">
        <v>41.0</v>
      </c>
      <c r="B123" s="99" t="s">
        <v>330</v>
      </c>
      <c r="C123" s="116" t="s">
        <v>108</v>
      </c>
      <c r="D123" s="117">
        <v>44559.0</v>
      </c>
      <c r="E123" s="99" t="s">
        <v>331</v>
      </c>
      <c r="F123" s="99" t="s">
        <v>332</v>
      </c>
      <c r="G123" s="118"/>
      <c r="H123" s="116">
        <v>1.0</v>
      </c>
      <c r="I123" s="118"/>
      <c r="J123" s="118"/>
      <c r="K123" s="118"/>
      <c r="L123" s="118"/>
      <c r="M123" s="118"/>
      <c r="N123" s="118"/>
      <c r="O123" s="118"/>
      <c r="P123" s="118"/>
      <c r="Q123" s="116">
        <v>1.0</v>
      </c>
      <c r="R123" s="118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115">
        <v>42.0</v>
      </c>
      <c r="B124" s="99" t="s">
        <v>333</v>
      </c>
      <c r="C124" s="116" t="s">
        <v>108</v>
      </c>
      <c r="D124" s="119">
        <v>44824.0</v>
      </c>
      <c r="E124" s="99" t="s">
        <v>334</v>
      </c>
      <c r="F124" s="99" t="s">
        <v>335</v>
      </c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115">
        <v>43.0</v>
      </c>
      <c r="B125" s="99" t="s">
        <v>336</v>
      </c>
      <c r="C125" s="116" t="s">
        <v>107</v>
      </c>
      <c r="D125" s="119">
        <v>44770.0</v>
      </c>
      <c r="E125" s="99" t="s">
        <v>337</v>
      </c>
      <c r="F125" s="99" t="s">
        <v>338</v>
      </c>
      <c r="G125" s="116">
        <v>1.0</v>
      </c>
      <c r="H125" s="116">
        <v>1.0</v>
      </c>
      <c r="I125" s="116">
        <v>1.0</v>
      </c>
      <c r="J125" s="116">
        <v>1.0</v>
      </c>
      <c r="K125" s="116">
        <v>1.0</v>
      </c>
      <c r="L125" s="116">
        <v>1.0</v>
      </c>
      <c r="M125" s="116">
        <v>1.0</v>
      </c>
      <c r="N125" s="118"/>
      <c r="O125" s="116">
        <v>1.0</v>
      </c>
      <c r="P125" s="116">
        <v>1.0</v>
      </c>
      <c r="Q125" s="116">
        <v>1.0</v>
      </c>
      <c r="R125" s="118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115">
        <v>44.0</v>
      </c>
      <c r="B126" s="99" t="s">
        <v>339</v>
      </c>
      <c r="C126" s="116" t="s">
        <v>107</v>
      </c>
      <c r="D126" s="119">
        <v>44726.0</v>
      </c>
      <c r="E126" s="99" t="s">
        <v>340</v>
      </c>
      <c r="F126" s="99" t="s">
        <v>341</v>
      </c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115">
        <v>45.0</v>
      </c>
      <c r="B127" s="99" t="s">
        <v>342</v>
      </c>
      <c r="C127" s="116" t="s">
        <v>108</v>
      </c>
      <c r="D127" s="119">
        <v>44687.0</v>
      </c>
      <c r="E127" s="99" t="s">
        <v>343</v>
      </c>
      <c r="F127" s="99" t="s">
        <v>344</v>
      </c>
      <c r="G127" s="116">
        <v>1.0</v>
      </c>
      <c r="H127" s="116">
        <v>1.0</v>
      </c>
      <c r="I127" s="116">
        <v>1.0</v>
      </c>
      <c r="J127" s="118"/>
      <c r="K127" s="116">
        <v>1.0</v>
      </c>
      <c r="L127" s="118"/>
      <c r="M127" s="116">
        <v>1.0</v>
      </c>
      <c r="N127" s="118"/>
      <c r="O127" s="116">
        <v>1.0</v>
      </c>
      <c r="P127" s="116">
        <v>1.0</v>
      </c>
      <c r="Q127" s="116">
        <v>1.0</v>
      </c>
      <c r="R127" s="118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115">
        <v>46.0</v>
      </c>
      <c r="B128" s="99" t="s">
        <v>345</v>
      </c>
      <c r="C128" s="116" t="s">
        <v>108</v>
      </c>
      <c r="D128" s="119">
        <v>44799.0</v>
      </c>
      <c r="E128" s="99" t="s">
        <v>304</v>
      </c>
      <c r="F128" s="99" t="s">
        <v>305</v>
      </c>
      <c r="G128" s="116">
        <v>1.0</v>
      </c>
      <c r="H128" s="118"/>
      <c r="I128" s="118"/>
      <c r="J128" s="118"/>
      <c r="K128" s="118"/>
      <c r="L128" s="116">
        <v>1.0</v>
      </c>
      <c r="M128" s="118"/>
      <c r="N128" s="118"/>
      <c r="O128" s="116">
        <v>1.0</v>
      </c>
      <c r="P128" s="116">
        <v>1.0</v>
      </c>
      <c r="Q128" s="116">
        <v>1.0</v>
      </c>
      <c r="R128" s="118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115">
        <v>47.0</v>
      </c>
      <c r="B129" s="99" t="s">
        <v>346</v>
      </c>
      <c r="C129" s="116" t="s">
        <v>108</v>
      </c>
      <c r="D129" s="119">
        <v>44565.0</v>
      </c>
      <c r="E129" s="99" t="s">
        <v>347</v>
      </c>
      <c r="F129" s="99" t="s">
        <v>348</v>
      </c>
      <c r="G129" s="118"/>
      <c r="H129" s="118"/>
      <c r="I129" s="118"/>
      <c r="J129" s="118"/>
      <c r="K129" s="118"/>
      <c r="L129" s="118"/>
      <c r="M129" s="118"/>
      <c r="N129" s="118"/>
      <c r="O129" s="116">
        <v>1.0</v>
      </c>
      <c r="P129" s="118"/>
      <c r="Q129" s="116">
        <v>1.0</v>
      </c>
      <c r="R129" s="118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115">
        <v>48.0</v>
      </c>
      <c r="B130" s="99" t="s">
        <v>349</v>
      </c>
      <c r="C130" s="116" t="s">
        <v>108</v>
      </c>
      <c r="D130" s="119">
        <v>44567.0</v>
      </c>
      <c r="E130" s="99" t="s">
        <v>319</v>
      </c>
      <c r="F130" s="99" t="s">
        <v>350</v>
      </c>
      <c r="G130" s="116">
        <v>1.0</v>
      </c>
      <c r="H130" s="116">
        <v>1.0</v>
      </c>
      <c r="I130" s="118"/>
      <c r="J130" s="118"/>
      <c r="K130" s="118"/>
      <c r="L130" s="118"/>
      <c r="M130" s="118"/>
      <c r="N130" s="118"/>
      <c r="O130" s="118"/>
      <c r="P130" s="116">
        <v>1.0</v>
      </c>
      <c r="Q130" s="116">
        <v>1.0</v>
      </c>
      <c r="R130" s="118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115">
        <v>49.0</v>
      </c>
      <c r="B131" s="99" t="s">
        <v>351</v>
      </c>
      <c r="C131" s="116" t="s">
        <v>107</v>
      </c>
      <c r="D131" s="119">
        <v>44472.0</v>
      </c>
      <c r="E131" s="99" t="s">
        <v>352</v>
      </c>
      <c r="F131" s="99" t="s">
        <v>353</v>
      </c>
      <c r="G131" s="116">
        <v>1.0</v>
      </c>
      <c r="H131" s="116">
        <v>1.0</v>
      </c>
      <c r="I131" s="116">
        <v>1.0</v>
      </c>
      <c r="J131" s="116">
        <v>1.0</v>
      </c>
      <c r="K131" s="116">
        <v>1.0</v>
      </c>
      <c r="L131" s="118"/>
      <c r="M131" s="118"/>
      <c r="N131" s="116">
        <v>1.0</v>
      </c>
      <c r="O131" s="116">
        <v>1.0</v>
      </c>
      <c r="P131" s="116">
        <v>1.0</v>
      </c>
      <c r="Q131" s="116">
        <v>1.0</v>
      </c>
      <c r="R131" s="118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115">
        <v>50.0</v>
      </c>
      <c r="B132" s="99" t="s">
        <v>354</v>
      </c>
      <c r="C132" s="116" t="s">
        <v>108</v>
      </c>
      <c r="D132" s="119">
        <v>44466.0</v>
      </c>
      <c r="E132" s="99" t="s">
        <v>243</v>
      </c>
      <c r="F132" s="99" t="s">
        <v>355</v>
      </c>
      <c r="G132" s="116">
        <v>1.0</v>
      </c>
      <c r="H132" s="118"/>
      <c r="I132" s="118"/>
      <c r="J132" s="118"/>
      <c r="K132" s="116">
        <v>1.0</v>
      </c>
      <c r="L132" s="118"/>
      <c r="M132" s="118"/>
      <c r="N132" s="116">
        <v>1.0</v>
      </c>
      <c r="O132" s="116">
        <v>1.0</v>
      </c>
      <c r="P132" s="118"/>
      <c r="Q132" s="116">
        <v>1.0</v>
      </c>
      <c r="R132" s="118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115">
        <v>51.0</v>
      </c>
      <c r="B133" s="99" t="s">
        <v>356</v>
      </c>
      <c r="C133" s="116" t="s">
        <v>108</v>
      </c>
      <c r="D133" s="119">
        <v>44456.0</v>
      </c>
      <c r="E133" s="99" t="s">
        <v>357</v>
      </c>
      <c r="F133" s="99" t="s">
        <v>358</v>
      </c>
      <c r="G133" s="116">
        <v>1.0</v>
      </c>
      <c r="H133" s="116">
        <v>1.0</v>
      </c>
      <c r="I133" s="116">
        <v>1.0</v>
      </c>
      <c r="J133" s="118"/>
      <c r="K133" s="118"/>
      <c r="L133" s="118"/>
      <c r="M133" s="118"/>
      <c r="N133" s="116">
        <v>1.0</v>
      </c>
      <c r="O133" s="116">
        <v>1.0</v>
      </c>
      <c r="P133" s="118"/>
      <c r="Q133" s="116">
        <v>1.0</v>
      </c>
      <c r="R133" s="118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115">
        <v>52.0</v>
      </c>
      <c r="B134" s="99" t="s">
        <v>359</v>
      </c>
      <c r="C134" s="116" t="s">
        <v>107</v>
      </c>
      <c r="D134" s="119">
        <v>44418.0</v>
      </c>
      <c r="E134" s="99" t="s">
        <v>258</v>
      </c>
      <c r="F134" s="99" t="s">
        <v>259</v>
      </c>
      <c r="G134" s="116">
        <v>1.0</v>
      </c>
      <c r="H134" s="116">
        <v>1.0</v>
      </c>
      <c r="I134" s="116">
        <v>1.0</v>
      </c>
      <c r="J134" s="116">
        <v>1.0</v>
      </c>
      <c r="K134" s="116">
        <v>1.0</v>
      </c>
      <c r="L134" s="116">
        <v>1.0</v>
      </c>
      <c r="M134" s="116">
        <v>1.0</v>
      </c>
      <c r="N134" s="116">
        <v>1.0</v>
      </c>
      <c r="O134" s="116">
        <v>1.0</v>
      </c>
      <c r="P134" s="118"/>
      <c r="Q134" s="116">
        <v>1.0</v>
      </c>
      <c r="R134" s="118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115">
        <v>53.0</v>
      </c>
      <c r="B135" s="99" t="s">
        <v>360</v>
      </c>
      <c r="C135" s="116" t="s">
        <v>108</v>
      </c>
      <c r="D135" s="117">
        <v>44497.0</v>
      </c>
      <c r="E135" s="99" t="s">
        <v>361</v>
      </c>
      <c r="F135" s="99" t="s">
        <v>362</v>
      </c>
      <c r="G135" s="118"/>
      <c r="H135" s="116">
        <v>1.0</v>
      </c>
      <c r="I135" s="118"/>
      <c r="J135" s="118"/>
      <c r="K135" s="118"/>
      <c r="L135" s="118"/>
      <c r="M135" s="118"/>
      <c r="N135" s="118"/>
      <c r="O135" s="116">
        <v>1.0</v>
      </c>
      <c r="P135" s="118"/>
      <c r="Q135" s="116">
        <v>1.0</v>
      </c>
      <c r="R135" s="118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115">
        <v>54.0</v>
      </c>
      <c r="B136" s="99" t="s">
        <v>363</v>
      </c>
      <c r="C136" s="116" t="s">
        <v>107</v>
      </c>
      <c r="D136" s="119">
        <v>44282.0</v>
      </c>
      <c r="E136" s="99" t="s">
        <v>364</v>
      </c>
      <c r="F136" s="99" t="s">
        <v>365</v>
      </c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115">
        <v>55.0</v>
      </c>
      <c r="B137" s="99" t="s">
        <v>366</v>
      </c>
      <c r="C137" s="116" t="s">
        <v>107</v>
      </c>
      <c r="D137" s="119">
        <v>44312.0</v>
      </c>
      <c r="E137" s="99" t="s">
        <v>367</v>
      </c>
      <c r="F137" s="99" t="s">
        <v>368</v>
      </c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115">
        <v>56.0</v>
      </c>
      <c r="B138" s="99" t="s">
        <v>369</v>
      </c>
      <c r="C138" s="116" t="s">
        <v>108</v>
      </c>
      <c r="D138" s="119">
        <v>44406.0</v>
      </c>
      <c r="E138" s="99" t="s">
        <v>370</v>
      </c>
      <c r="F138" s="99" t="s">
        <v>371</v>
      </c>
      <c r="G138" s="116">
        <v>1.0</v>
      </c>
      <c r="H138" s="116">
        <v>1.0</v>
      </c>
      <c r="I138" s="116">
        <v>1.0</v>
      </c>
      <c r="J138" s="116">
        <v>1.0</v>
      </c>
      <c r="K138" s="116">
        <v>1.0</v>
      </c>
      <c r="L138" s="118"/>
      <c r="M138" s="118"/>
      <c r="N138" s="118"/>
      <c r="O138" s="116">
        <v>1.0</v>
      </c>
      <c r="P138" s="116">
        <v>1.0</v>
      </c>
      <c r="Q138" s="118"/>
      <c r="R138" s="118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115">
        <v>57.0</v>
      </c>
      <c r="B139" s="99" t="s">
        <v>372</v>
      </c>
      <c r="C139" s="116" t="s">
        <v>108</v>
      </c>
      <c r="D139" s="119">
        <v>44275.0</v>
      </c>
      <c r="E139" s="99" t="s">
        <v>373</v>
      </c>
      <c r="F139" s="99" t="s">
        <v>374</v>
      </c>
      <c r="G139" s="118"/>
      <c r="H139" s="118"/>
      <c r="I139" s="118"/>
      <c r="J139" s="118"/>
      <c r="K139" s="118"/>
      <c r="L139" s="118"/>
      <c r="M139" s="118"/>
      <c r="N139" s="118"/>
      <c r="O139" s="118"/>
      <c r="P139" s="116">
        <v>1.0</v>
      </c>
      <c r="Q139" s="116">
        <v>1.0</v>
      </c>
      <c r="R139" s="118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115">
        <v>58.0</v>
      </c>
      <c r="B140" s="99" t="s">
        <v>375</v>
      </c>
      <c r="C140" s="116" t="s">
        <v>108</v>
      </c>
      <c r="D140" s="119">
        <v>44312.0</v>
      </c>
      <c r="E140" s="99" t="s">
        <v>376</v>
      </c>
      <c r="F140" s="99" t="s">
        <v>377</v>
      </c>
      <c r="G140" s="118"/>
      <c r="H140" s="118"/>
      <c r="I140" s="118"/>
      <c r="J140" s="118"/>
      <c r="K140" s="118"/>
      <c r="L140" s="118"/>
      <c r="M140" s="118"/>
      <c r="N140" s="118"/>
      <c r="O140" s="118"/>
      <c r="P140" s="116">
        <v>1.0</v>
      </c>
      <c r="Q140" s="116">
        <v>1.0</v>
      </c>
      <c r="R140" s="118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115">
        <v>59.0</v>
      </c>
      <c r="B141" s="99" t="s">
        <v>378</v>
      </c>
      <c r="C141" s="116" t="s">
        <v>107</v>
      </c>
      <c r="D141" s="119">
        <v>44309.0</v>
      </c>
      <c r="E141" s="99" t="s">
        <v>379</v>
      </c>
      <c r="F141" s="99" t="s">
        <v>380</v>
      </c>
      <c r="G141" s="118"/>
      <c r="H141" s="118"/>
      <c r="I141" s="118"/>
      <c r="J141" s="118"/>
      <c r="K141" s="118"/>
      <c r="L141" s="118"/>
      <c r="M141" s="116">
        <v>1.0</v>
      </c>
      <c r="N141" s="118"/>
      <c r="O141" s="118"/>
      <c r="P141" s="118"/>
      <c r="Q141" s="118"/>
      <c r="R141" s="118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115">
        <v>60.0</v>
      </c>
      <c r="B142" s="99" t="s">
        <v>381</v>
      </c>
      <c r="C142" s="116" t="s">
        <v>107</v>
      </c>
      <c r="D142" s="119">
        <v>44273.0</v>
      </c>
      <c r="E142" s="99" t="s">
        <v>298</v>
      </c>
      <c r="F142" s="99" t="s">
        <v>299</v>
      </c>
      <c r="G142" s="116">
        <v>1.0</v>
      </c>
      <c r="H142" s="116">
        <v>1.0</v>
      </c>
      <c r="I142" s="116">
        <v>1.0</v>
      </c>
      <c r="J142" s="116">
        <v>1.0</v>
      </c>
      <c r="K142" s="118"/>
      <c r="L142" s="118"/>
      <c r="M142" s="118"/>
      <c r="N142" s="118"/>
      <c r="O142" s="118"/>
      <c r="P142" s="118"/>
      <c r="Q142" s="118"/>
      <c r="R142" s="118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115">
        <v>61.0</v>
      </c>
      <c r="B143" s="99" t="s">
        <v>382</v>
      </c>
      <c r="C143" s="116" t="s">
        <v>108</v>
      </c>
      <c r="D143" s="119">
        <v>44204.0</v>
      </c>
      <c r="E143" s="99" t="s">
        <v>383</v>
      </c>
      <c r="F143" s="99" t="s">
        <v>384</v>
      </c>
      <c r="G143" s="116">
        <v>1.0</v>
      </c>
      <c r="H143" s="116">
        <v>1.0</v>
      </c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115">
        <v>62.0</v>
      </c>
      <c r="B144" s="99" t="s">
        <v>385</v>
      </c>
      <c r="C144" s="116" t="s">
        <v>108</v>
      </c>
      <c r="D144" s="119">
        <v>44171.0</v>
      </c>
      <c r="E144" s="99" t="s">
        <v>386</v>
      </c>
      <c r="F144" s="99" t="s">
        <v>387</v>
      </c>
      <c r="G144" s="118"/>
      <c r="H144" s="118"/>
      <c r="I144" s="118"/>
      <c r="J144" s="118"/>
      <c r="K144" s="118"/>
      <c r="L144" s="118"/>
      <c r="M144" s="118"/>
      <c r="N144" s="118"/>
      <c r="O144" s="118"/>
      <c r="P144" s="116">
        <v>1.0</v>
      </c>
      <c r="Q144" s="116">
        <v>1.0</v>
      </c>
      <c r="R144" s="118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115">
        <v>63.0</v>
      </c>
      <c r="B145" s="99" t="s">
        <v>388</v>
      </c>
      <c r="C145" s="116" t="s">
        <v>108</v>
      </c>
      <c r="D145" s="119">
        <v>44173.0</v>
      </c>
      <c r="E145" s="99" t="s">
        <v>270</v>
      </c>
      <c r="F145" s="99" t="s">
        <v>271</v>
      </c>
      <c r="G145" s="116">
        <v>1.0</v>
      </c>
      <c r="H145" s="116">
        <v>1.0</v>
      </c>
      <c r="I145" s="118"/>
      <c r="J145" s="116">
        <v>1.0</v>
      </c>
      <c r="K145" s="116">
        <v>1.0</v>
      </c>
      <c r="L145" s="118"/>
      <c r="M145" s="118"/>
      <c r="N145" s="118"/>
      <c r="O145" s="118"/>
      <c r="P145" s="116">
        <v>1.0</v>
      </c>
      <c r="Q145" s="116">
        <v>1.0</v>
      </c>
      <c r="R145" s="118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115">
        <v>64.0</v>
      </c>
      <c r="B146" s="99" t="s">
        <v>389</v>
      </c>
      <c r="C146" s="116" t="s">
        <v>107</v>
      </c>
      <c r="D146" s="117">
        <v>44134.0</v>
      </c>
      <c r="E146" s="99" t="s">
        <v>390</v>
      </c>
      <c r="F146" s="99" t="s">
        <v>391</v>
      </c>
      <c r="G146" s="116">
        <v>1.0</v>
      </c>
      <c r="H146" s="116">
        <v>1.0</v>
      </c>
      <c r="I146" s="118"/>
      <c r="J146" s="116">
        <v>1.0</v>
      </c>
      <c r="K146" s="116">
        <v>1.0</v>
      </c>
      <c r="L146" s="118"/>
      <c r="M146" s="118"/>
      <c r="N146" s="116">
        <v>1.0</v>
      </c>
      <c r="O146" s="116">
        <v>1.0</v>
      </c>
      <c r="P146" s="116">
        <v>1.0</v>
      </c>
      <c r="Q146" s="118"/>
      <c r="R146" s="118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115">
        <v>65.0</v>
      </c>
      <c r="B147" s="99" t="s">
        <v>392</v>
      </c>
      <c r="C147" s="116" t="s">
        <v>108</v>
      </c>
      <c r="D147" s="119">
        <v>44105.0</v>
      </c>
      <c r="E147" s="99" t="s">
        <v>176</v>
      </c>
      <c r="F147" s="99" t="s">
        <v>177</v>
      </c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115">
        <v>66.0</v>
      </c>
      <c r="B148" s="99" t="s">
        <v>393</v>
      </c>
      <c r="C148" s="116" t="s">
        <v>108</v>
      </c>
      <c r="D148" s="119">
        <v>44059.0</v>
      </c>
      <c r="E148" s="99" t="s">
        <v>394</v>
      </c>
      <c r="F148" s="99" t="s">
        <v>395</v>
      </c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115">
        <v>67.0</v>
      </c>
      <c r="B149" s="99" t="s">
        <v>396</v>
      </c>
      <c r="C149" s="116" t="s">
        <v>108</v>
      </c>
      <c r="D149" s="119">
        <v>44004.0</v>
      </c>
      <c r="E149" s="99" t="s">
        <v>397</v>
      </c>
      <c r="F149" s="99" t="s">
        <v>398</v>
      </c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115">
        <v>68.0</v>
      </c>
      <c r="B150" s="99" t="s">
        <v>399</v>
      </c>
      <c r="C150" s="116" t="s">
        <v>108</v>
      </c>
      <c r="D150" s="119">
        <v>43997.0</v>
      </c>
      <c r="E150" s="99" t="s">
        <v>400</v>
      </c>
      <c r="F150" s="99" t="s">
        <v>401</v>
      </c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115">
        <v>69.0</v>
      </c>
      <c r="B151" s="99" t="s">
        <v>402</v>
      </c>
      <c r="C151" s="116" t="s">
        <v>108</v>
      </c>
      <c r="D151" s="119">
        <v>43939.0</v>
      </c>
      <c r="E151" s="99" t="s">
        <v>403</v>
      </c>
      <c r="F151" s="99" t="s">
        <v>404</v>
      </c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115">
        <v>70.0</v>
      </c>
      <c r="B152" s="99" t="s">
        <v>405</v>
      </c>
      <c r="C152" s="116" t="s">
        <v>108</v>
      </c>
      <c r="D152" s="119">
        <v>43919.0</v>
      </c>
      <c r="E152" s="99" t="s">
        <v>406</v>
      </c>
      <c r="F152" s="99" t="s">
        <v>407</v>
      </c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115">
        <v>71.0</v>
      </c>
      <c r="B153" s="99" t="s">
        <v>408</v>
      </c>
      <c r="C153" s="116" t="s">
        <v>107</v>
      </c>
      <c r="D153" s="119">
        <v>43901.0</v>
      </c>
      <c r="E153" s="99" t="s">
        <v>409</v>
      </c>
      <c r="F153" s="99" t="s">
        <v>410</v>
      </c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115">
        <v>72.0</v>
      </c>
      <c r="B154" s="99" t="s">
        <v>411</v>
      </c>
      <c r="C154" s="116" t="s">
        <v>107</v>
      </c>
      <c r="D154" s="119">
        <v>43901.0</v>
      </c>
      <c r="E154" s="99" t="s">
        <v>409</v>
      </c>
      <c r="F154" s="99" t="s">
        <v>410</v>
      </c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115">
        <v>73.0</v>
      </c>
      <c r="B155" s="99" t="s">
        <v>412</v>
      </c>
      <c r="C155" s="116" t="s">
        <v>107</v>
      </c>
      <c r="D155" s="119">
        <v>43893.0</v>
      </c>
      <c r="E155" s="99" t="s">
        <v>413</v>
      </c>
      <c r="F155" s="99" t="s">
        <v>414</v>
      </c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115">
        <v>74.0</v>
      </c>
      <c r="B156" s="99" t="s">
        <v>415</v>
      </c>
      <c r="C156" s="116" t="s">
        <v>108</v>
      </c>
      <c r="D156" s="119">
        <v>43862.0</v>
      </c>
      <c r="E156" s="99" t="s">
        <v>416</v>
      </c>
      <c r="F156" s="99" t="s">
        <v>417</v>
      </c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115">
        <v>75.0</v>
      </c>
      <c r="B157" s="99" t="s">
        <v>418</v>
      </c>
      <c r="C157" s="116" t="s">
        <v>107</v>
      </c>
      <c r="D157" s="119">
        <v>43847.0</v>
      </c>
      <c r="E157" s="99" t="s">
        <v>419</v>
      </c>
      <c r="F157" s="99" t="s">
        <v>420</v>
      </c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115">
        <v>76.0</v>
      </c>
      <c r="B158" s="99" t="s">
        <v>421</v>
      </c>
      <c r="C158" s="116" t="s">
        <v>107</v>
      </c>
      <c r="D158" s="119">
        <v>43847.0</v>
      </c>
      <c r="E158" s="99" t="s">
        <v>422</v>
      </c>
      <c r="F158" s="99" t="s">
        <v>423</v>
      </c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115">
        <v>77.0</v>
      </c>
      <c r="B159" s="99" t="s">
        <v>424</v>
      </c>
      <c r="C159" s="116" t="s">
        <v>107</v>
      </c>
      <c r="D159" s="117">
        <v>43799.0</v>
      </c>
      <c r="E159" s="99" t="s">
        <v>425</v>
      </c>
      <c r="F159" s="99" t="s">
        <v>426</v>
      </c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115">
        <v>78.0</v>
      </c>
      <c r="B160" s="99" t="s">
        <v>427</v>
      </c>
      <c r="C160" s="116" t="s">
        <v>108</v>
      </c>
      <c r="D160" s="119">
        <v>43774.0</v>
      </c>
      <c r="E160" s="99" t="s">
        <v>343</v>
      </c>
      <c r="F160" s="99" t="s">
        <v>344</v>
      </c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115">
        <v>79.0</v>
      </c>
      <c r="B161" s="99" t="s">
        <v>428</v>
      </c>
      <c r="C161" s="116" t="s">
        <v>107</v>
      </c>
      <c r="D161" s="119">
        <v>43736.0</v>
      </c>
      <c r="E161" s="99" t="s">
        <v>255</v>
      </c>
      <c r="F161" s="99" t="s">
        <v>256</v>
      </c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115">
        <v>80.0</v>
      </c>
      <c r="B162" s="99" t="s">
        <v>429</v>
      </c>
      <c r="C162" s="116" t="s">
        <v>107</v>
      </c>
      <c r="D162" s="119">
        <v>43700.0</v>
      </c>
      <c r="E162" s="99" t="s">
        <v>430</v>
      </c>
      <c r="F162" s="99" t="s">
        <v>431</v>
      </c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115">
        <v>81.0</v>
      </c>
      <c r="B163" s="99" t="s">
        <v>432</v>
      </c>
      <c r="C163" s="116" t="s">
        <v>108</v>
      </c>
      <c r="D163" s="119">
        <v>43673.0</v>
      </c>
      <c r="E163" s="99" t="s">
        <v>307</v>
      </c>
      <c r="F163" s="99" t="s">
        <v>308</v>
      </c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115">
        <v>82.0</v>
      </c>
      <c r="B164" s="99" t="s">
        <v>433</v>
      </c>
      <c r="C164" s="116" t="s">
        <v>107</v>
      </c>
      <c r="D164" s="119">
        <v>43577.0</v>
      </c>
      <c r="E164" s="99" t="s">
        <v>434</v>
      </c>
      <c r="F164" s="99" t="s">
        <v>435</v>
      </c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115">
        <v>83.0</v>
      </c>
      <c r="B165" s="99" t="s">
        <v>436</v>
      </c>
      <c r="C165" s="116" t="s">
        <v>107</v>
      </c>
      <c r="D165" s="119">
        <v>43549.0</v>
      </c>
      <c r="E165" s="99" t="s">
        <v>437</v>
      </c>
      <c r="F165" s="99" t="s">
        <v>438</v>
      </c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115">
        <v>84.0</v>
      </c>
      <c r="B166" s="99" t="s">
        <v>439</v>
      </c>
      <c r="C166" s="116" t="s">
        <v>108</v>
      </c>
      <c r="D166" s="119">
        <v>43534.0</v>
      </c>
      <c r="E166" s="99" t="s">
        <v>440</v>
      </c>
      <c r="F166" s="99" t="s">
        <v>441</v>
      </c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115">
        <v>85.0</v>
      </c>
      <c r="B167" s="99" t="s">
        <v>442</v>
      </c>
      <c r="C167" s="116" t="s">
        <v>107</v>
      </c>
      <c r="D167" s="119">
        <v>43541.0</v>
      </c>
      <c r="E167" s="99" t="s">
        <v>443</v>
      </c>
      <c r="F167" s="99" t="s">
        <v>444</v>
      </c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115">
        <v>86.0</v>
      </c>
      <c r="B168" s="99" t="s">
        <v>445</v>
      </c>
      <c r="C168" s="116" t="s">
        <v>107</v>
      </c>
      <c r="D168" s="119">
        <v>43505.0</v>
      </c>
      <c r="E168" s="99" t="s">
        <v>446</v>
      </c>
      <c r="F168" s="99" t="s">
        <v>447</v>
      </c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115">
        <v>87.0</v>
      </c>
      <c r="B169" s="99" t="s">
        <v>448</v>
      </c>
      <c r="C169" s="116" t="s">
        <v>108</v>
      </c>
      <c r="D169" s="119">
        <v>43476.0</v>
      </c>
      <c r="E169" s="99" t="s">
        <v>449</v>
      </c>
      <c r="F169" s="99" t="s">
        <v>450</v>
      </c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115">
        <v>88.0</v>
      </c>
      <c r="B170" s="99" t="s">
        <v>201</v>
      </c>
      <c r="C170" s="116" t="s">
        <v>108</v>
      </c>
      <c r="D170" s="119">
        <v>45320.0</v>
      </c>
      <c r="E170" s="124" t="s">
        <v>199</v>
      </c>
      <c r="F170" s="125" t="s">
        <v>200</v>
      </c>
      <c r="G170" s="126">
        <v>1.0</v>
      </c>
      <c r="H170" s="127">
        <v>1.0</v>
      </c>
      <c r="I170" s="127">
        <v>1.0</v>
      </c>
      <c r="J170" s="127">
        <v>1.0</v>
      </c>
      <c r="K170" s="127">
        <v>1.0</v>
      </c>
      <c r="L170" s="128"/>
      <c r="M170" s="127">
        <v>1.0</v>
      </c>
      <c r="N170" s="127">
        <v>1.0</v>
      </c>
      <c r="O170" s="127">
        <v>1.0</v>
      </c>
      <c r="P170" s="128"/>
      <c r="Q170" s="127">
        <v>1.0</v>
      </c>
      <c r="R170" s="128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115">
        <v>89.0</v>
      </c>
      <c r="B171" s="99" t="s">
        <v>204</v>
      </c>
      <c r="C171" s="116" t="s">
        <v>108</v>
      </c>
      <c r="D171" s="119">
        <v>45362.0</v>
      </c>
      <c r="E171" s="124" t="s">
        <v>202</v>
      </c>
      <c r="F171" s="129" t="s">
        <v>203</v>
      </c>
      <c r="G171" s="126">
        <v>1.0</v>
      </c>
      <c r="H171" s="126">
        <v>1.0</v>
      </c>
      <c r="I171" s="126">
        <v>1.0</v>
      </c>
      <c r="J171" s="126">
        <v>1.0</v>
      </c>
      <c r="K171" s="130"/>
      <c r="L171" s="126">
        <v>1.0</v>
      </c>
      <c r="M171" s="126">
        <v>1.0</v>
      </c>
      <c r="N171" s="126">
        <v>1.0</v>
      </c>
      <c r="O171" s="126">
        <v>1.0</v>
      </c>
      <c r="P171" s="126">
        <v>1.0</v>
      </c>
      <c r="Q171" s="126">
        <v>1.0</v>
      </c>
      <c r="R171" s="130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115">
        <v>90.0</v>
      </c>
      <c r="B172" s="99" t="s">
        <v>207</v>
      </c>
      <c r="C172" s="116" t="s">
        <v>108</v>
      </c>
      <c r="D172" s="119">
        <v>45838.0</v>
      </c>
      <c r="E172" s="124" t="s">
        <v>205</v>
      </c>
      <c r="F172" s="129" t="s">
        <v>206</v>
      </c>
      <c r="G172" s="130"/>
      <c r="H172" s="126">
        <v>1.0</v>
      </c>
      <c r="I172" s="126">
        <v>1.0</v>
      </c>
      <c r="J172" s="126">
        <v>1.0</v>
      </c>
      <c r="K172" s="126">
        <v>1.0</v>
      </c>
      <c r="L172" s="130"/>
      <c r="M172" s="126">
        <v>1.0</v>
      </c>
      <c r="N172" s="126">
        <v>1.0</v>
      </c>
      <c r="O172" s="126">
        <v>1.0</v>
      </c>
      <c r="P172" s="126">
        <v>1.0</v>
      </c>
      <c r="Q172" s="126">
        <v>1.0</v>
      </c>
      <c r="R172" s="130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115">
        <v>91.0</v>
      </c>
      <c r="B173" s="99" t="s">
        <v>210</v>
      </c>
      <c r="C173" s="116" t="s">
        <v>107</v>
      </c>
      <c r="D173" s="119">
        <v>45496.0</v>
      </c>
      <c r="E173" s="124" t="s">
        <v>208</v>
      </c>
      <c r="F173" s="129" t="s">
        <v>209</v>
      </c>
      <c r="G173" s="130"/>
      <c r="H173" s="126">
        <v>1.0</v>
      </c>
      <c r="I173" s="126">
        <v>1.0</v>
      </c>
      <c r="J173" s="126">
        <v>1.0</v>
      </c>
      <c r="K173" s="126">
        <v>1.0</v>
      </c>
      <c r="L173" s="126">
        <v>1.0</v>
      </c>
      <c r="M173" s="126">
        <v>1.0</v>
      </c>
      <c r="N173" s="126">
        <v>1.0</v>
      </c>
      <c r="O173" s="126">
        <v>1.0</v>
      </c>
      <c r="P173" s="126">
        <v>1.0</v>
      </c>
      <c r="Q173" s="126">
        <v>1.0</v>
      </c>
      <c r="R173" s="130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115">
        <v>92.0</v>
      </c>
      <c r="B174" s="99" t="s">
        <v>213</v>
      </c>
      <c r="C174" s="116" t="s">
        <v>107</v>
      </c>
      <c r="D174" s="118"/>
      <c r="E174" s="124" t="s">
        <v>211</v>
      </c>
      <c r="F174" s="129" t="s">
        <v>212</v>
      </c>
      <c r="G174" s="126">
        <v>1.0</v>
      </c>
      <c r="H174" s="126">
        <v>1.0</v>
      </c>
      <c r="I174" s="126">
        <v>1.0</v>
      </c>
      <c r="J174" s="126">
        <v>1.0</v>
      </c>
      <c r="K174" s="126">
        <v>1.0</v>
      </c>
      <c r="L174" s="130"/>
      <c r="M174" s="130"/>
      <c r="N174" s="126">
        <v>1.0</v>
      </c>
      <c r="O174" s="126">
        <v>1.0</v>
      </c>
      <c r="P174" s="130"/>
      <c r="Q174" s="126">
        <v>1.0</v>
      </c>
      <c r="R174" s="130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115">
        <v>93.0</v>
      </c>
      <c r="B175" s="120" t="s">
        <v>216</v>
      </c>
      <c r="C175" s="116" t="s">
        <v>108</v>
      </c>
      <c r="D175" s="119">
        <v>45633.0</v>
      </c>
      <c r="E175" s="131" t="s">
        <v>214</v>
      </c>
      <c r="F175" s="132" t="s">
        <v>215</v>
      </c>
      <c r="G175" s="130"/>
      <c r="H175" s="126">
        <v>1.0</v>
      </c>
      <c r="I175" s="126">
        <v>1.0</v>
      </c>
      <c r="J175" s="126">
        <v>1.0</v>
      </c>
      <c r="K175" s="130"/>
      <c r="L175" s="130"/>
      <c r="M175" s="130"/>
      <c r="N175" s="126">
        <v>1.0</v>
      </c>
      <c r="O175" s="126">
        <v>1.0</v>
      </c>
      <c r="P175" s="130"/>
      <c r="Q175" s="126">
        <v>1.0</v>
      </c>
      <c r="R175" s="130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115">
        <v>94.0</v>
      </c>
      <c r="B176" s="99" t="s">
        <v>219</v>
      </c>
      <c r="C176" s="121" t="s">
        <v>108</v>
      </c>
      <c r="D176" s="122">
        <v>45737.0</v>
      </c>
      <c r="E176" s="124" t="s">
        <v>217</v>
      </c>
      <c r="F176" s="133" t="s">
        <v>218</v>
      </c>
      <c r="G176" s="130"/>
      <c r="H176" s="130"/>
      <c r="I176" s="130"/>
      <c r="J176" s="130"/>
      <c r="K176" s="126">
        <v>1.0</v>
      </c>
      <c r="L176" s="126">
        <v>1.0</v>
      </c>
      <c r="M176" s="126">
        <v>1.0</v>
      </c>
      <c r="N176" s="126">
        <v>1.0</v>
      </c>
      <c r="O176" s="126">
        <v>1.0</v>
      </c>
      <c r="P176" s="126">
        <v>1.0</v>
      </c>
      <c r="Q176" s="126">
        <v>1.0</v>
      </c>
      <c r="R176" s="130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115">
        <v>95.0</v>
      </c>
      <c r="B177" s="99" t="s">
        <v>222</v>
      </c>
      <c r="C177" s="116" t="s">
        <v>108</v>
      </c>
      <c r="D177" s="119">
        <v>45362.0</v>
      </c>
      <c r="E177" s="124" t="s">
        <v>220</v>
      </c>
      <c r="F177" s="134" t="s">
        <v>221</v>
      </c>
      <c r="G177" s="130"/>
      <c r="H177" s="130"/>
      <c r="I177" s="130"/>
      <c r="J177" s="130"/>
      <c r="K177" s="130"/>
      <c r="L177" s="126">
        <v>1.0</v>
      </c>
      <c r="M177" s="126">
        <v>1.0</v>
      </c>
      <c r="N177" s="126">
        <v>1.0</v>
      </c>
      <c r="O177" s="126">
        <v>1.0</v>
      </c>
      <c r="P177" s="126">
        <v>1.0</v>
      </c>
      <c r="Q177" s="126">
        <v>1.0</v>
      </c>
      <c r="R177" s="130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115">
        <v>96.0</v>
      </c>
      <c r="B178" s="99" t="s">
        <v>451</v>
      </c>
      <c r="C178" s="116" t="s">
        <v>108</v>
      </c>
      <c r="D178" s="119">
        <v>45802.0</v>
      </c>
      <c r="E178" s="124" t="s">
        <v>223</v>
      </c>
      <c r="F178" s="134" t="s">
        <v>224</v>
      </c>
      <c r="G178" s="130"/>
      <c r="H178" s="130"/>
      <c r="I178" s="130"/>
      <c r="J178" s="130"/>
      <c r="K178" s="130"/>
      <c r="L178" s="126">
        <v>1.0</v>
      </c>
      <c r="M178" s="126">
        <v>1.0</v>
      </c>
      <c r="N178" s="130"/>
      <c r="O178" s="126">
        <v>1.0</v>
      </c>
      <c r="P178" s="126">
        <v>1.0</v>
      </c>
      <c r="Q178" s="126">
        <v>1.0</v>
      </c>
      <c r="R178" s="130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115">
        <v>97.0</v>
      </c>
      <c r="B179" s="99" t="s">
        <v>452</v>
      </c>
      <c r="C179" s="116" t="s">
        <v>108</v>
      </c>
      <c r="D179" s="119">
        <v>45873.0</v>
      </c>
      <c r="E179" s="124" t="s">
        <v>226</v>
      </c>
      <c r="F179" s="134" t="s">
        <v>227</v>
      </c>
      <c r="G179" s="130"/>
      <c r="H179" s="130"/>
      <c r="I179" s="130"/>
      <c r="J179" s="130"/>
      <c r="K179" s="130"/>
      <c r="L179" s="130"/>
      <c r="M179" s="130"/>
      <c r="N179" s="130"/>
      <c r="O179" s="126">
        <v>1.0</v>
      </c>
      <c r="P179" s="126">
        <v>1.0</v>
      </c>
      <c r="Q179" s="126">
        <v>1.0</v>
      </c>
      <c r="R179" s="130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115">
        <v>98.0</v>
      </c>
      <c r="B180" s="99" t="s">
        <v>231</v>
      </c>
      <c r="C180" s="116" t="s">
        <v>107</v>
      </c>
      <c r="D180" s="119">
        <v>45873.0</v>
      </c>
      <c r="E180" s="124" t="s">
        <v>229</v>
      </c>
      <c r="F180" s="134" t="s">
        <v>230</v>
      </c>
      <c r="G180" s="130"/>
      <c r="H180" s="130"/>
      <c r="I180" s="130"/>
      <c r="J180" s="130"/>
      <c r="K180" s="130"/>
      <c r="L180" s="130"/>
      <c r="M180" s="130"/>
      <c r="N180" s="130"/>
      <c r="O180" s="130"/>
      <c r="P180" s="126">
        <v>1.0</v>
      </c>
      <c r="Q180" s="126">
        <v>1.0</v>
      </c>
      <c r="R180" s="130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115">
        <v>99.0</v>
      </c>
      <c r="B181" s="99" t="s">
        <v>453</v>
      </c>
      <c r="C181" s="116" t="s">
        <v>107</v>
      </c>
      <c r="D181" s="119">
        <v>45937.0</v>
      </c>
      <c r="E181" s="124" t="s">
        <v>232</v>
      </c>
      <c r="F181" s="134" t="s">
        <v>233</v>
      </c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26">
        <v>1.0</v>
      </c>
      <c r="R181" s="130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115">
        <v>100.0</v>
      </c>
      <c r="B182" s="99" t="s">
        <v>452</v>
      </c>
      <c r="C182" s="116" t="s">
        <v>108</v>
      </c>
      <c r="D182" s="119">
        <v>45873.0</v>
      </c>
      <c r="E182" s="135" t="s">
        <v>226</v>
      </c>
      <c r="F182" s="134" t="s">
        <v>454</v>
      </c>
      <c r="G182" s="126">
        <v>1.0</v>
      </c>
      <c r="H182" s="126">
        <v>1.0</v>
      </c>
      <c r="I182" s="130"/>
      <c r="J182" s="126">
        <v>1.0</v>
      </c>
      <c r="K182" s="130"/>
      <c r="L182" s="126">
        <v>1.0</v>
      </c>
      <c r="M182" s="126">
        <v>1.0</v>
      </c>
      <c r="N182" s="126">
        <v>1.0</v>
      </c>
      <c r="O182" s="126">
        <v>1.0</v>
      </c>
      <c r="P182" s="126">
        <v>1.0</v>
      </c>
      <c r="Q182" s="126">
        <v>1.0</v>
      </c>
      <c r="R182" s="130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115">
        <v>101.0</v>
      </c>
      <c r="B183" s="99" t="s">
        <v>455</v>
      </c>
      <c r="C183" s="116" t="s">
        <v>108</v>
      </c>
      <c r="D183" s="119">
        <v>45838.0</v>
      </c>
      <c r="E183" s="135" t="s">
        <v>205</v>
      </c>
      <c r="F183" s="134" t="s">
        <v>206</v>
      </c>
      <c r="G183" s="126">
        <v>1.0</v>
      </c>
      <c r="H183" s="126">
        <v>1.0</v>
      </c>
      <c r="I183" s="130"/>
      <c r="J183" s="126">
        <v>1.0</v>
      </c>
      <c r="K183" s="130"/>
      <c r="L183" s="130"/>
      <c r="M183" s="126">
        <v>1.0</v>
      </c>
      <c r="N183" s="126">
        <v>1.0</v>
      </c>
      <c r="O183" s="126">
        <v>1.0</v>
      </c>
      <c r="P183" s="126">
        <v>1.0</v>
      </c>
      <c r="Q183" s="126">
        <v>1.0</v>
      </c>
      <c r="R183" s="130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115">
        <v>102.0</v>
      </c>
      <c r="B184" s="99" t="s">
        <v>456</v>
      </c>
      <c r="C184" s="116" t="s">
        <v>107</v>
      </c>
      <c r="D184" s="119">
        <v>45443.0</v>
      </c>
      <c r="E184" s="135" t="s">
        <v>457</v>
      </c>
      <c r="F184" s="135" t="s">
        <v>458</v>
      </c>
      <c r="G184" s="130"/>
      <c r="H184" s="83">
        <v>1.0</v>
      </c>
      <c r="I184" s="20"/>
      <c r="J184" s="83">
        <v>1.0</v>
      </c>
      <c r="K184" s="83">
        <v>1.0</v>
      </c>
      <c r="L184" s="83">
        <v>1.0</v>
      </c>
      <c r="M184" s="20"/>
      <c r="N184" s="83">
        <v>1.0</v>
      </c>
      <c r="O184" s="83">
        <v>1.0</v>
      </c>
      <c r="P184" s="83">
        <v>1.0</v>
      </c>
      <c r="Q184" s="83">
        <v>1.0</v>
      </c>
      <c r="R184" s="136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115">
        <v>103.0</v>
      </c>
      <c r="B185" s="99" t="s">
        <v>459</v>
      </c>
      <c r="C185" s="116" t="s">
        <v>107</v>
      </c>
      <c r="D185" s="119">
        <v>45161.0</v>
      </c>
      <c r="E185" s="135" t="s">
        <v>460</v>
      </c>
      <c r="F185" s="135" t="s">
        <v>461</v>
      </c>
      <c r="G185" s="137"/>
      <c r="H185" s="100">
        <v>1.0</v>
      </c>
      <c r="I185" s="100">
        <v>1.0</v>
      </c>
      <c r="J185" s="100">
        <v>1.0</v>
      </c>
      <c r="K185" s="109"/>
      <c r="L185" s="109"/>
      <c r="M185" s="109"/>
      <c r="N185" s="109"/>
      <c r="O185" s="100">
        <v>1.0</v>
      </c>
      <c r="P185" s="109"/>
      <c r="Q185" s="100">
        <v>1.0</v>
      </c>
      <c r="R185" s="20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115">
        <v>104.0</v>
      </c>
      <c r="B186" s="99" t="s">
        <v>462</v>
      </c>
      <c r="C186" s="116" t="s">
        <v>107</v>
      </c>
      <c r="D186" s="119">
        <v>44974.0</v>
      </c>
      <c r="E186" s="135" t="s">
        <v>463</v>
      </c>
      <c r="F186" s="135" t="s">
        <v>464</v>
      </c>
      <c r="G186" s="137"/>
      <c r="H186" s="109"/>
      <c r="I186" s="109"/>
      <c r="J186" s="109"/>
      <c r="K186" s="109"/>
      <c r="L186" s="109"/>
      <c r="M186" s="109"/>
      <c r="N186" s="109"/>
      <c r="O186" s="100">
        <v>1.0</v>
      </c>
      <c r="P186" s="109"/>
      <c r="Q186" s="100">
        <v>1.0</v>
      </c>
      <c r="R186" s="20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115">
        <v>105.0</v>
      </c>
      <c r="B187" s="99" t="s">
        <v>465</v>
      </c>
      <c r="C187" s="116" t="s">
        <v>107</v>
      </c>
      <c r="D187" s="119">
        <v>45046.0</v>
      </c>
      <c r="E187" s="135" t="s">
        <v>466</v>
      </c>
      <c r="F187" s="135" t="s">
        <v>467</v>
      </c>
      <c r="G187" s="138">
        <v>1.0</v>
      </c>
      <c r="H187" s="100">
        <v>1.0</v>
      </c>
      <c r="I187" s="100">
        <v>1.0</v>
      </c>
      <c r="J187" s="100">
        <v>1.0</v>
      </c>
      <c r="K187" s="100">
        <v>1.0</v>
      </c>
      <c r="L187" s="109"/>
      <c r="M187" s="100">
        <v>1.0</v>
      </c>
      <c r="N187" s="100">
        <v>1.0</v>
      </c>
      <c r="O187" s="100">
        <v>1.0</v>
      </c>
      <c r="P187" s="100">
        <v>1.0</v>
      </c>
      <c r="Q187" s="100">
        <v>1.0</v>
      </c>
      <c r="R187" s="20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115">
        <v>106.0</v>
      </c>
      <c r="B188" s="99" t="s">
        <v>468</v>
      </c>
      <c r="C188" s="116" t="s">
        <v>107</v>
      </c>
      <c r="D188" s="117">
        <v>44893.0</v>
      </c>
      <c r="E188" s="135" t="s">
        <v>469</v>
      </c>
      <c r="F188" s="135" t="s">
        <v>470</v>
      </c>
      <c r="G188" s="137"/>
      <c r="H188" s="100">
        <v>1.0</v>
      </c>
      <c r="I188" s="109"/>
      <c r="J188" s="100">
        <v>1.0</v>
      </c>
      <c r="K188" s="109"/>
      <c r="L188" s="109"/>
      <c r="M188" s="109"/>
      <c r="N188" s="109"/>
      <c r="O188" s="109"/>
      <c r="P188" s="100">
        <v>1.0</v>
      </c>
      <c r="Q188" s="109"/>
      <c r="R188" s="20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115">
        <v>107.0</v>
      </c>
      <c r="B189" s="99" t="s">
        <v>471</v>
      </c>
      <c r="C189" s="116" t="s">
        <v>108</v>
      </c>
      <c r="D189" s="117">
        <v>44852.0</v>
      </c>
      <c r="E189" s="135" t="s">
        <v>472</v>
      </c>
      <c r="F189" s="135" t="s">
        <v>473</v>
      </c>
      <c r="G189" s="138">
        <v>1.0</v>
      </c>
      <c r="H189" s="100">
        <v>1.0</v>
      </c>
      <c r="I189" s="100">
        <v>1.0</v>
      </c>
      <c r="J189" s="100">
        <v>1.0</v>
      </c>
      <c r="K189" s="100">
        <v>1.0</v>
      </c>
      <c r="L189" s="109"/>
      <c r="M189" s="100">
        <v>1.0</v>
      </c>
      <c r="N189" s="100">
        <v>1.0</v>
      </c>
      <c r="O189" s="100">
        <v>1.0</v>
      </c>
      <c r="P189" s="100">
        <v>1.0</v>
      </c>
      <c r="Q189" s="100">
        <v>1.0</v>
      </c>
      <c r="R189" s="20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115">
        <v>108.0</v>
      </c>
      <c r="B190" s="99" t="s">
        <v>474</v>
      </c>
      <c r="C190" s="116" t="s">
        <v>107</v>
      </c>
      <c r="D190" s="119">
        <v>44759.0</v>
      </c>
      <c r="E190" s="135" t="s">
        <v>475</v>
      </c>
      <c r="F190" s="135" t="s">
        <v>476</v>
      </c>
      <c r="G190" s="137"/>
      <c r="H190" s="100">
        <v>1.0</v>
      </c>
      <c r="I190" s="100">
        <v>1.0</v>
      </c>
      <c r="J190" s="109"/>
      <c r="K190" s="109"/>
      <c r="L190" s="109"/>
      <c r="M190" s="109"/>
      <c r="N190" s="109"/>
      <c r="O190" s="109"/>
      <c r="P190" s="100">
        <v>1.0</v>
      </c>
      <c r="Q190" s="100">
        <v>1.0</v>
      </c>
      <c r="R190" s="20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115">
        <v>109.0</v>
      </c>
      <c r="B191" s="99" t="s">
        <v>477</v>
      </c>
      <c r="C191" s="116" t="s">
        <v>108</v>
      </c>
      <c r="D191" s="119">
        <v>44578.0</v>
      </c>
      <c r="E191" s="135" t="s">
        <v>478</v>
      </c>
      <c r="F191" s="135" t="s">
        <v>479</v>
      </c>
      <c r="G191" s="138">
        <v>1.0</v>
      </c>
      <c r="H191" s="100">
        <v>1.0</v>
      </c>
      <c r="I191" s="100">
        <v>1.0</v>
      </c>
      <c r="J191" s="100">
        <v>1.0</v>
      </c>
      <c r="K191" s="109"/>
      <c r="L191" s="100">
        <v>1.0</v>
      </c>
      <c r="M191" s="100">
        <v>1.0</v>
      </c>
      <c r="N191" s="100">
        <v>1.0</v>
      </c>
      <c r="O191" s="100">
        <v>1.0</v>
      </c>
      <c r="P191" s="100">
        <v>1.0</v>
      </c>
      <c r="Q191" s="100">
        <v>1.0</v>
      </c>
      <c r="R191" s="20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115">
        <v>110.0</v>
      </c>
      <c r="B192" s="99" t="s">
        <v>480</v>
      </c>
      <c r="C192" s="116" t="s">
        <v>107</v>
      </c>
      <c r="D192" s="119">
        <v>44688.0</v>
      </c>
      <c r="E192" s="135" t="s">
        <v>481</v>
      </c>
      <c r="F192" s="135" t="s">
        <v>482</v>
      </c>
      <c r="G192" s="109"/>
      <c r="H192" s="100">
        <v>1.0</v>
      </c>
      <c r="I192" s="100">
        <v>1.0</v>
      </c>
      <c r="J192" s="100">
        <v>1.0</v>
      </c>
      <c r="K192" s="100">
        <v>1.0</v>
      </c>
      <c r="L192" s="100">
        <v>1.0</v>
      </c>
      <c r="M192" s="100">
        <v>1.0</v>
      </c>
      <c r="N192" s="100">
        <v>1.0</v>
      </c>
      <c r="O192" s="100">
        <v>1.0</v>
      </c>
      <c r="P192" s="109"/>
      <c r="Q192" s="109"/>
      <c r="R192" s="20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115">
        <v>111.0</v>
      </c>
      <c r="B193" s="99" t="s">
        <v>483</v>
      </c>
      <c r="C193" s="116" t="s">
        <v>108</v>
      </c>
      <c r="D193" s="119">
        <v>44648.0</v>
      </c>
      <c r="E193" s="135" t="s">
        <v>484</v>
      </c>
      <c r="F193" s="135" t="s">
        <v>485</v>
      </c>
      <c r="G193" s="109"/>
      <c r="H193" s="100">
        <v>1.0</v>
      </c>
      <c r="I193" s="100">
        <v>1.0</v>
      </c>
      <c r="J193" s="100">
        <v>1.0</v>
      </c>
      <c r="K193" s="109"/>
      <c r="L193" s="109"/>
      <c r="M193" s="109"/>
      <c r="N193" s="109"/>
      <c r="O193" s="100">
        <v>1.0</v>
      </c>
      <c r="P193" s="100">
        <v>1.0</v>
      </c>
      <c r="Q193" s="100">
        <v>1.0</v>
      </c>
      <c r="R193" s="20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115">
        <v>112.0</v>
      </c>
      <c r="B194" s="99" t="s">
        <v>486</v>
      </c>
      <c r="C194" s="116" t="s">
        <v>108</v>
      </c>
      <c r="D194" s="119">
        <v>44563.0</v>
      </c>
      <c r="E194" s="135" t="s">
        <v>487</v>
      </c>
      <c r="F194" s="135" t="s">
        <v>488</v>
      </c>
      <c r="G194" s="100">
        <v>1.0</v>
      </c>
      <c r="H194" s="100">
        <v>1.0</v>
      </c>
      <c r="I194" s="100">
        <v>1.0</v>
      </c>
      <c r="J194" s="100">
        <v>1.0</v>
      </c>
      <c r="K194" s="109"/>
      <c r="L194" s="100">
        <v>1.0</v>
      </c>
      <c r="M194" s="100">
        <v>1.0</v>
      </c>
      <c r="N194" s="109"/>
      <c r="O194" s="100">
        <v>1.0</v>
      </c>
      <c r="P194" s="100">
        <v>1.0</v>
      </c>
      <c r="Q194" s="100">
        <v>1.0</v>
      </c>
      <c r="R194" s="20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115">
        <v>113.0</v>
      </c>
      <c r="B195" s="99" t="s">
        <v>489</v>
      </c>
      <c r="C195" s="116" t="s">
        <v>108</v>
      </c>
      <c r="D195" s="119">
        <v>44506.0</v>
      </c>
      <c r="E195" s="135" t="s">
        <v>490</v>
      </c>
      <c r="F195" s="135" t="s">
        <v>491</v>
      </c>
      <c r="G195" s="100">
        <v>1.0</v>
      </c>
      <c r="H195" s="100">
        <v>1.0</v>
      </c>
      <c r="I195" s="100">
        <v>1.0</v>
      </c>
      <c r="J195" s="100">
        <v>1.0</v>
      </c>
      <c r="K195" s="109"/>
      <c r="L195" s="100">
        <v>1.0</v>
      </c>
      <c r="M195" s="100">
        <v>1.0</v>
      </c>
      <c r="N195" s="109"/>
      <c r="O195" s="100">
        <v>1.0</v>
      </c>
      <c r="P195" s="100">
        <v>1.0</v>
      </c>
      <c r="Q195" s="100">
        <v>1.0</v>
      </c>
      <c r="R195" s="20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115">
        <v>114.0</v>
      </c>
      <c r="B196" s="99" t="s">
        <v>492</v>
      </c>
      <c r="C196" s="116" t="s">
        <v>108</v>
      </c>
      <c r="D196" s="119">
        <v>44417.0</v>
      </c>
      <c r="E196" s="135" t="s">
        <v>493</v>
      </c>
      <c r="F196" s="135" t="s">
        <v>494</v>
      </c>
      <c r="G196" s="100">
        <v>1.0</v>
      </c>
      <c r="H196" s="100">
        <v>1.0</v>
      </c>
      <c r="I196" s="100">
        <v>1.0</v>
      </c>
      <c r="J196" s="100">
        <v>1.0</v>
      </c>
      <c r="K196" s="100">
        <v>1.0</v>
      </c>
      <c r="L196" s="100">
        <v>1.0</v>
      </c>
      <c r="M196" s="100">
        <v>1.0</v>
      </c>
      <c r="N196" s="100">
        <v>1.0</v>
      </c>
      <c r="O196" s="100">
        <v>1.0</v>
      </c>
      <c r="P196" s="100">
        <v>1.0</v>
      </c>
      <c r="Q196" s="100">
        <v>1.0</v>
      </c>
      <c r="R196" s="20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115">
        <v>115.0</v>
      </c>
      <c r="B197" s="99" t="s">
        <v>495</v>
      </c>
      <c r="C197" s="116" t="s">
        <v>107</v>
      </c>
      <c r="D197" s="119">
        <v>44369.0</v>
      </c>
      <c r="E197" s="135" t="s">
        <v>496</v>
      </c>
      <c r="F197" s="135" t="s">
        <v>497</v>
      </c>
      <c r="G197" s="109"/>
      <c r="H197" s="100">
        <v>1.0</v>
      </c>
      <c r="I197" s="100">
        <v>1.0</v>
      </c>
      <c r="J197" s="100">
        <v>1.0</v>
      </c>
      <c r="K197" s="100">
        <v>1.0</v>
      </c>
      <c r="L197" s="100">
        <v>1.0</v>
      </c>
      <c r="M197" s="100">
        <v>1.0</v>
      </c>
      <c r="N197" s="100">
        <v>1.0</v>
      </c>
      <c r="O197" s="100">
        <v>1.0</v>
      </c>
      <c r="P197" s="100">
        <v>1.0</v>
      </c>
      <c r="Q197" s="100">
        <v>1.0</v>
      </c>
      <c r="R197" s="20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115">
        <v>116.0</v>
      </c>
      <c r="B198" s="99" t="s">
        <v>498</v>
      </c>
      <c r="C198" s="116" t="s">
        <v>107</v>
      </c>
      <c r="D198" s="119">
        <v>44296.0</v>
      </c>
      <c r="E198" s="135" t="s">
        <v>499</v>
      </c>
      <c r="F198" s="135" t="s">
        <v>500</v>
      </c>
      <c r="G198" s="100">
        <v>1.0</v>
      </c>
      <c r="H198" s="100">
        <v>1.0</v>
      </c>
      <c r="I198" s="100">
        <v>1.0</v>
      </c>
      <c r="J198" s="100">
        <v>1.0</v>
      </c>
      <c r="K198" s="109"/>
      <c r="L198" s="109"/>
      <c r="M198" s="109"/>
      <c r="N198" s="109"/>
      <c r="O198" s="109"/>
      <c r="P198" s="109"/>
      <c r="Q198" s="109"/>
      <c r="R198" s="20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115">
        <v>117.0</v>
      </c>
      <c r="B199" s="99" t="s">
        <v>501</v>
      </c>
      <c r="C199" s="116" t="s">
        <v>107</v>
      </c>
      <c r="D199" s="119">
        <v>44219.0</v>
      </c>
      <c r="E199" s="135" t="s">
        <v>502</v>
      </c>
      <c r="F199" s="135" t="s">
        <v>503</v>
      </c>
      <c r="G199" s="109"/>
      <c r="H199" s="100">
        <v>1.0</v>
      </c>
      <c r="I199" s="100">
        <v>1.0</v>
      </c>
      <c r="J199" s="109"/>
      <c r="K199" s="100">
        <v>1.0</v>
      </c>
      <c r="L199" s="100">
        <v>1.0</v>
      </c>
      <c r="M199" s="100">
        <v>1.0</v>
      </c>
      <c r="N199" s="109"/>
      <c r="O199" s="100">
        <v>1.0</v>
      </c>
      <c r="P199" s="109"/>
      <c r="Q199" s="109"/>
      <c r="R199" s="20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115">
        <v>118.0</v>
      </c>
      <c r="B200" s="99" t="s">
        <v>504</v>
      </c>
      <c r="C200" s="116" t="s">
        <v>107</v>
      </c>
      <c r="D200" s="119">
        <v>44197.0</v>
      </c>
      <c r="E200" s="135" t="s">
        <v>505</v>
      </c>
      <c r="F200" s="135" t="s">
        <v>506</v>
      </c>
      <c r="G200" s="100">
        <v>1.0</v>
      </c>
      <c r="H200" s="100">
        <v>1.0</v>
      </c>
      <c r="I200" s="100">
        <v>1.0</v>
      </c>
      <c r="J200" s="100">
        <v>1.0</v>
      </c>
      <c r="K200" s="100">
        <v>1.0</v>
      </c>
      <c r="L200" s="100">
        <v>1.0</v>
      </c>
      <c r="M200" s="100">
        <v>1.0</v>
      </c>
      <c r="N200" s="100">
        <v>1.0</v>
      </c>
      <c r="O200" s="100">
        <v>1.0</v>
      </c>
      <c r="P200" s="100">
        <v>1.0</v>
      </c>
      <c r="Q200" s="100">
        <v>1.0</v>
      </c>
      <c r="R200" s="20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115">
        <v>119.0</v>
      </c>
      <c r="B201" s="99" t="s">
        <v>507</v>
      </c>
      <c r="C201" s="116" t="s">
        <v>107</v>
      </c>
      <c r="D201" s="119">
        <v>44097.0</v>
      </c>
      <c r="E201" s="135" t="s">
        <v>508</v>
      </c>
      <c r="F201" s="135" t="s">
        <v>509</v>
      </c>
      <c r="G201" s="100">
        <v>1.0</v>
      </c>
      <c r="H201" s="109"/>
      <c r="I201" s="100">
        <v>1.0</v>
      </c>
      <c r="J201" s="109"/>
      <c r="K201" s="109"/>
      <c r="L201" s="109"/>
      <c r="M201" s="109"/>
      <c r="N201" s="109"/>
      <c r="O201" s="109"/>
      <c r="P201" s="100">
        <v>1.0</v>
      </c>
      <c r="Q201" s="109"/>
      <c r="R201" s="20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115">
        <v>120.0</v>
      </c>
      <c r="B202" s="99" t="s">
        <v>510</v>
      </c>
      <c r="C202" s="116" t="s">
        <v>107</v>
      </c>
      <c r="D202" s="117">
        <v>44149.0</v>
      </c>
      <c r="E202" s="135" t="s">
        <v>511</v>
      </c>
      <c r="F202" s="135" t="s">
        <v>512</v>
      </c>
      <c r="G202" s="109"/>
      <c r="H202" s="100">
        <v>1.0</v>
      </c>
      <c r="I202" s="100">
        <v>1.0</v>
      </c>
      <c r="J202" s="100">
        <v>1.0</v>
      </c>
      <c r="K202" s="100">
        <v>1.0</v>
      </c>
      <c r="L202" s="100">
        <v>1.0</v>
      </c>
      <c r="M202" s="100">
        <v>1.0</v>
      </c>
      <c r="N202" s="100">
        <v>1.0</v>
      </c>
      <c r="O202" s="100">
        <v>1.0</v>
      </c>
      <c r="P202" s="109"/>
      <c r="Q202" s="109"/>
      <c r="R202" s="20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115">
        <v>121.0</v>
      </c>
      <c r="B203" s="99" t="s">
        <v>513</v>
      </c>
      <c r="C203" s="116" t="s">
        <v>107</v>
      </c>
      <c r="D203" s="119">
        <v>44096.0</v>
      </c>
      <c r="E203" s="135" t="s">
        <v>514</v>
      </c>
      <c r="F203" s="135" t="s">
        <v>515</v>
      </c>
      <c r="G203" s="100">
        <v>1.0</v>
      </c>
      <c r="H203" s="100">
        <v>1.0</v>
      </c>
      <c r="I203" s="100">
        <v>1.0</v>
      </c>
      <c r="J203" s="109"/>
      <c r="K203" s="109"/>
      <c r="L203" s="109"/>
      <c r="M203" s="109"/>
      <c r="N203" s="109"/>
      <c r="O203" s="109"/>
      <c r="P203" s="109"/>
      <c r="Q203" s="109"/>
      <c r="R203" s="20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115">
        <v>122.0</v>
      </c>
      <c r="B204" s="99" t="s">
        <v>516</v>
      </c>
      <c r="C204" s="116" t="s">
        <v>108</v>
      </c>
      <c r="D204" s="119">
        <v>44075.0</v>
      </c>
      <c r="E204" s="135" t="s">
        <v>517</v>
      </c>
      <c r="F204" s="135" t="s">
        <v>518</v>
      </c>
      <c r="G204" s="109"/>
      <c r="H204" s="100">
        <v>1.0</v>
      </c>
      <c r="I204" s="100">
        <v>1.0</v>
      </c>
      <c r="J204" s="109"/>
      <c r="K204" s="109"/>
      <c r="L204" s="109"/>
      <c r="M204" s="109"/>
      <c r="N204" s="109"/>
      <c r="O204" s="109"/>
      <c r="P204" s="109"/>
      <c r="Q204" s="109"/>
      <c r="R204" s="20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115">
        <v>123.0</v>
      </c>
      <c r="B205" s="99" t="s">
        <v>519</v>
      </c>
      <c r="C205" s="116" t="s">
        <v>107</v>
      </c>
      <c r="D205" s="119">
        <v>44020.0</v>
      </c>
      <c r="E205" s="135" t="s">
        <v>520</v>
      </c>
      <c r="F205" s="135" t="s">
        <v>521</v>
      </c>
      <c r="G205" s="100">
        <v>1.0</v>
      </c>
      <c r="H205" s="100">
        <v>1.0</v>
      </c>
      <c r="I205" s="100">
        <v>1.0</v>
      </c>
      <c r="J205" s="109"/>
      <c r="K205" s="109"/>
      <c r="L205" s="109"/>
      <c r="M205" s="109"/>
      <c r="N205" s="109"/>
      <c r="O205" s="109"/>
      <c r="P205" s="109"/>
      <c r="Q205" s="109"/>
      <c r="R205" s="20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115">
        <v>124.0</v>
      </c>
      <c r="B206" s="99" t="s">
        <v>522</v>
      </c>
      <c r="C206" s="116" t="s">
        <v>107</v>
      </c>
      <c r="D206" s="119">
        <v>43905.0</v>
      </c>
      <c r="E206" s="135" t="s">
        <v>523</v>
      </c>
      <c r="F206" s="135" t="s">
        <v>524</v>
      </c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20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115">
        <v>125.0</v>
      </c>
      <c r="B207" s="99" t="s">
        <v>525</v>
      </c>
      <c r="C207" s="116" t="s">
        <v>108</v>
      </c>
      <c r="D207" s="119">
        <v>47141.0</v>
      </c>
      <c r="E207" s="135" t="s">
        <v>526</v>
      </c>
      <c r="F207" s="135" t="s">
        <v>527</v>
      </c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20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115">
        <v>126.0</v>
      </c>
      <c r="B208" s="99" t="s">
        <v>528</v>
      </c>
      <c r="C208" s="116" t="s">
        <v>108</v>
      </c>
      <c r="D208" s="119">
        <v>43775.0</v>
      </c>
      <c r="E208" s="135" t="s">
        <v>529</v>
      </c>
      <c r="F208" s="135" t="s">
        <v>506</v>
      </c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20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115">
        <v>127.0</v>
      </c>
      <c r="B209" s="99" t="s">
        <v>530</v>
      </c>
      <c r="C209" s="116" t="s">
        <v>108</v>
      </c>
      <c r="D209" s="119">
        <v>43772.0</v>
      </c>
      <c r="E209" s="135" t="s">
        <v>531</v>
      </c>
      <c r="F209" s="135" t="s">
        <v>532</v>
      </c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20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115">
        <v>128.0</v>
      </c>
      <c r="B210" s="99" t="s">
        <v>533</v>
      </c>
      <c r="C210" s="116" t="s">
        <v>108</v>
      </c>
      <c r="D210" s="119">
        <v>43746.0</v>
      </c>
      <c r="E210" s="135" t="s">
        <v>534</v>
      </c>
      <c r="F210" s="135" t="s">
        <v>535</v>
      </c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20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115">
        <v>129.0</v>
      </c>
      <c r="B211" s="99" t="s">
        <v>536</v>
      </c>
      <c r="C211" s="116" t="s">
        <v>107</v>
      </c>
      <c r="D211" s="119">
        <v>43734.0</v>
      </c>
      <c r="E211" s="135" t="s">
        <v>537</v>
      </c>
      <c r="F211" s="135" t="s">
        <v>538</v>
      </c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20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115">
        <v>130.0</v>
      </c>
      <c r="B212" s="99" t="s">
        <v>539</v>
      </c>
      <c r="C212" s="116" t="s">
        <v>107</v>
      </c>
      <c r="D212" s="119">
        <v>43722.0</v>
      </c>
      <c r="E212" s="135" t="s">
        <v>540</v>
      </c>
      <c r="F212" s="135" t="s">
        <v>541</v>
      </c>
      <c r="G212" s="100">
        <v>1.0</v>
      </c>
      <c r="H212" s="109"/>
      <c r="I212" s="100">
        <v>1.0</v>
      </c>
      <c r="J212" s="109"/>
      <c r="K212" s="109"/>
      <c r="L212" s="100">
        <v>1.0</v>
      </c>
      <c r="M212" s="109"/>
      <c r="N212" s="109"/>
      <c r="O212" s="109"/>
      <c r="P212" s="109"/>
      <c r="Q212" s="109"/>
      <c r="R212" s="20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115">
        <v>131.0</v>
      </c>
      <c r="B213" s="99" t="s">
        <v>542</v>
      </c>
      <c r="C213" s="116" t="s">
        <v>107</v>
      </c>
      <c r="D213" s="119">
        <v>43723.0</v>
      </c>
      <c r="E213" s="135" t="s">
        <v>543</v>
      </c>
      <c r="F213" s="135" t="s">
        <v>544</v>
      </c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20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115">
        <v>132.0</v>
      </c>
      <c r="B214" s="99" t="s">
        <v>545</v>
      </c>
      <c r="C214" s="116" t="s">
        <v>108</v>
      </c>
      <c r="D214" s="119">
        <v>43666.0</v>
      </c>
      <c r="E214" s="135" t="s">
        <v>546</v>
      </c>
      <c r="F214" s="135" t="s">
        <v>547</v>
      </c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20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115">
        <v>133.0</v>
      </c>
      <c r="B215" s="99" t="s">
        <v>548</v>
      </c>
      <c r="C215" s="116" t="s">
        <v>107</v>
      </c>
      <c r="D215" s="119">
        <v>43626.0</v>
      </c>
      <c r="E215" s="135" t="s">
        <v>549</v>
      </c>
      <c r="F215" s="135" t="s">
        <v>550</v>
      </c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20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115">
        <v>134.0</v>
      </c>
      <c r="B216" s="99" t="s">
        <v>551</v>
      </c>
      <c r="C216" s="116" t="s">
        <v>108</v>
      </c>
      <c r="D216" s="119">
        <v>43547.0</v>
      </c>
      <c r="E216" s="135" t="s">
        <v>552</v>
      </c>
      <c r="F216" s="135" t="s">
        <v>553</v>
      </c>
      <c r="G216" s="100">
        <v>1.0</v>
      </c>
      <c r="H216" s="109"/>
      <c r="I216" s="100">
        <v>1.0</v>
      </c>
      <c r="J216" s="109"/>
      <c r="K216" s="100">
        <v>1.0</v>
      </c>
      <c r="L216" s="100">
        <v>1.0</v>
      </c>
      <c r="M216" s="109"/>
      <c r="N216" s="109"/>
      <c r="O216" s="109"/>
      <c r="P216" s="109"/>
      <c r="Q216" s="109"/>
      <c r="R216" s="20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115">
        <v>135.0</v>
      </c>
      <c r="B217" s="99" t="s">
        <v>554</v>
      </c>
      <c r="C217" s="116" t="s">
        <v>108</v>
      </c>
      <c r="D217" s="119">
        <v>43470.0</v>
      </c>
      <c r="E217" s="135" t="s">
        <v>555</v>
      </c>
      <c r="F217" s="135" t="s">
        <v>556</v>
      </c>
      <c r="G217" s="109"/>
      <c r="H217" s="109"/>
      <c r="I217" s="100">
        <v>1.0</v>
      </c>
      <c r="J217" s="109"/>
      <c r="K217" s="100">
        <v>1.0</v>
      </c>
      <c r="L217" s="100">
        <v>1.0</v>
      </c>
      <c r="M217" s="109"/>
      <c r="N217" s="109"/>
      <c r="O217" s="109"/>
      <c r="P217" s="109"/>
      <c r="Q217" s="109"/>
      <c r="R217" s="109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>
        <f t="shared" ref="G218:R218" si="3">SUM(G83:G217)</f>
        <v>52</v>
      </c>
      <c r="H218" s="2">
        <f t="shared" si="3"/>
        <v>62</v>
      </c>
      <c r="I218" s="2">
        <f t="shared" si="3"/>
        <v>56</v>
      </c>
      <c r="J218" s="2">
        <f t="shared" si="3"/>
        <v>53</v>
      </c>
      <c r="K218" s="2">
        <f t="shared" si="3"/>
        <v>50</v>
      </c>
      <c r="L218" s="2">
        <f t="shared" si="3"/>
        <v>45</v>
      </c>
      <c r="M218" s="2">
        <f t="shared" si="3"/>
        <v>50</v>
      </c>
      <c r="N218" s="2">
        <f t="shared" si="3"/>
        <v>51</v>
      </c>
      <c r="O218" s="2">
        <f t="shared" si="3"/>
        <v>69</v>
      </c>
      <c r="P218" s="2">
        <f t="shared" si="3"/>
        <v>68</v>
      </c>
      <c r="Q218" s="2">
        <f t="shared" si="3"/>
        <v>79</v>
      </c>
      <c r="R218" s="2">
        <f t="shared" si="3"/>
        <v>0</v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89" t="s">
        <v>557</v>
      </c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91" t="s">
        <v>3</v>
      </c>
      <c r="B221" s="91" t="s">
        <v>558</v>
      </c>
      <c r="C221" s="91" t="s">
        <v>237</v>
      </c>
      <c r="D221" s="91" t="s">
        <v>238</v>
      </c>
      <c r="E221" s="113" t="s">
        <v>239</v>
      </c>
      <c r="F221" s="8"/>
      <c r="G221" s="113" t="s">
        <v>559</v>
      </c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8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10"/>
      <c r="B222" s="10"/>
      <c r="C222" s="10"/>
      <c r="D222" s="10"/>
      <c r="E222" s="97" t="s">
        <v>94</v>
      </c>
      <c r="F222" s="97" t="s">
        <v>241</v>
      </c>
      <c r="G222" s="97" t="s">
        <v>131</v>
      </c>
      <c r="H222" s="97" t="s">
        <v>132</v>
      </c>
      <c r="I222" s="97" t="s">
        <v>133</v>
      </c>
      <c r="J222" s="97" t="s">
        <v>134</v>
      </c>
      <c r="K222" s="97" t="s">
        <v>113</v>
      </c>
      <c r="L222" s="97" t="s">
        <v>135</v>
      </c>
      <c r="M222" s="97" t="s">
        <v>136</v>
      </c>
      <c r="N222" s="97" t="s">
        <v>137</v>
      </c>
      <c r="O222" s="97" t="s">
        <v>138</v>
      </c>
      <c r="P222" s="97" t="s">
        <v>139</v>
      </c>
      <c r="Q222" s="97" t="s">
        <v>140</v>
      </c>
      <c r="R222" s="114" t="s">
        <v>141</v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95">
        <v>1.0</v>
      </c>
      <c r="B223" s="95">
        <v>2.0</v>
      </c>
      <c r="C223" s="95">
        <v>3.0</v>
      </c>
      <c r="D223" s="95">
        <v>4.0</v>
      </c>
      <c r="E223" s="95">
        <v>5.0</v>
      </c>
      <c r="F223" s="95">
        <v>6.0</v>
      </c>
      <c r="G223" s="95">
        <v>7.0</v>
      </c>
      <c r="H223" s="95">
        <v>8.0</v>
      </c>
      <c r="I223" s="95">
        <v>9.0</v>
      </c>
      <c r="J223" s="95">
        <v>10.0</v>
      </c>
      <c r="K223" s="95">
        <v>11.0</v>
      </c>
      <c r="L223" s="95">
        <v>12.0</v>
      </c>
      <c r="M223" s="95">
        <v>13.0</v>
      </c>
      <c r="N223" s="95">
        <v>14.0</v>
      </c>
      <c r="O223" s="95">
        <v>15.0</v>
      </c>
      <c r="P223" s="95">
        <v>16.0</v>
      </c>
      <c r="Q223" s="95">
        <v>17.0</v>
      </c>
      <c r="R223" s="95">
        <v>18.0</v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115">
        <v>1.0</v>
      </c>
      <c r="B224" s="99" t="s">
        <v>560</v>
      </c>
      <c r="C224" s="116" t="s">
        <v>108</v>
      </c>
      <c r="D224" s="119">
        <v>41542.0</v>
      </c>
      <c r="E224" s="99" t="s">
        <v>561</v>
      </c>
      <c r="F224" s="99" t="s">
        <v>562</v>
      </c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115">
        <v>2.0</v>
      </c>
      <c r="B225" s="99" t="s">
        <v>563</v>
      </c>
      <c r="C225" s="116" t="s">
        <v>107</v>
      </c>
      <c r="D225" s="119">
        <v>42316.0</v>
      </c>
      <c r="E225" s="99" t="s">
        <v>564</v>
      </c>
      <c r="F225" s="99" t="s">
        <v>565</v>
      </c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115">
        <v>3.0</v>
      </c>
      <c r="B226" s="99" t="s">
        <v>566</v>
      </c>
      <c r="C226" s="116" t="s">
        <v>107</v>
      </c>
      <c r="D226" s="119">
        <v>40073.0</v>
      </c>
      <c r="E226" s="99" t="s">
        <v>567</v>
      </c>
      <c r="F226" s="99" t="s">
        <v>568</v>
      </c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115">
        <v>4.0</v>
      </c>
      <c r="B227" s="99" t="s">
        <v>569</v>
      </c>
      <c r="C227" s="116" t="s">
        <v>108</v>
      </c>
      <c r="D227" s="117">
        <v>41943.0</v>
      </c>
      <c r="E227" s="99" t="s">
        <v>570</v>
      </c>
      <c r="F227" s="99" t="s">
        <v>329</v>
      </c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115">
        <v>5.0</v>
      </c>
      <c r="B228" s="99" t="s">
        <v>571</v>
      </c>
      <c r="C228" s="116" t="s">
        <v>107</v>
      </c>
      <c r="D228" s="119">
        <v>39578.0</v>
      </c>
      <c r="E228" s="99" t="s">
        <v>572</v>
      </c>
      <c r="F228" s="99" t="s">
        <v>380</v>
      </c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115">
        <v>6.0</v>
      </c>
      <c r="B229" s="99" t="s">
        <v>573</v>
      </c>
      <c r="C229" s="116" t="s">
        <v>108</v>
      </c>
      <c r="D229" s="117">
        <v>40108.0</v>
      </c>
      <c r="E229" s="99" t="s">
        <v>572</v>
      </c>
      <c r="F229" s="99" t="s">
        <v>380</v>
      </c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115">
        <v>7.0</v>
      </c>
      <c r="B230" s="99" t="s">
        <v>574</v>
      </c>
      <c r="C230" s="116" t="s">
        <v>108</v>
      </c>
      <c r="D230" s="119">
        <v>41437.0</v>
      </c>
      <c r="E230" s="99" t="s">
        <v>572</v>
      </c>
      <c r="F230" s="99" t="s">
        <v>380</v>
      </c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115">
        <v>8.0</v>
      </c>
      <c r="B231" s="99" t="s">
        <v>575</v>
      </c>
      <c r="C231" s="116" t="s">
        <v>107</v>
      </c>
      <c r="D231" s="119">
        <v>40855.0</v>
      </c>
      <c r="E231" s="99" t="s">
        <v>576</v>
      </c>
      <c r="F231" s="99" t="s">
        <v>577</v>
      </c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115">
        <v>9.0</v>
      </c>
      <c r="B232" s="99" t="s">
        <v>578</v>
      </c>
      <c r="C232" s="116" t="s">
        <v>107</v>
      </c>
      <c r="D232" s="119">
        <v>41755.0</v>
      </c>
      <c r="E232" s="99" t="s">
        <v>579</v>
      </c>
      <c r="F232" s="99" t="s">
        <v>580</v>
      </c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115">
        <v>10.0</v>
      </c>
      <c r="B233" s="99" t="s">
        <v>581</v>
      </c>
      <c r="C233" s="116" t="s">
        <v>108</v>
      </c>
      <c r="D233" s="119">
        <v>41398.0</v>
      </c>
      <c r="E233" s="99" t="s">
        <v>582</v>
      </c>
      <c r="F233" s="99" t="s">
        <v>583</v>
      </c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115">
        <v>11.0</v>
      </c>
      <c r="B234" s="99" t="s">
        <v>584</v>
      </c>
      <c r="C234" s="116" t="s">
        <v>107</v>
      </c>
      <c r="D234" s="119">
        <v>40280.0</v>
      </c>
      <c r="E234" s="99" t="s">
        <v>585</v>
      </c>
      <c r="F234" s="99" t="s">
        <v>586</v>
      </c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115">
        <v>12.0</v>
      </c>
      <c r="B235" s="99" t="s">
        <v>587</v>
      </c>
      <c r="C235" s="116" t="s">
        <v>107</v>
      </c>
      <c r="D235" s="119">
        <v>41779.0</v>
      </c>
      <c r="E235" s="99" t="s">
        <v>181</v>
      </c>
      <c r="F235" s="99" t="s">
        <v>182</v>
      </c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115">
        <v>13.0</v>
      </c>
      <c r="B236" s="99" t="s">
        <v>588</v>
      </c>
      <c r="C236" s="116" t="s">
        <v>107</v>
      </c>
      <c r="D236" s="119">
        <v>41406.0</v>
      </c>
      <c r="E236" s="99" t="s">
        <v>589</v>
      </c>
      <c r="F236" s="99" t="s">
        <v>590</v>
      </c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115">
        <v>14.0</v>
      </c>
      <c r="B237" s="99" t="s">
        <v>591</v>
      </c>
      <c r="C237" s="116" t="s">
        <v>107</v>
      </c>
      <c r="D237" s="119">
        <v>40485.0</v>
      </c>
      <c r="E237" s="99" t="s">
        <v>564</v>
      </c>
      <c r="F237" s="99" t="s">
        <v>565</v>
      </c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115">
        <v>15.0</v>
      </c>
      <c r="B238" s="99" t="s">
        <v>592</v>
      </c>
      <c r="C238" s="116" t="s">
        <v>107</v>
      </c>
      <c r="D238" s="117">
        <v>40859.0</v>
      </c>
      <c r="E238" s="99" t="s">
        <v>593</v>
      </c>
      <c r="F238" s="99" t="s">
        <v>594</v>
      </c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115">
        <v>16.0</v>
      </c>
      <c r="B239" s="99" t="s">
        <v>595</v>
      </c>
      <c r="C239" s="116" t="s">
        <v>107</v>
      </c>
      <c r="D239" s="119">
        <v>40707.0</v>
      </c>
      <c r="E239" s="99" t="s">
        <v>298</v>
      </c>
      <c r="F239" s="99" t="s">
        <v>299</v>
      </c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115">
        <v>17.0</v>
      </c>
      <c r="B240" s="99" t="s">
        <v>596</v>
      </c>
      <c r="C240" s="116" t="s">
        <v>108</v>
      </c>
      <c r="D240" s="119">
        <v>41252.0</v>
      </c>
      <c r="E240" s="99" t="s">
        <v>597</v>
      </c>
      <c r="F240" s="99" t="s">
        <v>598</v>
      </c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115">
        <v>18.0</v>
      </c>
      <c r="B241" s="99" t="s">
        <v>599</v>
      </c>
      <c r="C241" s="116" t="s">
        <v>107</v>
      </c>
      <c r="D241" s="119">
        <v>40432.0</v>
      </c>
      <c r="E241" s="99" t="s">
        <v>347</v>
      </c>
      <c r="F241" s="99" t="s">
        <v>600</v>
      </c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115">
        <v>19.0</v>
      </c>
      <c r="B242" s="99" t="s">
        <v>601</v>
      </c>
      <c r="C242" s="116" t="s">
        <v>108</v>
      </c>
      <c r="D242" s="119">
        <v>41841.0</v>
      </c>
      <c r="E242" s="99" t="s">
        <v>343</v>
      </c>
      <c r="F242" s="99" t="s">
        <v>344</v>
      </c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115">
        <v>20.0</v>
      </c>
      <c r="B243" s="99" t="s">
        <v>602</v>
      </c>
      <c r="C243" s="116" t="s">
        <v>107</v>
      </c>
      <c r="D243" s="119">
        <v>40349.0</v>
      </c>
      <c r="E243" s="99" t="s">
        <v>603</v>
      </c>
      <c r="F243" s="99" t="s">
        <v>604</v>
      </c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115">
        <v>21.0</v>
      </c>
      <c r="B244" s="99" t="s">
        <v>605</v>
      </c>
      <c r="C244" s="116" t="s">
        <v>107</v>
      </c>
      <c r="D244" s="119">
        <v>39482.0</v>
      </c>
      <c r="E244" s="99" t="s">
        <v>606</v>
      </c>
      <c r="F244" s="99" t="s">
        <v>607</v>
      </c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115">
        <v>22.0</v>
      </c>
      <c r="B245" s="99" t="s">
        <v>608</v>
      </c>
      <c r="C245" s="116" t="s">
        <v>107</v>
      </c>
      <c r="D245" s="119">
        <v>40856.0</v>
      </c>
      <c r="E245" s="99" t="s">
        <v>609</v>
      </c>
      <c r="F245" s="99" t="s">
        <v>610</v>
      </c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115">
        <v>23.0</v>
      </c>
      <c r="B246" s="99" t="s">
        <v>611</v>
      </c>
      <c r="C246" s="116" t="s">
        <v>108</v>
      </c>
      <c r="D246" s="119">
        <v>39334.0</v>
      </c>
      <c r="E246" s="99" t="s">
        <v>612</v>
      </c>
      <c r="F246" s="99" t="s">
        <v>613</v>
      </c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115">
        <v>24.0</v>
      </c>
      <c r="B247" s="99" t="s">
        <v>614</v>
      </c>
      <c r="C247" s="116" t="s">
        <v>108</v>
      </c>
      <c r="D247" s="119">
        <v>40336.0</v>
      </c>
      <c r="E247" s="99" t="s">
        <v>383</v>
      </c>
      <c r="F247" s="99" t="s">
        <v>615</v>
      </c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115">
        <v>25.0</v>
      </c>
      <c r="B248" s="99" t="s">
        <v>616</v>
      </c>
      <c r="C248" s="116" t="s">
        <v>107</v>
      </c>
      <c r="D248" s="117">
        <v>40470.0</v>
      </c>
      <c r="E248" s="99" t="s">
        <v>617</v>
      </c>
      <c r="F248" s="99" t="s">
        <v>618</v>
      </c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115">
        <v>26.0</v>
      </c>
      <c r="B249" s="99" t="s">
        <v>619</v>
      </c>
      <c r="C249" s="116" t="s">
        <v>108</v>
      </c>
      <c r="D249" s="119">
        <v>39552.0</v>
      </c>
      <c r="E249" s="99" t="s">
        <v>620</v>
      </c>
      <c r="F249" s="99" t="s">
        <v>167</v>
      </c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115">
        <v>27.0</v>
      </c>
      <c r="B250" s="99" t="s">
        <v>621</v>
      </c>
      <c r="C250" s="116" t="s">
        <v>107</v>
      </c>
      <c r="D250" s="119">
        <v>39394.0</v>
      </c>
      <c r="E250" s="99" t="s">
        <v>622</v>
      </c>
      <c r="F250" s="99" t="s">
        <v>623</v>
      </c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115">
        <v>28.0</v>
      </c>
      <c r="B251" s="99" t="s">
        <v>624</v>
      </c>
      <c r="C251" s="116" t="s">
        <v>108</v>
      </c>
      <c r="D251" s="119">
        <v>42160.0</v>
      </c>
      <c r="E251" s="99" t="s">
        <v>625</v>
      </c>
      <c r="F251" s="99" t="s">
        <v>626</v>
      </c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115">
        <v>29.0</v>
      </c>
      <c r="B252" s="99" t="s">
        <v>627</v>
      </c>
      <c r="C252" s="116" t="s">
        <v>107</v>
      </c>
      <c r="D252" s="119">
        <v>42275.0</v>
      </c>
      <c r="E252" s="99" t="s">
        <v>622</v>
      </c>
      <c r="F252" s="99" t="s">
        <v>623</v>
      </c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115">
        <v>30.0</v>
      </c>
      <c r="B253" s="99" t="s">
        <v>628</v>
      </c>
      <c r="C253" s="116" t="s">
        <v>108</v>
      </c>
      <c r="D253" s="117">
        <v>39741.0</v>
      </c>
      <c r="E253" s="99" t="s">
        <v>629</v>
      </c>
      <c r="F253" s="99" t="s">
        <v>630</v>
      </c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115">
        <v>31.0</v>
      </c>
      <c r="B254" s="99" t="s">
        <v>631</v>
      </c>
      <c r="C254" s="116" t="s">
        <v>107</v>
      </c>
      <c r="D254" s="119">
        <v>42199.0</v>
      </c>
      <c r="E254" s="99" t="s">
        <v>629</v>
      </c>
      <c r="F254" s="99" t="s">
        <v>630</v>
      </c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115">
        <v>32.0</v>
      </c>
      <c r="B255" s="99" t="s">
        <v>632</v>
      </c>
      <c r="C255" s="116" t="s">
        <v>107</v>
      </c>
      <c r="D255" s="117">
        <v>40504.0</v>
      </c>
      <c r="E255" s="99" t="s">
        <v>633</v>
      </c>
      <c r="F255" s="99" t="s">
        <v>634</v>
      </c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115">
        <v>33.0</v>
      </c>
      <c r="B256" s="99" t="s">
        <v>635</v>
      </c>
      <c r="C256" s="116" t="s">
        <v>108</v>
      </c>
      <c r="D256" s="119">
        <v>41411.0</v>
      </c>
      <c r="E256" s="99" t="s">
        <v>636</v>
      </c>
      <c r="F256" s="99" t="s">
        <v>637</v>
      </c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115">
        <v>34.0</v>
      </c>
      <c r="B257" s="99" t="s">
        <v>638</v>
      </c>
      <c r="C257" s="116" t="s">
        <v>107</v>
      </c>
      <c r="D257" s="119">
        <v>41848.0</v>
      </c>
      <c r="E257" s="99" t="s">
        <v>409</v>
      </c>
      <c r="F257" s="99" t="s">
        <v>410</v>
      </c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115">
        <v>35.0</v>
      </c>
      <c r="B258" s="99" t="s">
        <v>639</v>
      </c>
      <c r="C258" s="116" t="s">
        <v>108</v>
      </c>
      <c r="D258" s="117">
        <v>40159.0</v>
      </c>
      <c r="E258" s="99" t="s">
        <v>640</v>
      </c>
      <c r="F258" s="99" t="s">
        <v>641</v>
      </c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115">
        <v>36.0</v>
      </c>
      <c r="B259" s="99" t="s">
        <v>642</v>
      </c>
      <c r="C259" s="116" t="s">
        <v>108</v>
      </c>
      <c r="D259" s="119">
        <v>40459.0</v>
      </c>
      <c r="E259" s="99" t="s">
        <v>643</v>
      </c>
      <c r="F259" s="99" t="s">
        <v>644</v>
      </c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115">
        <v>37.0</v>
      </c>
      <c r="B260" s="99" t="s">
        <v>645</v>
      </c>
      <c r="C260" s="116" t="s">
        <v>108</v>
      </c>
      <c r="D260" s="119">
        <v>42011.0</v>
      </c>
      <c r="E260" s="99" t="s">
        <v>643</v>
      </c>
      <c r="F260" s="99" t="s">
        <v>644</v>
      </c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115">
        <v>38.0</v>
      </c>
      <c r="B261" s="99" t="s">
        <v>646</v>
      </c>
      <c r="C261" s="116" t="s">
        <v>107</v>
      </c>
      <c r="D261" s="119">
        <v>40678.0</v>
      </c>
      <c r="E261" s="99" t="s">
        <v>647</v>
      </c>
      <c r="F261" s="99" t="s">
        <v>648</v>
      </c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115">
        <v>39.0</v>
      </c>
      <c r="B262" s="99" t="s">
        <v>649</v>
      </c>
      <c r="C262" s="116" t="s">
        <v>108</v>
      </c>
      <c r="D262" s="119">
        <v>40194.0</v>
      </c>
      <c r="E262" s="99" t="s">
        <v>650</v>
      </c>
      <c r="F262" s="99" t="s">
        <v>651</v>
      </c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115">
        <v>40.0</v>
      </c>
      <c r="B263" s="99" t="s">
        <v>652</v>
      </c>
      <c r="C263" s="116" t="s">
        <v>108</v>
      </c>
      <c r="D263" s="117">
        <v>41239.0</v>
      </c>
      <c r="E263" s="99" t="s">
        <v>653</v>
      </c>
      <c r="F263" s="99" t="s">
        <v>654</v>
      </c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115">
        <v>41.0</v>
      </c>
      <c r="B264" s="99" t="s">
        <v>655</v>
      </c>
      <c r="C264" s="116" t="s">
        <v>108</v>
      </c>
      <c r="D264" s="119">
        <v>39389.0</v>
      </c>
      <c r="E264" s="99" t="s">
        <v>656</v>
      </c>
      <c r="F264" s="99" t="s">
        <v>657</v>
      </c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115">
        <v>42.0</v>
      </c>
      <c r="B265" s="120" t="s">
        <v>658</v>
      </c>
      <c r="C265" s="121" t="s">
        <v>107</v>
      </c>
      <c r="D265" s="122">
        <v>42789.0</v>
      </c>
      <c r="E265" s="105" t="s">
        <v>659</v>
      </c>
      <c r="F265" s="105" t="s">
        <v>660</v>
      </c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115">
        <v>43.0</v>
      </c>
      <c r="B266" s="99" t="s">
        <v>661</v>
      </c>
      <c r="C266" s="116" t="s">
        <v>107</v>
      </c>
      <c r="D266" s="119">
        <v>42157.0</v>
      </c>
      <c r="E266" s="99" t="s">
        <v>659</v>
      </c>
      <c r="F266" s="99" t="s">
        <v>660</v>
      </c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115">
        <v>44.0</v>
      </c>
      <c r="B267" s="120" t="s">
        <v>662</v>
      </c>
      <c r="C267" s="121" t="s">
        <v>108</v>
      </c>
      <c r="D267" s="139">
        <v>39443.0</v>
      </c>
      <c r="E267" s="105" t="s">
        <v>663</v>
      </c>
      <c r="F267" s="105" t="s">
        <v>664</v>
      </c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115">
        <v>45.0</v>
      </c>
      <c r="B268" s="140" t="s">
        <v>665</v>
      </c>
      <c r="C268" s="141" t="s">
        <v>108</v>
      </c>
      <c r="D268" s="142">
        <v>40611.0</v>
      </c>
      <c r="E268" s="143" t="s">
        <v>666</v>
      </c>
      <c r="F268" s="143" t="s">
        <v>667</v>
      </c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115">
        <v>46.0</v>
      </c>
      <c r="B269" s="99" t="s">
        <v>668</v>
      </c>
      <c r="C269" s="116" t="s">
        <v>107</v>
      </c>
      <c r="D269" s="119">
        <v>42742.0</v>
      </c>
      <c r="E269" s="99" t="s">
        <v>666</v>
      </c>
      <c r="F269" s="99" t="s">
        <v>667</v>
      </c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115">
        <v>47.0</v>
      </c>
      <c r="B270" s="145" t="s">
        <v>669</v>
      </c>
      <c r="C270" s="21" t="s">
        <v>107</v>
      </c>
      <c r="D270" s="146">
        <v>40459.0</v>
      </c>
      <c r="E270" s="147" t="s">
        <v>670</v>
      </c>
      <c r="F270" s="147" t="s">
        <v>671</v>
      </c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115">
        <v>48.0</v>
      </c>
      <c r="B271" s="99" t="s">
        <v>672</v>
      </c>
      <c r="C271" s="116" t="s">
        <v>107</v>
      </c>
      <c r="D271" s="119">
        <v>40596.0</v>
      </c>
      <c r="E271" s="99" t="s">
        <v>376</v>
      </c>
      <c r="F271" s="99" t="s">
        <v>377</v>
      </c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115">
        <v>49.0</v>
      </c>
      <c r="B272" s="99" t="s">
        <v>673</v>
      </c>
      <c r="C272" s="116" t="s">
        <v>107</v>
      </c>
      <c r="D272" s="119">
        <v>42172.0</v>
      </c>
      <c r="E272" s="99" t="s">
        <v>674</v>
      </c>
      <c r="F272" s="99" t="s">
        <v>675</v>
      </c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115">
        <v>50.0</v>
      </c>
      <c r="B273" s="99" t="s">
        <v>676</v>
      </c>
      <c r="C273" s="116" t="s">
        <v>107</v>
      </c>
      <c r="D273" s="119">
        <v>40702.0</v>
      </c>
      <c r="E273" s="99" t="s">
        <v>677</v>
      </c>
      <c r="F273" s="99" t="s">
        <v>678</v>
      </c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115">
        <v>51.0</v>
      </c>
      <c r="B274" s="99" t="s">
        <v>679</v>
      </c>
      <c r="C274" s="116" t="s">
        <v>107</v>
      </c>
      <c r="D274" s="119">
        <v>40342.0</v>
      </c>
      <c r="E274" s="99" t="s">
        <v>443</v>
      </c>
      <c r="F274" s="99" t="s">
        <v>444</v>
      </c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115">
        <v>52.0</v>
      </c>
      <c r="B275" s="99" t="s">
        <v>680</v>
      </c>
      <c r="C275" s="116" t="s">
        <v>107</v>
      </c>
      <c r="D275" s="119">
        <v>42008.0</v>
      </c>
      <c r="E275" s="99" t="s">
        <v>681</v>
      </c>
      <c r="F275" s="99" t="s">
        <v>682</v>
      </c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115">
        <v>53.0</v>
      </c>
      <c r="B276" s="99" t="s">
        <v>683</v>
      </c>
      <c r="C276" s="116" t="s">
        <v>107</v>
      </c>
      <c r="D276" s="119">
        <v>39605.0</v>
      </c>
      <c r="E276" s="99" t="s">
        <v>684</v>
      </c>
      <c r="F276" s="99" t="s">
        <v>685</v>
      </c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115">
        <v>54.0</v>
      </c>
      <c r="B277" s="99" t="s">
        <v>686</v>
      </c>
      <c r="C277" s="116" t="s">
        <v>108</v>
      </c>
      <c r="D277" s="119">
        <v>40634.0</v>
      </c>
      <c r="E277" s="99" t="s">
        <v>322</v>
      </c>
      <c r="F277" s="99" t="s">
        <v>323</v>
      </c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115">
        <v>55.0</v>
      </c>
      <c r="B278" s="99" t="s">
        <v>687</v>
      </c>
      <c r="C278" s="116" t="s">
        <v>108</v>
      </c>
      <c r="D278" s="119">
        <v>42111.0</v>
      </c>
      <c r="E278" s="99" t="s">
        <v>688</v>
      </c>
      <c r="F278" s="99" t="s">
        <v>689</v>
      </c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115">
        <v>56.0</v>
      </c>
      <c r="B279" s="99" t="s">
        <v>690</v>
      </c>
      <c r="C279" s="116" t="s">
        <v>108</v>
      </c>
      <c r="D279" s="119">
        <v>41536.0</v>
      </c>
      <c r="E279" s="99" t="s">
        <v>691</v>
      </c>
      <c r="F279" s="99" t="s">
        <v>692</v>
      </c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115">
        <v>57.0</v>
      </c>
      <c r="B280" s="99" t="s">
        <v>693</v>
      </c>
      <c r="C280" s="116" t="s">
        <v>108</v>
      </c>
      <c r="D280" s="117">
        <v>41943.0</v>
      </c>
      <c r="E280" s="99" t="s">
        <v>694</v>
      </c>
      <c r="F280" s="99" t="s">
        <v>695</v>
      </c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115">
        <v>58.0</v>
      </c>
      <c r="B281" s="99" t="s">
        <v>696</v>
      </c>
      <c r="C281" s="116" t="s">
        <v>107</v>
      </c>
      <c r="D281" s="119">
        <v>40911.0</v>
      </c>
      <c r="E281" s="99" t="s">
        <v>697</v>
      </c>
      <c r="F281" s="99" t="s">
        <v>377</v>
      </c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115">
        <v>59.0</v>
      </c>
      <c r="B282" s="99" t="s">
        <v>698</v>
      </c>
      <c r="C282" s="116" t="s">
        <v>107</v>
      </c>
      <c r="D282" s="119">
        <v>41302.0</v>
      </c>
      <c r="E282" s="99" t="s">
        <v>390</v>
      </c>
      <c r="F282" s="99" t="s">
        <v>391</v>
      </c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115">
        <v>60.0</v>
      </c>
      <c r="B283" s="99" t="s">
        <v>699</v>
      </c>
      <c r="C283" s="116" t="s">
        <v>108</v>
      </c>
      <c r="D283" s="119">
        <v>41313.0</v>
      </c>
      <c r="E283" s="99" t="s">
        <v>700</v>
      </c>
      <c r="F283" s="99" t="s">
        <v>701</v>
      </c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115">
        <v>61.0</v>
      </c>
      <c r="B284" s="99" t="s">
        <v>702</v>
      </c>
      <c r="C284" s="116" t="s">
        <v>108</v>
      </c>
      <c r="D284" s="119">
        <v>41391.0</v>
      </c>
      <c r="E284" s="99" t="s">
        <v>703</v>
      </c>
      <c r="F284" s="99" t="s">
        <v>704</v>
      </c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115">
        <v>62.0</v>
      </c>
      <c r="B285" s="99" t="s">
        <v>705</v>
      </c>
      <c r="C285" s="116" t="s">
        <v>108</v>
      </c>
      <c r="D285" s="119">
        <v>40427.0</v>
      </c>
      <c r="E285" s="99" t="s">
        <v>706</v>
      </c>
      <c r="F285" s="99" t="s">
        <v>707</v>
      </c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115">
        <v>63.0</v>
      </c>
      <c r="B286" s="99" t="s">
        <v>708</v>
      </c>
      <c r="C286" s="116" t="s">
        <v>107</v>
      </c>
      <c r="D286" s="117">
        <v>41273.0</v>
      </c>
      <c r="E286" s="99" t="s">
        <v>145</v>
      </c>
      <c r="F286" s="99" t="s">
        <v>146</v>
      </c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115">
        <v>64.0</v>
      </c>
      <c r="B287" s="99" t="s">
        <v>709</v>
      </c>
      <c r="C287" s="116" t="s">
        <v>108</v>
      </c>
      <c r="D287" s="117">
        <v>39750.0</v>
      </c>
      <c r="E287" s="99" t="s">
        <v>691</v>
      </c>
      <c r="F287" s="99" t="s">
        <v>692</v>
      </c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115">
        <v>65.0</v>
      </c>
      <c r="B288" s="99" t="s">
        <v>710</v>
      </c>
      <c r="C288" s="116" t="s">
        <v>108</v>
      </c>
      <c r="D288" s="119">
        <v>40119.0</v>
      </c>
      <c r="E288" s="99" t="s">
        <v>400</v>
      </c>
      <c r="F288" s="99" t="s">
        <v>401</v>
      </c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115">
        <v>66.0</v>
      </c>
      <c r="B289" s="99" t="s">
        <v>711</v>
      </c>
      <c r="C289" s="116" t="s">
        <v>108</v>
      </c>
      <c r="D289" s="119">
        <v>40451.0</v>
      </c>
      <c r="E289" s="99" t="s">
        <v>712</v>
      </c>
      <c r="F289" s="99" t="s">
        <v>713</v>
      </c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115">
        <v>67.0</v>
      </c>
      <c r="B290" s="99" t="s">
        <v>714</v>
      </c>
      <c r="C290" s="116" t="s">
        <v>108</v>
      </c>
      <c r="D290" s="119">
        <v>41104.0</v>
      </c>
      <c r="E290" s="99" t="s">
        <v>715</v>
      </c>
      <c r="F290" s="99" t="s">
        <v>450</v>
      </c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115">
        <v>68.0</v>
      </c>
      <c r="B291" s="99" t="s">
        <v>716</v>
      </c>
      <c r="C291" s="116" t="s">
        <v>108</v>
      </c>
      <c r="D291" s="117">
        <v>41236.0</v>
      </c>
      <c r="E291" s="99" t="s">
        <v>717</v>
      </c>
      <c r="F291" s="99" t="s">
        <v>718</v>
      </c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115">
        <v>69.0</v>
      </c>
      <c r="B292" s="99" t="s">
        <v>719</v>
      </c>
      <c r="C292" s="116" t="s">
        <v>108</v>
      </c>
      <c r="D292" s="119">
        <v>42072.0</v>
      </c>
      <c r="E292" s="99" t="s">
        <v>352</v>
      </c>
      <c r="F292" s="99" t="s">
        <v>720</v>
      </c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115">
        <v>70.0</v>
      </c>
      <c r="B293" s="99" t="s">
        <v>721</v>
      </c>
      <c r="C293" s="116" t="s">
        <v>107</v>
      </c>
      <c r="D293" s="119">
        <v>42128.0</v>
      </c>
      <c r="E293" s="99" t="s">
        <v>267</v>
      </c>
      <c r="F293" s="99" t="s">
        <v>268</v>
      </c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115">
        <v>71.0</v>
      </c>
      <c r="B294" s="99" t="s">
        <v>722</v>
      </c>
      <c r="C294" s="116" t="s">
        <v>107</v>
      </c>
      <c r="D294" s="119">
        <v>41179.0</v>
      </c>
      <c r="E294" s="99" t="s">
        <v>301</v>
      </c>
      <c r="F294" s="99" t="s">
        <v>302</v>
      </c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115">
        <v>72.0</v>
      </c>
      <c r="B295" s="99" t="s">
        <v>723</v>
      </c>
      <c r="C295" s="116" t="s">
        <v>107</v>
      </c>
      <c r="D295" s="119">
        <v>39340.0</v>
      </c>
      <c r="E295" s="99" t="s">
        <v>724</v>
      </c>
      <c r="F295" s="99" t="s">
        <v>725</v>
      </c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115">
        <v>73.0</v>
      </c>
      <c r="B296" s="99" t="s">
        <v>726</v>
      </c>
      <c r="C296" s="116" t="s">
        <v>107</v>
      </c>
      <c r="D296" s="119">
        <v>41716.0</v>
      </c>
      <c r="E296" s="99" t="s">
        <v>727</v>
      </c>
      <c r="F296" s="99" t="s">
        <v>728</v>
      </c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115">
        <v>74.0</v>
      </c>
      <c r="B297" s="99" t="s">
        <v>729</v>
      </c>
      <c r="C297" s="116" t="s">
        <v>107</v>
      </c>
      <c r="D297" s="119">
        <v>41339.0</v>
      </c>
      <c r="E297" s="99" t="s">
        <v>730</v>
      </c>
      <c r="F297" s="99" t="s">
        <v>731</v>
      </c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115">
        <v>75.0</v>
      </c>
      <c r="B298" s="99" t="s">
        <v>732</v>
      </c>
      <c r="C298" s="116" t="s">
        <v>107</v>
      </c>
      <c r="D298" s="117">
        <v>40510.0</v>
      </c>
      <c r="E298" s="99" t="s">
        <v>733</v>
      </c>
      <c r="F298" s="99" t="s">
        <v>734</v>
      </c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115">
        <v>76.0</v>
      </c>
      <c r="B299" s="99" t="s">
        <v>735</v>
      </c>
      <c r="C299" s="116" t="s">
        <v>108</v>
      </c>
      <c r="D299" s="119">
        <v>41549.0</v>
      </c>
      <c r="E299" s="99" t="s">
        <v>736</v>
      </c>
      <c r="F299" s="99" t="s">
        <v>737</v>
      </c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115">
        <v>77.0</v>
      </c>
      <c r="B300" s="99" t="s">
        <v>738</v>
      </c>
      <c r="C300" s="116" t="s">
        <v>107</v>
      </c>
      <c r="D300" s="119">
        <v>41325.0</v>
      </c>
      <c r="E300" s="99" t="s">
        <v>739</v>
      </c>
      <c r="F300" s="99" t="s">
        <v>740</v>
      </c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115">
        <v>78.0</v>
      </c>
      <c r="B301" s="99" t="s">
        <v>741</v>
      </c>
      <c r="C301" s="116" t="s">
        <v>107</v>
      </c>
      <c r="D301" s="119">
        <v>39584.0</v>
      </c>
      <c r="E301" s="99" t="s">
        <v>742</v>
      </c>
      <c r="F301" s="99" t="s">
        <v>743</v>
      </c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115">
        <v>79.0</v>
      </c>
      <c r="B302" s="99" t="s">
        <v>744</v>
      </c>
      <c r="C302" s="116" t="s">
        <v>107</v>
      </c>
      <c r="D302" s="119">
        <v>40225.0</v>
      </c>
      <c r="E302" s="99" t="s">
        <v>745</v>
      </c>
      <c r="F302" s="99" t="s">
        <v>746</v>
      </c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115">
        <v>80.0</v>
      </c>
      <c r="B303" s="99" t="s">
        <v>747</v>
      </c>
      <c r="C303" s="116" t="s">
        <v>108</v>
      </c>
      <c r="D303" s="117">
        <v>41202.0</v>
      </c>
      <c r="E303" s="99" t="s">
        <v>748</v>
      </c>
      <c r="F303" s="99" t="s">
        <v>749</v>
      </c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115">
        <v>81.0</v>
      </c>
      <c r="B304" s="99" t="s">
        <v>750</v>
      </c>
      <c r="C304" s="116" t="s">
        <v>108</v>
      </c>
      <c r="D304" s="119">
        <v>40912.0</v>
      </c>
      <c r="E304" s="99" t="s">
        <v>751</v>
      </c>
      <c r="F304" s="99" t="s">
        <v>752</v>
      </c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115">
        <v>82.0</v>
      </c>
      <c r="B305" s="99" t="s">
        <v>753</v>
      </c>
      <c r="C305" s="116" t="s">
        <v>107</v>
      </c>
      <c r="D305" s="119">
        <v>41066.0</v>
      </c>
      <c r="E305" s="99" t="s">
        <v>754</v>
      </c>
      <c r="F305" s="99" t="s">
        <v>755</v>
      </c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115">
        <v>83.0</v>
      </c>
      <c r="B306" s="99" t="s">
        <v>756</v>
      </c>
      <c r="C306" s="116" t="s">
        <v>107</v>
      </c>
      <c r="D306" s="119">
        <v>41358.0</v>
      </c>
      <c r="E306" s="99" t="s">
        <v>379</v>
      </c>
      <c r="F306" s="99" t="s">
        <v>380</v>
      </c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115">
        <v>84.0</v>
      </c>
      <c r="B307" s="99" t="s">
        <v>757</v>
      </c>
      <c r="C307" s="116" t="s">
        <v>108</v>
      </c>
      <c r="D307" s="119">
        <v>39538.0</v>
      </c>
      <c r="E307" s="99" t="s">
        <v>758</v>
      </c>
      <c r="F307" s="99" t="s">
        <v>759</v>
      </c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115">
        <v>85.0</v>
      </c>
      <c r="B308" s="99" t="s">
        <v>760</v>
      </c>
      <c r="C308" s="116" t="s">
        <v>107</v>
      </c>
      <c r="D308" s="119">
        <v>42196.0</v>
      </c>
      <c r="E308" s="99" t="s">
        <v>761</v>
      </c>
      <c r="F308" s="99" t="s">
        <v>762</v>
      </c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115">
        <v>86.0</v>
      </c>
      <c r="B309" s="99" t="s">
        <v>763</v>
      </c>
      <c r="C309" s="116" t="s">
        <v>108</v>
      </c>
      <c r="D309" s="119">
        <v>41542.0</v>
      </c>
      <c r="E309" s="99" t="s">
        <v>561</v>
      </c>
      <c r="F309" s="99" t="s">
        <v>562</v>
      </c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115">
        <v>87.0</v>
      </c>
      <c r="B310" s="99" t="s">
        <v>764</v>
      </c>
      <c r="C310" s="116" t="s">
        <v>108</v>
      </c>
      <c r="D310" s="119">
        <v>39898.0</v>
      </c>
      <c r="E310" s="99" t="s">
        <v>561</v>
      </c>
      <c r="F310" s="99" t="s">
        <v>562</v>
      </c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115">
        <v>88.0</v>
      </c>
      <c r="B311" s="99" t="s">
        <v>765</v>
      </c>
      <c r="C311" s="116" t="s">
        <v>108</v>
      </c>
      <c r="D311" s="119">
        <v>42260.0</v>
      </c>
      <c r="E311" s="99" t="s">
        <v>766</v>
      </c>
      <c r="F311" s="99" t="s">
        <v>767</v>
      </c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115">
        <v>89.0</v>
      </c>
      <c r="B312" s="99" t="s">
        <v>768</v>
      </c>
      <c r="C312" s="116" t="s">
        <v>107</v>
      </c>
      <c r="D312" s="119">
        <v>39872.0</v>
      </c>
      <c r="E312" s="99" t="s">
        <v>769</v>
      </c>
      <c r="F312" s="99" t="s">
        <v>770</v>
      </c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115">
        <v>90.0</v>
      </c>
      <c r="B313" s="99" t="s">
        <v>771</v>
      </c>
      <c r="C313" s="116" t="s">
        <v>107</v>
      </c>
      <c r="D313" s="119">
        <v>41673.0</v>
      </c>
      <c r="E313" s="99" t="s">
        <v>772</v>
      </c>
      <c r="F313" s="99" t="s">
        <v>773</v>
      </c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115">
        <v>91.0</v>
      </c>
      <c r="B314" s="99" t="s">
        <v>774</v>
      </c>
      <c r="C314" s="116" t="s">
        <v>107</v>
      </c>
      <c r="D314" s="119">
        <v>41430.0</v>
      </c>
      <c r="E314" s="99" t="s">
        <v>775</v>
      </c>
      <c r="F314" s="99" t="s">
        <v>776</v>
      </c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115">
        <v>92.0</v>
      </c>
      <c r="B315" s="99" t="s">
        <v>777</v>
      </c>
      <c r="C315" s="116" t="s">
        <v>107</v>
      </c>
      <c r="D315" s="119">
        <v>41513.0</v>
      </c>
      <c r="E315" s="99" t="s">
        <v>778</v>
      </c>
      <c r="F315" s="99" t="s">
        <v>779</v>
      </c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115">
        <v>93.0</v>
      </c>
      <c r="B316" s="99" t="s">
        <v>780</v>
      </c>
      <c r="C316" s="116" t="s">
        <v>107</v>
      </c>
      <c r="D316" s="117">
        <v>42294.0</v>
      </c>
      <c r="E316" s="99" t="s">
        <v>781</v>
      </c>
      <c r="F316" s="99" t="s">
        <v>782</v>
      </c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115">
        <v>94.0</v>
      </c>
      <c r="B317" s="99" t="s">
        <v>783</v>
      </c>
      <c r="C317" s="116" t="s">
        <v>107</v>
      </c>
      <c r="D317" s="119">
        <v>41469.0</v>
      </c>
      <c r="E317" s="99" t="s">
        <v>784</v>
      </c>
      <c r="F317" s="99" t="s">
        <v>785</v>
      </c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115">
        <v>95.0</v>
      </c>
      <c r="B318" s="99" t="s">
        <v>786</v>
      </c>
      <c r="C318" s="116" t="s">
        <v>108</v>
      </c>
      <c r="D318" s="119">
        <v>40648.0</v>
      </c>
      <c r="E318" s="99" t="s">
        <v>787</v>
      </c>
      <c r="F318" s="99" t="s">
        <v>788</v>
      </c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115">
        <v>96.0</v>
      </c>
      <c r="B319" s="99" t="s">
        <v>789</v>
      </c>
      <c r="C319" s="116" t="s">
        <v>108</v>
      </c>
      <c r="D319" s="117">
        <v>40114.0</v>
      </c>
      <c r="E319" s="99" t="s">
        <v>790</v>
      </c>
      <c r="F319" s="99" t="s">
        <v>431</v>
      </c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115">
        <v>97.0</v>
      </c>
      <c r="B320" s="99" t="s">
        <v>791</v>
      </c>
      <c r="C320" s="116" t="s">
        <v>107</v>
      </c>
      <c r="D320" s="119">
        <v>41154.0</v>
      </c>
      <c r="E320" s="99" t="s">
        <v>792</v>
      </c>
      <c r="F320" s="99" t="s">
        <v>793</v>
      </c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115">
        <v>98.0</v>
      </c>
      <c r="B321" s="99" t="s">
        <v>794</v>
      </c>
      <c r="C321" s="116" t="s">
        <v>107</v>
      </c>
      <c r="D321" s="119">
        <v>41167.0</v>
      </c>
      <c r="E321" s="99" t="s">
        <v>795</v>
      </c>
      <c r="F321" s="99" t="s">
        <v>796</v>
      </c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115">
        <v>99.0</v>
      </c>
      <c r="B322" s="99" t="s">
        <v>797</v>
      </c>
      <c r="C322" s="116" t="s">
        <v>107</v>
      </c>
      <c r="D322" s="119">
        <v>41316.0</v>
      </c>
      <c r="E322" s="99" t="s">
        <v>798</v>
      </c>
      <c r="F322" s="99" t="s">
        <v>799</v>
      </c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115">
        <v>100.0</v>
      </c>
      <c r="B323" s="99" t="s">
        <v>800</v>
      </c>
      <c r="C323" s="116" t="s">
        <v>107</v>
      </c>
      <c r="D323" s="119">
        <v>39685.0</v>
      </c>
      <c r="E323" s="99" t="s">
        <v>801</v>
      </c>
      <c r="F323" s="99" t="s">
        <v>802</v>
      </c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115">
        <v>101.0</v>
      </c>
      <c r="B324" s="99" t="s">
        <v>803</v>
      </c>
      <c r="C324" s="116" t="s">
        <v>107</v>
      </c>
      <c r="D324" s="119">
        <v>39689.0</v>
      </c>
      <c r="E324" s="99" t="s">
        <v>804</v>
      </c>
      <c r="F324" s="99" t="s">
        <v>805</v>
      </c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115">
        <v>102.0</v>
      </c>
      <c r="B325" s="99" t="s">
        <v>806</v>
      </c>
      <c r="C325" s="116" t="s">
        <v>108</v>
      </c>
      <c r="D325" s="119">
        <v>40516.0</v>
      </c>
      <c r="E325" s="99" t="s">
        <v>807</v>
      </c>
      <c r="F325" s="99" t="s">
        <v>808</v>
      </c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115">
        <v>103.0</v>
      </c>
      <c r="B326" s="99" t="s">
        <v>809</v>
      </c>
      <c r="C326" s="116" t="s">
        <v>107</v>
      </c>
      <c r="D326" s="119">
        <v>41336.0</v>
      </c>
      <c r="E326" s="99" t="s">
        <v>148</v>
      </c>
      <c r="F326" s="99" t="s">
        <v>149</v>
      </c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115">
        <v>104.0</v>
      </c>
      <c r="B327" s="99" t="s">
        <v>810</v>
      </c>
      <c r="C327" s="116" t="s">
        <v>107</v>
      </c>
      <c r="D327" s="117">
        <v>40146.0</v>
      </c>
      <c r="E327" s="99" t="s">
        <v>811</v>
      </c>
      <c r="F327" s="99" t="s">
        <v>812</v>
      </c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115">
        <v>105.0</v>
      </c>
      <c r="B328" s="99" t="s">
        <v>813</v>
      </c>
      <c r="C328" s="116" t="s">
        <v>108</v>
      </c>
      <c r="D328" s="119">
        <v>40083.0</v>
      </c>
      <c r="E328" s="99" t="s">
        <v>814</v>
      </c>
      <c r="F328" s="99" t="s">
        <v>815</v>
      </c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115">
        <v>106.0</v>
      </c>
      <c r="B329" s="120" t="s">
        <v>816</v>
      </c>
      <c r="C329" s="121" t="s">
        <v>108</v>
      </c>
      <c r="D329" s="122">
        <v>42155.0</v>
      </c>
      <c r="E329" s="105" t="s">
        <v>814</v>
      </c>
      <c r="F329" s="105" t="s">
        <v>815</v>
      </c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115">
        <v>107.0</v>
      </c>
      <c r="B330" s="99" t="s">
        <v>817</v>
      </c>
      <c r="C330" s="116" t="s">
        <v>108</v>
      </c>
      <c r="D330" s="119">
        <v>40602.0</v>
      </c>
      <c r="E330" s="99" t="s">
        <v>386</v>
      </c>
      <c r="F330" s="99" t="s">
        <v>387</v>
      </c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115">
        <v>108.0</v>
      </c>
      <c r="B331" s="99" t="s">
        <v>818</v>
      </c>
      <c r="C331" s="116" t="s">
        <v>107</v>
      </c>
      <c r="D331" s="119">
        <v>41732.0</v>
      </c>
      <c r="E331" s="99" t="s">
        <v>819</v>
      </c>
      <c r="F331" s="99" t="s">
        <v>820</v>
      </c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115">
        <v>109.0</v>
      </c>
      <c r="B332" s="99" t="s">
        <v>821</v>
      </c>
      <c r="C332" s="116" t="s">
        <v>107</v>
      </c>
      <c r="D332" s="119">
        <v>43375.0</v>
      </c>
      <c r="E332" s="99" t="s">
        <v>822</v>
      </c>
      <c r="F332" s="99" t="s">
        <v>823</v>
      </c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115">
        <v>110.0</v>
      </c>
      <c r="B333" s="99" t="s">
        <v>824</v>
      </c>
      <c r="C333" s="116" t="s">
        <v>108</v>
      </c>
      <c r="D333" s="119">
        <v>42396.0</v>
      </c>
      <c r="E333" s="99" t="s">
        <v>825</v>
      </c>
      <c r="F333" s="99" t="s">
        <v>826</v>
      </c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115">
        <v>111.0</v>
      </c>
      <c r="B334" s="99" t="s">
        <v>827</v>
      </c>
      <c r="C334" s="116" t="s">
        <v>108</v>
      </c>
      <c r="D334" s="117">
        <v>43390.0</v>
      </c>
      <c r="E334" s="99" t="s">
        <v>828</v>
      </c>
      <c r="F334" s="99" t="s">
        <v>829</v>
      </c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115">
        <v>112.0</v>
      </c>
      <c r="B335" s="99" t="s">
        <v>830</v>
      </c>
      <c r="C335" s="116" t="s">
        <v>107</v>
      </c>
      <c r="D335" s="119">
        <v>42949.0</v>
      </c>
      <c r="E335" s="99" t="s">
        <v>825</v>
      </c>
      <c r="F335" s="99" t="s">
        <v>826</v>
      </c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115">
        <v>113.0</v>
      </c>
      <c r="B336" s="99" t="s">
        <v>831</v>
      </c>
      <c r="C336" s="116" t="s">
        <v>108</v>
      </c>
      <c r="D336" s="119">
        <v>43353.0</v>
      </c>
      <c r="E336" s="99" t="s">
        <v>549</v>
      </c>
      <c r="F336" s="99" t="s">
        <v>832</v>
      </c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115">
        <v>114.0</v>
      </c>
      <c r="B337" s="99" t="s">
        <v>833</v>
      </c>
      <c r="C337" s="116" t="s">
        <v>107</v>
      </c>
      <c r="D337" s="119">
        <v>42063.0</v>
      </c>
      <c r="E337" s="99" t="s">
        <v>834</v>
      </c>
      <c r="F337" s="99" t="s">
        <v>835</v>
      </c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115">
        <v>115.0</v>
      </c>
      <c r="B338" s="120" t="s">
        <v>836</v>
      </c>
      <c r="C338" s="121" t="s">
        <v>107</v>
      </c>
      <c r="D338" s="122">
        <v>42908.0</v>
      </c>
      <c r="E338" s="105" t="s">
        <v>834</v>
      </c>
      <c r="F338" s="105" t="s">
        <v>835</v>
      </c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115">
        <v>116.0</v>
      </c>
      <c r="B339" s="99" t="s">
        <v>837</v>
      </c>
      <c r="C339" s="116" t="s">
        <v>108</v>
      </c>
      <c r="D339" s="119">
        <v>42601.0</v>
      </c>
      <c r="E339" s="99" t="s">
        <v>838</v>
      </c>
      <c r="F339" s="99" t="s">
        <v>839</v>
      </c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115">
        <v>117.0</v>
      </c>
      <c r="B340" s="99" t="s">
        <v>840</v>
      </c>
      <c r="C340" s="116" t="s">
        <v>108</v>
      </c>
      <c r="D340" s="119">
        <v>42138.0</v>
      </c>
      <c r="E340" s="99" t="s">
        <v>841</v>
      </c>
      <c r="F340" s="99" t="s">
        <v>842</v>
      </c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115">
        <v>118.0</v>
      </c>
      <c r="B341" s="99" t="s">
        <v>843</v>
      </c>
      <c r="C341" s="116" t="s">
        <v>108</v>
      </c>
      <c r="D341" s="119">
        <v>43292.0</v>
      </c>
      <c r="E341" s="99" t="s">
        <v>844</v>
      </c>
      <c r="F341" s="99" t="s">
        <v>845</v>
      </c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115">
        <v>119.0</v>
      </c>
      <c r="B342" s="99" t="s">
        <v>846</v>
      </c>
      <c r="C342" s="116" t="s">
        <v>107</v>
      </c>
      <c r="D342" s="119">
        <v>42168.0</v>
      </c>
      <c r="E342" s="99" t="s">
        <v>847</v>
      </c>
      <c r="F342" s="99" t="s">
        <v>848</v>
      </c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115">
        <v>120.0</v>
      </c>
      <c r="B343" s="99" t="s">
        <v>849</v>
      </c>
      <c r="C343" s="116" t="s">
        <v>107</v>
      </c>
      <c r="D343" s="119">
        <v>42794.0</v>
      </c>
      <c r="E343" s="99" t="s">
        <v>496</v>
      </c>
      <c r="F343" s="99" t="s">
        <v>850</v>
      </c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115">
        <v>121.0</v>
      </c>
      <c r="B344" s="99" t="s">
        <v>851</v>
      </c>
      <c r="C344" s="116" t="s">
        <v>107</v>
      </c>
      <c r="D344" s="119">
        <v>45766.0</v>
      </c>
      <c r="E344" s="99" t="s">
        <v>852</v>
      </c>
      <c r="F344" s="99" t="s">
        <v>853</v>
      </c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115">
        <v>122.0</v>
      </c>
      <c r="B345" s="99" t="s">
        <v>854</v>
      </c>
      <c r="C345" s="116" t="s">
        <v>107</v>
      </c>
      <c r="D345" s="119">
        <v>43405.0</v>
      </c>
      <c r="E345" s="99" t="s">
        <v>855</v>
      </c>
      <c r="F345" s="99" t="s">
        <v>488</v>
      </c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115">
        <v>123.0</v>
      </c>
      <c r="B346" s="99" t="s">
        <v>856</v>
      </c>
      <c r="C346" s="116" t="s">
        <v>108</v>
      </c>
      <c r="D346" s="119">
        <v>40202.0</v>
      </c>
      <c r="E346" s="99" t="s">
        <v>857</v>
      </c>
      <c r="F346" s="99" t="s">
        <v>858</v>
      </c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115">
        <v>124.0</v>
      </c>
      <c r="B347" s="99" t="s">
        <v>859</v>
      </c>
      <c r="C347" s="116" t="s">
        <v>107</v>
      </c>
      <c r="D347" s="119">
        <v>42590.0</v>
      </c>
      <c r="E347" s="99" t="s">
        <v>232</v>
      </c>
      <c r="F347" s="99" t="s">
        <v>860</v>
      </c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115">
        <v>125.0</v>
      </c>
      <c r="B348" s="99" t="s">
        <v>861</v>
      </c>
      <c r="C348" s="116" t="s">
        <v>108</v>
      </c>
      <c r="D348" s="117">
        <v>42659.0</v>
      </c>
      <c r="E348" s="99" t="s">
        <v>862</v>
      </c>
      <c r="F348" s="99" t="s">
        <v>863</v>
      </c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115">
        <v>126.0</v>
      </c>
      <c r="B349" s="99" t="s">
        <v>864</v>
      </c>
      <c r="C349" s="116" t="s">
        <v>107</v>
      </c>
      <c r="D349" s="117">
        <v>43454.0</v>
      </c>
      <c r="E349" s="99" t="s">
        <v>865</v>
      </c>
      <c r="F349" s="99" t="s">
        <v>866</v>
      </c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115">
        <v>127.0</v>
      </c>
      <c r="B350" s="99" t="s">
        <v>867</v>
      </c>
      <c r="C350" s="116" t="s">
        <v>108</v>
      </c>
      <c r="D350" s="119">
        <v>42814.0</v>
      </c>
      <c r="E350" s="99" t="s">
        <v>475</v>
      </c>
      <c r="F350" s="99" t="s">
        <v>868</v>
      </c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115">
        <v>128.0</v>
      </c>
      <c r="B351" s="99" t="s">
        <v>869</v>
      </c>
      <c r="C351" s="116" t="s">
        <v>107</v>
      </c>
      <c r="D351" s="119">
        <v>43219.0</v>
      </c>
      <c r="E351" s="99" t="s">
        <v>870</v>
      </c>
      <c r="F351" s="99" t="s">
        <v>871</v>
      </c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115">
        <v>129.0</v>
      </c>
      <c r="B352" s="99" t="s">
        <v>872</v>
      </c>
      <c r="C352" s="116" t="s">
        <v>108</v>
      </c>
      <c r="D352" s="119">
        <v>43190.0</v>
      </c>
      <c r="E352" s="99" t="s">
        <v>873</v>
      </c>
      <c r="F352" s="99" t="s">
        <v>874</v>
      </c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115">
        <v>130.0</v>
      </c>
      <c r="B353" s="99" t="s">
        <v>875</v>
      </c>
      <c r="C353" s="116" t="s">
        <v>107</v>
      </c>
      <c r="D353" s="119">
        <v>43106.0</v>
      </c>
      <c r="E353" s="99" t="s">
        <v>876</v>
      </c>
      <c r="F353" s="99" t="s">
        <v>877</v>
      </c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115">
        <v>131.0</v>
      </c>
      <c r="B354" s="99" t="s">
        <v>878</v>
      </c>
      <c r="C354" s="116" t="s">
        <v>108</v>
      </c>
      <c r="D354" s="119">
        <v>43436.0</v>
      </c>
      <c r="E354" s="99" t="s">
        <v>879</v>
      </c>
      <c r="F354" s="99" t="s">
        <v>880</v>
      </c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115">
        <v>132.0</v>
      </c>
      <c r="B355" s="99" t="s">
        <v>881</v>
      </c>
      <c r="C355" s="116" t="s">
        <v>108</v>
      </c>
      <c r="D355" s="119">
        <v>42928.0</v>
      </c>
      <c r="E355" s="99" t="s">
        <v>882</v>
      </c>
      <c r="F355" s="99" t="s">
        <v>883</v>
      </c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115">
        <v>133.0</v>
      </c>
      <c r="B356" s="99" t="s">
        <v>884</v>
      </c>
      <c r="C356" s="116" t="s">
        <v>107</v>
      </c>
      <c r="D356" s="119">
        <v>42807.0</v>
      </c>
      <c r="E356" s="99" t="s">
        <v>885</v>
      </c>
      <c r="F356" s="99" t="s">
        <v>886</v>
      </c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115">
        <v>134.0</v>
      </c>
      <c r="B357" s="99" t="s">
        <v>887</v>
      </c>
      <c r="C357" s="116" t="s">
        <v>108</v>
      </c>
      <c r="D357" s="119">
        <v>42045.0</v>
      </c>
      <c r="E357" s="99" t="s">
        <v>193</v>
      </c>
      <c r="F357" s="99" t="s">
        <v>194</v>
      </c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115">
        <v>135.0</v>
      </c>
      <c r="B358" s="99" t="s">
        <v>888</v>
      </c>
      <c r="C358" s="116" t="s">
        <v>108</v>
      </c>
      <c r="D358" s="117">
        <v>42704.0</v>
      </c>
      <c r="E358" s="99" t="s">
        <v>889</v>
      </c>
      <c r="F358" s="99" t="s">
        <v>890</v>
      </c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115">
        <v>136.0</v>
      </c>
      <c r="B359" s="99" t="s">
        <v>891</v>
      </c>
      <c r="C359" s="116" t="s">
        <v>107</v>
      </c>
      <c r="D359" s="119">
        <v>42982.0</v>
      </c>
      <c r="E359" s="99" t="s">
        <v>511</v>
      </c>
      <c r="F359" s="99" t="s">
        <v>512</v>
      </c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115">
        <v>137.0</v>
      </c>
      <c r="B360" s="99" t="s">
        <v>892</v>
      </c>
      <c r="C360" s="116" t="s">
        <v>108</v>
      </c>
      <c r="D360" s="117">
        <v>43462.0</v>
      </c>
      <c r="E360" s="99" t="s">
        <v>893</v>
      </c>
      <c r="F360" s="99" t="s">
        <v>485</v>
      </c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115">
        <v>138.0</v>
      </c>
      <c r="B361" s="99" t="s">
        <v>894</v>
      </c>
      <c r="C361" s="116" t="s">
        <v>108</v>
      </c>
      <c r="D361" s="119">
        <v>42763.0</v>
      </c>
      <c r="E361" s="99" t="s">
        <v>895</v>
      </c>
      <c r="F361" s="99" t="s">
        <v>896</v>
      </c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115">
        <v>139.0</v>
      </c>
      <c r="B362" s="99" t="s">
        <v>897</v>
      </c>
      <c r="C362" s="116" t="s">
        <v>107</v>
      </c>
      <c r="D362" s="119">
        <v>42026.0</v>
      </c>
      <c r="E362" s="99" t="s">
        <v>898</v>
      </c>
      <c r="F362" s="99" t="s">
        <v>899</v>
      </c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115">
        <v>140.0</v>
      </c>
      <c r="B363" s="99" t="s">
        <v>900</v>
      </c>
      <c r="C363" s="116" t="s">
        <v>107</v>
      </c>
      <c r="D363" s="117">
        <v>42715.0</v>
      </c>
      <c r="E363" s="99" t="s">
        <v>901</v>
      </c>
      <c r="F363" s="99" t="s">
        <v>902</v>
      </c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115">
        <v>141.0</v>
      </c>
      <c r="B364" s="99" t="s">
        <v>903</v>
      </c>
      <c r="C364" s="116" t="s">
        <v>108</v>
      </c>
      <c r="D364" s="119">
        <v>42159.0</v>
      </c>
      <c r="E364" s="99" t="s">
        <v>904</v>
      </c>
      <c r="F364" s="99" t="s">
        <v>905</v>
      </c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115">
        <v>142.0</v>
      </c>
      <c r="B365" s="99" t="s">
        <v>906</v>
      </c>
      <c r="C365" s="116" t="s">
        <v>108</v>
      </c>
      <c r="D365" s="119">
        <v>43353.0</v>
      </c>
      <c r="E365" s="99" t="s">
        <v>907</v>
      </c>
      <c r="F365" s="99" t="s">
        <v>908</v>
      </c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115">
        <v>143.0</v>
      </c>
      <c r="B366" s="99" t="s">
        <v>909</v>
      </c>
      <c r="C366" s="116" t="s">
        <v>108</v>
      </c>
      <c r="D366" s="119">
        <v>43183.0</v>
      </c>
      <c r="E366" s="99" t="s">
        <v>910</v>
      </c>
      <c r="F366" s="99" t="s">
        <v>911</v>
      </c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115">
        <v>144.0</v>
      </c>
      <c r="B367" s="99" t="s">
        <v>912</v>
      </c>
      <c r="C367" s="116" t="s">
        <v>108</v>
      </c>
      <c r="D367" s="117">
        <v>42723.0</v>
      </c>
      <c r="E367" s="99" t="s">
        <v>913</v>
      </c>
      <c r="F367" s="99" t="s">
        <v>914</v>
      </c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115">
        <v>145.0</v>
      </c>
      <c r="B368" s="99" t="s">
        <v>915</v>
      </c>
      <c r="C368" s="116" t="s">
        <v>108</v>
      </c>
      <c r="D368" s="119">
        <v>42964.0</v>
      </c>
      <c r="E368" s="99" t="s">
        <v>916</v>
      </c>
      <c r="F368" s="99" t="s">
        <v>917</v>
      </c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115">
        <v>146.0</v>
      </c>
      <c r="B369" s="99" t="s">
        <v>918</v>
      </c>
      <c r="C369" s="116" t="s">
        <v>108</v>
      </c>
      <c r="D369" s="119">
        <v>42555.0</v>
      </c>
      <c r="E369" s="99" t="s">
        <v>919</v>
      </c>
      <c r="F369" s="99" t="s">
        <v>920</v>
      </c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115">
        <v>147.0</v>
      </c>
      <c r="B370" s="99" t="s">
        <v>921</v>
      </c>
      <c r="C370" s="116" t="s">
        <v>107</v>
      </c>
      <c r="D370" s="117">
        <v>43052.0</v>
      </c>
      <c r="E370" s="99" t="s">
        <v>199</v>
      </c>
      <c r="F370" s="99" t="s">
        <v>922</v>
      </c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115">
        <v>148.0</v>
      </c>
      <c r="B371" s="99" t="s">
        <v>923</v>
      </c>
      <c r="C371" s="116" t="s">
        <v>108</v>
      </c>
      <c r="D371" s="117">
        <v>42327.0</v>
      </c>
      <c r="E371" s="99" t="s">
        <v>924</v>
      </c>
      <c r="F371" s="99" t="s">
        <v>925</v>
      </c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115">
        <v>149.0</v>
      </c>
      <c r="B372" s="99" t="s">
        <v>926</v>
      </c>
      <c r="C372" s="116" t="s">
        <v>107</v>
      </c>
      <c r="D372" s="119">
        <v>41124.0</v>
      </c>
      <c r="E372" s="99" t="s">
        <v>819</v>
      </c>
      <c r="F372" s="99" t="s">
        <v>820</v>
      </c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115">
        <v>150.0</v>
      </c>
      <c r="B373" s="99" t="s">
        <v>927</v>
      </c>
      <c r="C373" s="116" t="s">
        <v>107</v>
      </c>
      <c r="D373" s="117">
        <v>41960.0</v>
      </c>
      <c r="E373" s="99" t="s">
        <v>472</v>
      </c>
      <c r="F373" s="99" t="s">
        <v>473</v>
      </c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115">
        <v>151.0</v>
      </c>
      <c r="B374" s="99" t="s">
        <v>928</v>
      </c>
      <c r="C374" s="116" t="s">
        <v>107</v>
      </c>
      <c r="D374" s="119">
        <v>40619.0</v>
      </c>
      <c r="E374" s="99" t="s">
        <v>929</v>
      </c>
      <c r="F374" s="99" t="s">
        <v>930</v>
      </c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115">
        <v>152.0</v>
      </c>
      <c r="B375" s="99" t="s">
        <v>931</v>
      </c>
      <c r="C375" s="116" t="s">
        <v>108</v>
      </c>
      <c r="D375" s="119">
        <v>40790.0</v>
      </c>
      <c r="E375" s="99" t="s">
        <v>932</v>
      </c>
      <c r="F375" s="99" t="s">
        <v>933</v>
      </c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115">
        <v>153.0</v>
      </c>
      <c r="B376" s="99" t="s">
        <v>934</v>
      </c>
      <c r="C376" s="116" t="s">
        <v>107</v>
      </c>
      <c r="D376" s="119">
        <v>41216.0</v>
      </c>
      <c r="E376" s="99" t="s">
        <v>935</v>
      </c>
      <c r="F376" s="99" t="s">
        <v>491</v>
      </c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115">
        <v>154.0</v>
      </c>
      <c r="B377" s="99" t="s">
        <v>936</v>
      </c>
      <c r="C377" s="116" t="s">
        <v>108</v>
      </c>
      <c r="D377" s="119">
        <v>41275.0</v>
      </c>
      <c r="E377" s="99" t="s">
        <v>937</v>
      </c>
      <c r="F377" s="99" t="s">
        <v>938</v>
      </c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115">
        <v>155.0</v>
      </c>
      <c r="B378" s="99" t="s">
        <v>939</v>
      </c>
      <c r="C378" s="116" t="s">
        <v>108</v>
      </c>
      <c r="D378" s="119">
        <v>41414.0</v>
      </c>
      <c r="E378" s="99" t="s">
        <v>940</v>
      </c>
      <c r="F378" s="99" t="s">
        <v>941</v>
      </c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115">
        <v>156.0</v>
      </c>
      <c r="B379" s="99" t="s">
        <v>942</v>
      </c>
      <c r="C379" s="116" t="s">
        <v>107</v>
      </c>
      <c r="D379" s="117">
        <v>39778.0</v>
      </c>
      <c r="E379" s="99" t="s">
        <v>943</v>
      </c>
      <c r="F379" s="99" t="s">
        <v>500</v>
      </c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115">
        <v>157.0</v>
      </c>
      <c r="B380" s="99" t="s">
        <v>944</v>
      </c>
      <c r="C380" s="116" t="s">
        <v>108</v>
      </c>
      <c r="D380" s="119">
        <v>41804.0</v>
      </c>
      <c r="E380" s="99" t="s">
        <v>945</v>
      </c>
      <c r="F380" s="99" t="s">
        <v>461</v>
      </c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115">
        <v>158.0</v>
      </c>
      <c r="B381" s="99" t="s">
        <v>946</v>
      </c>
      <c r="C381" s="116" t="s">
        <v>108</v>
      </c>
      <c r="D381" s="117">
        <v>41199.0</v>
      </c>
      <c r="E381" s="99" t="s">
        <v>825</v>
      </c>
      <c r="F381" s="99" t="s">
        <v>826</v>
      </c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115">
        <v>159.0</v>
      </c>
      <c r="B382" s="99" t="s">
        <v>947</v>
      </c>
      <c r="C382" s="116" t="s">
        <v>107</v>
      </c>
      <c r="D382" s="119">
        <v>39291.0</v>
      </c>
      <c r="E382" s="99" t="s">
        <v>948</v>
      </c>
      <c r="F382" s="99" t="s">
        <v>949</v>
      </c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115">
        <v>160.0</v>
      </c>
      <c r="B383" s="99" t="s">
        <v>950</v>
      </c>
      <c r="C383" s="116" t="s">
        <v>107</v>
      </c>
      <c r="D383" s="119">
        <v>40850.0</v>
      </c>
      <c r="E383" s="99" t="s">
        <v>951</v>
      </c>
      <c r="F383" s="99" t="s">
        <v>952</v>
      </c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115">
        <v>161.0</v>
      </c>
      <c r="B384" s="99" t="s">
        <v>953</v>
      </c>
      <c r="C384" s="116" t="s">
        <v>107</v>
      </c>
      <c r="D384" s="117">
        <v>41929.0</v>
      </c>
      <c r="E384" s="99" t="s">
        <v>828</v>
      </c>
      <c r="F384" s="99" t="s">
        <v>829</v>
      </c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115">
        <v>162.0</v>
      </c>
      <c r="B385" s="99" t="s">
        <v>954</v>
      </c>
      <c r="C385" s="116" t="s">
        <v>108</v>
      </c>
      <c r="D385" s="119">
        <v>40074.0</v>
      </c>
      <c r="E385" s="99" t="s">
        <v>841</v>
      </c>
      <c r="F385" s="99" t="s">
        <v>842</v>
      </c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115">
        <v>163.0</v>
      </c>
      <c r="B386" s="99" t="s">
        <v>955</v>
      </c>
      <c r="C386" s="116" t="s">
        <v>107</v>
      </c>
      <c r="D386" s="119">
        <v>41449.0</v>
      </c>
      <c r="E386" s="99" t="s">
        <v>844</v>
      </c>
      <c r="F386" s="99" t="s">
        <v>956</v>
      </c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115">
        <v>164.0</v>
      </c>
      <c r="B387" s="99" t="s">
        <v>957</v>
      </c>
      <c r="C387" s="116" t="s">
        <v>107</v>
      </c>
      <c r="D387" s="119">
        <v>39152.0</v>
      </c>
      <c r="E387" s="99" t="s">
        <v>838</v>
      </c>
      <c r="F387" s="99" t="s">
        <v>839</v>
      </c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115">
        <v>165.0</v>
      </c>
      <c r="B388" s="99" t="s">
        <v>958</v>
      </c>
      <c r="C388" s="116" t="s">
        <v>107</v>
      </c>
      <c r="D388" s="119">
        <v>40028.0</v>
      </c>
      <c r="E388" s="99" t="s">
        <v>959</v>
      </c>
      <c r="F388" s="99" t="s">
        <v>960</v>
      </c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115">
        <v>166.0</v>
      </c>
      <c r="B389" s="99" t="s">
        <v>961</v>
      </c>
      <c r="C389" s="116" t="s">
        <v>108</v>
      </c>
      <c r="D389" s="119">
        <v>39463.0</v>
      </c>
      <c r="E389" s="99" t="s">
        <v>962</v>
      </c>
      <c r="F389" s="99" t="s">
        <v>963</v>
      </c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115">
        <v>167.0</v>
      </c>
      <c r="B390" s="99" t="s">
        <v>964</v>
      </c>
      <c r="C390" s="116" t="s">
        <v>107</v>
      </c>
      <c r="D390" s="119">
        <v>41337.0</v>
      </c>
      <c r="E390" s="99" t="s">
        <v>965</v>
      </c>
      <c r="F390" s="99" t="s">
        <v>966</v>
      </c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115">
        <v>168.0</v>
      </c>
      <c r="B391" s="99" t="s">
        <v>967</v>
      </c>
      <c r="C391" s="116" t="s">
        <v>108</v>
      </c>
      <c r="D391" s="119">
        <v>39702.0</v>
      </c>
      <c r="E391" s="99" t="s">
        <v>968</v>
      </c>
      <c r="F391" s="99" t="s">
        <v>550</v>
      </c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115">
        <v>169.0</v>
      </c>
      <c r="B392" s="99" t="s">
        <v>969</v>
      </c>
      <c r="C392" s="116" t="s">
        <v>107</v>
      </c>
      <c r="D392" s="119">
        <v>40719.0</v>
      </c>
      <c r="E392" s="99" t="s">
        <v>970</v>
      </c>
      <c r="F392" s="99" t="s">
        <v>971</v>
      </c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115">
        <v>170.0</v>
      </c>
      <c r="B393" s="99" t="s">
        <v>972</v>
      </c>
      <c r="C393" s="116" t="s">
        <v>107</v>
      </c>
      <c r="D393" s="119">
        <v>40720.0</v>
      </c>
      <c r="E393" s="99" t="s">
        <v>973</v>
      </c>
      <c r="F393" s="99" t="s">
        <v>974</v>
      </c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115">
        <v>171.0</v>
      </c>
      <c r="B394" s="99" t="s">
        <v>975</v>
      </c>
      <c r="C394" s="116" t="s">
        <v>107</v>
      </c>
      <c r="D394" s="119">
        <v>40489.0</v>
      </c>
      <c r="E394" s="99" t="s">
        <v>976</v>
      </c>
      <c r="F394" s="99" t="s">
        <v>977</v>
      </c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115">
        <v>172.0</v>
      </c>
      <c r="B395" s="99" t="s">
        <v>978</v>
      </c>
      <c r="C395" s="116" t="s">
        <v>107</v>
      </c>
      <c r="D395" s="119">
        <v>40757.0</v>
      </c>
      <c r="E395" s="99" t="s">
        <v>979</v>
      </c>
      <c r="F395" s="99" t="s">
        <v>494</v>
      </c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115">
        <v>173.0</v>
      </c>
      <c r="B396" s="99" t="s">
        <v>980</v>
      </c>
      <c r="C396" s="116" t="s">
        <v>107</v>
      </c>
      <c r="D396" s="119">
        <v>41649.0</v>
      </c>
      <c r="E396" s="99" t="s">
        <v>981</v>
      </c>
      <c r="F396" s="99" t="s">
        <v>982</v>
      </c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115">
        <v>174.0</v>
      </c>
      <c r="B397" s="99" t="s">
        <v>983</v>
      </c>
      <c r="C397" s="116" t="s">
        <v>108</v>
      </c>
      <c r="D397" s="119">
        <v>40818.0</v>
      </c>
      <c r="E397" s="99" t="s">
        <v>984</v>
      </c>
      <c r="F397" s="99" t="s">
        <v>985</v>
      </c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115">
        <v>175.0</v>
      </c>
      <c r="B398" s="99" t="s">
        <v>986</v>
      </c>
      <c r="C398" s="116" t="s">
        <v>107</v>
      </c>
      <c r="D398" s="117">
        <v>41994.0</v>
      </c>
      <c r="E398" s="99" t="s">
        <v>987</v>
      </c>
      <c r="F398" s="99" t="s">
        <v>464</v>
      </c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115">
        <v>176.0</v>
      </c>
      <c r="B399" s="99" t="s">
        <v>988</v>
      </c>
      <c r="C399" s="116" t="s">
        <v>108</v>
      </c>
      <c r="D399" s="119">
        <v>39986.0</v>
      </c>
      <c r="E399" s="99" t="s">
        <v>989</v>
      </c>
      <c r="F399" s="99" t="s">
        <v>990</v>
      </c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115">
        <v>177.0</v>
      </c>
      <c r="B400" s="99" t="s">
        <v>991</v>
      </c>
      <c r="C400" s="116" t="s">
        <v>107</v>
      </c>
      <c r="D400" s="119">
        <v>41533.0</v>
      </c>
      <c r="E400" s="99" t="s">
        <v>992</v>
      </c>
      <c r="F400" s="99" t="s">
        <v>993</v>
      </c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115">
        <v>178.0</v>
      </c>
      <c r="B401" s="99" t="s">
        <v>994</v>
      </c>
      <c r="C401" s="116" t="s">
        <v>108</v>
      </c>
      <c r="D401" s="119">
        <v>39631.0</v>
      </c>
      <c r="E401" s="99" t="s">
        <v>502</v>
      </c>
      <c r="F401" s="99" t="s">
        <v>503</v>
      </c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115">
        <v>179.0</v>
      </c>
      <c r="B402" s="99" t="s">
        <v>995</v>
      </c>
      <c r="C402" s="116" t="s">
        <v>108</v>
      </c>
      <c r="D402" s="119">
        <v>39306.0</v>
      </c>
      <c r="E402" s="99" t="s">
        <v>996</v>
      </c>
      <c r="F402" s="99" t="s">
        <v>997</v>
      </c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115">
        <v>180.0</v>
      </c>
      <c r="B403" s="99" t="s">
        <v>998</v>
      </c>
      <c r="C403" s="116" t="s">
        <v>108</v>
      </c>
      <c r="D403" s="119">
        <v>40269.0</v>
      </c>
      <c r="E403" s="99" t="s">
        <v>999</v>
      </c>
      <c r="F403" s="99" t="s">
        <v>1000</v>
      </c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115">
        <v>181.0</v>
      </c>
      <c r="B404" s="99" t="s">
        <v>1001</v>
      </c>
      <c r="C404" s="116" t="s">
        <v>107</v>
      </c>
      <c r="D404" s="119">
        <v>41021.0</v>
      </c>
      <c r="E404" s="99" t="s">
        <v>1002</v>
      </c>
      <c r="F404" s="99" t="s">
        <v>1003</v>
      </c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115">
        <v>182.0</v>
      </c>
      <c r="B405" s="99" t="s">
        <v>1004</v>
      </c>
      <c r="C405" s="116" t="s">
        <v>107</v>
      </c>
      <c r="D405" s="119">
        <v>41707.0</v>
      </c>
      <c r="E405" s="99" t="s">
        <v>1005</v>
      </c>
      <c r="F405" s="99" t="s">
        <v>1006</v>
      </c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115">
        <v>183.0</v>
      </c>
      <c r="B406" s="99" t="s">
        <v>1007</v>
      </c>
      <c r="C406" s="116" t="s">
        <v>107</v>
      </c>
      <c r="D406" s="117">
        <v>41263.0</v>
      </c>
      <c r="E406" s="99" t="s">
        <v>1008</v>
      </c>
      <c r="F406" s="99" t="s">
        <v>1009</v>
      </c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115">
        <v>184.0</v>
      </c>
      <c r="B407" s="99" t="s">
        <v>1010</v>
      </c>
      <c r="C407" s="116" t="s">
        <v>108</v>
      </c>
      <c r="D407" s="119">
        <v>39229.0</v>
      </c>
      <c r="E407" s="99" t="s">
        <v>1005</v>
      </c>
      <c r="F407" s="99" t="s">
        <v>1006</v>
      </c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115">
        <v>185.0</v>
      </c>
      <c r="B408" s="99" t="s">
        <v>1011</v>
      </c>
      <c r="C408" s="116" t="s">
        <v>108</v>
      </c>
      <c r="D408" s="117">
        <v>40847.0</v>
      </c>
      <c r="E408" s="99" t="s">
        <v>1012</v>
      </c>
      <c r="F408" s="99" t="s">
        <v>1013</v>
      </c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115">
        <v>186.0</v>
      </c>
      <c r="B409" s="99" t="s">
        <v>1014</v>
      </c>
      <c r="C409" s="116" t="s">
        <v>108</v>
      </c>
      <c r="D409" s="119">
        <v>43700.0</v>
      </c>
      <c r="E409" s="99" t="s">
        <v>508</v>
      </c>
      <c r="F409" s="99" t="s">
        <v>509</v>
      </c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115">
        <v>187.0</v>
      </c>
      <c r="B410" s="99" t="s">
        <v>1015</v>
      </c>
      <c r="C410" s="116" t="s">
        <v>108</v>
      </c>
      <c r="D410" s="119">
        <v>41147.0</v>
      </c>
      <c r="E410" s="99" t="s">
        <v>865</v>
      </c>
      <c r="F410" s="99" t="s">
        <v>866</v>
      </c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115">
        <v>188.0</v>
      </c>
      <c r="B411" s="99" t="s">
        <v>1016</v>
      </c>
      <c r="C411" s="116" t="s">
        <v>107</v>
      </c>
      <c r="D411" s="119">
        <v>41724.0</v>
      </c>
      <c r="E411" s="99" t="s">
        <v>1017</v>
      </c>
      <c r="F411" s="99" t="s">
        <v>1018</v>
      </c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115">
        <v>189.0</v>
      </c>
      <c r="B412" s="99" t="s">
        <v>1019</v>
      </c>
      <c r="C412" s="116" t="s">
        <v>107</v>
      </c>
      <c r="D412" s="119">
        <v>41716.0</v>
      </c>
      <c r="E412" s="99" t="s">
        <v>1020</v>
      </c>
      <c r="F412" s="99" t="s">
        <v>1021</v>
      </c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115">
        <v>190.0</v>
      </c>
      <c r="B413" s="99" t="s">
        <v>1022</v>
      </c>
      <c r="C413" s="116" t="s">
        <v>107</v>
      </c>
      <c r="D413" s="119">
        <v>41520.0</v>
      </c>
      <c r="E413" s="99" t="s">
        <v>1023</v>
      </c>
      <c r="F413" s="99" t="s">
        <v>1024</v>
      </c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115">
        <v>191.0</v>
      </c>
      <c r="B414" s="99" t="s">
        <v>1025</v>
      </c>
      <c r="C414" s="116" t="s">
        <v>107</v>
      </c>
      <c r="D414" s="119">
        <v>39682.0</v>
      </c>
      <c r="E414" s="99" t="s">
        <v>873</v>
      </c>
      <c r="F414" s="99" t="s">
        <v>874</v>
      </c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115">
        <v>192.0</v>
      </c>
      <c r="B415" s="99" t="s">
        <v>1026</v>
      </c>
      <c r="C415" s="116" t="s">
        <v>108</v>
      </c>
      <c r="D415" s="119">
        <v>41555.0</v>
      </c>
      <c r="E415" s="99" t="s">
        <v>1027</v>
      </c>
      <c r="F415" s="99" t="s">
        <v>1028</v>
      </c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115">
        <v>193.0</v>
      </c>
      <c r="B416" s="99" t="s">
        <v>1029</v>
      </c>
      <c r="C416" s="116" t="s">
        <v>108</v>
      </c>
      <c r="D416" s="119">
        <v>41414.0</v>
      </c>
      <c r="E416" s="99" t="s">
        <v>505</v>
      </c>
      <c r="F416" s="99" t="s">
        <v>1030</v>
      </c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115">
        <v>194.0</v>
      </c>
      <c r="B417" s="99" t="s">
        <v>1031</v>
      </c>
      <c r="C417" s="116" t="s">
        <v>107</v>
      </c>
      <c r="D417" s="117">
        <v>41266.0</v>
      </c>
      <c r="E417" s="99" t="s">
        <v>1032</v>
      </c>
      <c r="F417" s="99" t="s">
        <v>1033</v>
      </c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115">
        <v>195.0</v>
      </c>
      <c r="B418" s="99" t="s">
        <v>1034</v>
      </c>
      <c r="C418" s="116" t="s">
        <v>107</v>
      </c>
      <c r="D418" s="119">
        <v>39360.0</v>
      </c>
      <c r="E418" s="99" t="s">
        <v>1035</v>
      </c>
      <c r="F418" s="99" t="s">
        <v>977</v>
      </c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115">
        <v>196.0</v>
      </c>
      <c r="B419" s="99" t="s">
        <v>1036</v>
      </c>
      <c r="C419" s="116" t="s">
        <v>108</v>
      </c>
      <c r="D419" s="119">
        <v>40751.0</v>
      </c>
      <c r="E419" s="99" t="s">
        <v>1037</v>
      </c>
      <c r="F419" s="99" t="s">
        <v>1038</v>
      </c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115">
        <v>197.0</v>
      </c>
      <c r="B420" s="99" t="s">
        <v>1039</v>
      </c>
      <c r="C420" s="116" t="s">
        <v>107</v>
      </c>
      <c r="D420" s="119">
        <v>40724.0</v>
      </c>
      <c r="E420" s="99" t="s">
        <v>1040</v>
      </c>
      <c r="F420" s="99" t="s">
        <v>1041</v>
      </c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115">
        <v>198.0</v>
      </c>
      <c r="B421" s="99" t="s">
        <v>1042</v>
      </c>
      <c r="C421" s="116" t="s">
        <v>107</v>
      </c>
      <c r="D421" s="117">
        <v>39378.0</v>
      </c>
      <c r="E421" s="99" t="s">
        <v>1043</v>
      </c>
      <c r="F421" s="99" t="s">
        <v>1044</v>
      </c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115">
        <v>199.0</v>
      </c>
      <c r="B422" s="99" t="s">
        <v>1045</v>
      </c>
      <c r="C422" s="116" t="s">
        <v>107</v>
      </c>
      <c r="D422" s="119">
        <v>39252.0</v>
      </c>
      <c r="E422" s="99" t="s">
        <v>1046</v>
      </c>
      <c r="F422" s="99" t="s">
        <v>1047</v>
      </c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115">
        <v>200.0</v>
      </c>
      <c r="B423" s="99" t="s">
        <v>1048</v>
      </c>
      <c r="C423" s="116" t="s">
        <v>107</v>
      </c>
      <c r="D423" s="119">
        <v>39395.0</v>
      </c>
      <c r="E423" s="99" t="s">
        <v>1049</v>
      </c>
      <c r="F423" s="99" t="s">
        <v>1050</v>
      </c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115">
        <v>201.0</v>
      </c>
      <c r="B424" s="99" t="s">
        <v>1051</v>
      </c>
      <c r="C424" s="116" t="s">
        <v>108</v>
      </c>
      <c r="D424" s="119">
        <v>41056.0</v>
      </c>
      <c r="E424" s="99" t="s">
        <v>1052</v>
      </c>
      <c r="F424" s="99" t="s">
        <v>1053</v>
      </c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115">
        <v>202.0</v>
      </c>
      <c r="B425" s="99" t="s">
        <v>1054</v>
      </c>
      <c r="C425" s="116" t="s">
        <v>108</v>
      </c>
      <c r="D425" s="119">
        <v>41040.0</v>
      </c>
      <c r="E425" s="99" t="s">
        <v>1055</v>
      </c>
      <c r="F425" s="99" t="s">
        <v>1056</v>
      </c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115">
        <v>203.0</v>
      </c>
      <c r="B426" s="99" t="s">
        <v>1057</v>
      </c>
      <c r="C426" s="116" t="s">
        <v>107</v>
      </c>
      <c r="D426" s="119">
        <v>41115.0</v>
      </c>
      <c r="E426" s="99" t="s">
        <v>1058</v>
      </c>
      <c r="F426" s="99" t="s">
        <v>1059</v>
      </c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115">
        <v>204.0</v>
      </c>
      <c r="B427" s="99" t="s">
        <v>1060</v>
      </c>
      <c r="C427" s="116" t="s">
        <v>108</v>
      </c>
      <c r="D427" s="119">
        <v>39601.0</v>
      </c>
      <c r="E427" s="99" t="s">
        <v>1061</v>
      </c>
      <c r="F427" s="99" t="s">
        <v>1062</v>
      </c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115">
        <v>205.0</v>
      </c>
      <c r="B428" s="99" t="s">
        <v>1063</v>
      </c>
      <c r="C428" s="116" t="s">
        <v>107</v>
      </c>
      <c r="D428" s="117">
        <v>41639.0</v>
      </c>
      <c r="E428" s="99" t="s">
        <v>1046</v>
      </c>
      <c r="F428" s="99" t="s">
        <v>1064</v>
      </c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115">
        <v>206.0</v>
      </c>
      <c r="B429" s="99" t="s">
        <v>1065</v>
      </c>
      <c r="C429" s="116" t="s">
        <v>107</v>
      </c>
      <c r="D429" s="117">
        <v>39408.0</v>
      </c>
      <c r="E429" s="99" t="s">
        <v>1066</v>
      </c>
      <c r="F429" s="99" t="s">
        <v>890</v>
      </c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115">
        <v>207.0</v>
      </c>
      <c r="B430" s="99" t="s">
        <v>1067</v>
      </c>
      <c r="C430" s="116" t="s">
        <v>107</v>
      </c>
      <c r="D430" s="119">
        <v>40404.0</v>
      </c>
      <c r="E430" s="99" t="s">
        <v>481</v>
      </c>
      <c r="F430" s="99" t="s">
        <v>482</v>
      </c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115">
        <v>208.0</v>
      </c>
      <c r="B431" s="99" t="s">
        <v>1068</v>
      </c>
      <c r="C431" s="116" t="s">
        <v>108</v>
      </c>
      <c r="D431" s="119">
        <v>40625.0</v>
      </c>
      <c r="E431" s="99" t="s">
        <v>1069</v>
      </c>
      <c r="F431" s="99" t="s">
        <v>863</v>
      </c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115">
        <v>209.0</v>
      </c>
      <c r="B432" s="99" t="s">
        <v>1070</v>
      </c>
      <c r="C432" s="116" t="s">
        <v>107</v>
      </c>
      <c r="D432" s="119">
        <v>39422.0</v>
      </c>
      <c r="E432" s="99" t="s">
        <v>552</v>
      </c>
      <c r="F432" s="99" t="s">
        <v>553</v>
      </c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115">
        <v>210.0</v>
      </c>
      <c r="B433" s="99" t="s">
        <v>1071</v>
      </c>
      <c r="C433" s="116" t="s">
        <v>108</v>
      </c>
      <c r="D433" s="119">
        <v>40066.0</v>
      </c>
      <c r="E433" s="99" t="s">
        <v>487</v>
      </c>
      <c r="F433" s="99" t="s">
        <v>488</v>
      </c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115">
        <v>211.0</v>
      </c>
      <c r="B434" s="99" t="s">
        <v>1072</v>
      </c>
      <c r="C434" s="116" t="s">
        <v>108</v>
      </c>
      <c r="D434" s="119">
        <v>40120.0</v>
      </c>
      <c r="E434" s="99" t="s">
        <v>1073</v>
      </c>
      <c r="F434" s="99" t="s">
        <v>1074</v>
      </c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115">
        <v>212.0</v>
      </c>
      <c r="B435" s="99" t="s">
        <v>1075</v>
      </c>
      <c r="C435" s="116" t="s">
        <v>108</v>
      </c>
      <c r="D435" s="117">
        <v>41964.0</v>
      </c>
      <c r="E435" s="99" t="s">
        <v>1073</v>
      </c>
      <c r="F435" s="99" t="s">
        <v>1076</v>
      </c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115">
        <v>213.0</v>
      </c>
      <c r="B436" s="99" t="s">
        <v>1077</v>
      </c>
      <c r="C436" s="116" t="s">
        <v>108</v>
      </c>
      <c r="D436" s="119">
        <v>40333.0</v>
      </c>
      <c r="E436" s="99" t="s">
        <v>1078</v>
      </c>
      <c r="F436" s="99" t="s">
        <v>1079</v>
      </c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115">
        <v>214.0</v>
      </c>
      <c r="B437" s="99" t="s">
        <v>1080</v>
      </c>
      <c r="C437" s="116" t="s">
        <v>107</v>
      </c>
      <c r="D437" s="119">
        <v>40041.0</v>
      </c>
      <c r="E437" s="99" t="s">
        <v>1081</v>
      </c>
      <c r="F437" s="99" t="s">
        <v>1082</v>
      </c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115">
        <v>215.0</v>
      </c>
      <c r="B438" s="99" t="s">
        <v>1083</v>
      </c>
      <c r="C438" s="116" t="s">
        <v>107</v>
      </c>
      <c r="D438" s="119">
        <v>40041.0</v>
      </c>
      <c r="E438" s="99" t="s">
        <v>1081</v>
      </c>
      <c r="F438" s="99" t="s">
        <v>1082</v>
      </c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115">
        <v>216.0</v>
      </c>
      <c r="B439" s="99" t="s">
        <v>1084</v>
      </c>
      <c r="C439" s="116" t="s">
        <v>107</v>
      </c>
      <c r="D439" s="119">
        <v>40793.0</v>
      </c>
      <c r="E439" s="99" t="s">
        <v>1085</v>
      </c>
      <c r="F439" s="99" t="s">
        <v>1086</v>
      </c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115">
        <v>217.0</v>
      </c>
      <c r="B440" s="99" t="s">
        <v>1087</v>
      </c>
      <c r="C440" s="116" t="s">
        <v>107</v>
      </c>
      <c r="D440" s="119">
        <v>39481.0</v>
      </c>
      <c r="E440" s="99" t="s">
        <v>1088</v>
      </c>
      <c r="F440" s="99" t="s">
        <v>1089</v>
      </c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115">
        <v>218.0</v>
      </c>
      <c r="B441" s="99" t="s">
        <v>1090</v>
      </c>
      <c r="C441" s="116" t="s">
        <v>108</v>
      </c>
      <c r="D441" s="119">
        <v>39717.0</v>
      </c>
      <c r="E441" s="99" t="s">
        <v>1091</v>
      </c>
      <c r="F441" s="99" t="s">
        <v>1092</v>
      </c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115">
        <v>219.0</v>
      </c>
      <c r="B442" s="99" t="s">
        <v>1093</v>
      </c>
      <c r="C442" s="116" t="s">
        <v>107</v>
      </c>
      <c r="D442" s="117">
        <v>39075.0</v>
      </c>
      <c r="E442" s="99" t="s">
        <v>1094</v>
      </c>
      <c r="F442" s="99" t="s">
        <v>1095</v>
      </c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115">
        <v>220.0</v>
      </c>
      <c r="B443" s="99" t="s">
        <v>1096</v>
      </c>
      <c r="C443" s="116" t="s">
        <v>107</v>
      </c>
      <c r="D443" s="119">
        <v>40983.0</v>
      </c>
      <c r="E443" s="99" t="s">
        <v>1097</v>
      </c>
      <c r="F443" s="99" t="s">
        <v>544</v>
      </c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115">
        <v>221.0</v>
      </c>
      <c r="B444" s="99" t="s">
        <v>1098</v>
      </c>
      <c r="C444" s="116" t="s">
        <v>108</v>
      </c>
      <c r="D444" s="117">
        <v>41256.0</v>
      </c>
      <c r="E444" s="99" t="s">
        <v>1099</v>
      </c>
      <c r="F444" s="99" t="s">
        <v>1100</v>
      </c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115">
        <v>222.0</v>
      </c>
      <c r="B445" s="99" t="s">
        <v>1101</v>
      </c>
      <c r="C445" s="116" t="s">
        <v>108</v>
      </c>
      <c r="D445" s="119">
        <v>41420.0</v>
      </c>
      <c r="E445" s="99" t="s">
        <v>549</v>
      </c>
      <c r="F445" s="99" t="s">
        <v>1102</v>
      </c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115">
        <v>223.0</v>
      </c>
      <c r="B446" s="99" t="s">
        <v>1103</v>
      </c>
      <c r="C446" s="116" t="s">
        <v>107</v>
      </c>
      <c r="D446" s="119">
        <v>41112.0</v>
      </c>
      <c r="E446" s="99" t="s">
        <v>1104</v>
      </c>
      <c r="F446" s="99" t="s">
        <v>1105</v>
      </c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115">
        <v>224.0</v>
      </c>
      <c r="B447" s="99" t="s">
        <v>1106</v>
      </c>
      <c r="C447" s="116" t="s">
        <v>107</v>
      </c>
      <c r="D447" s="119">
        <v>39688.0</v>
      </c>
      <c r="E447" s="99" t="s">
        <v>1107</v>
      </c>
      <c r="F447" s="99" t="s">
        <v>1108</v>
      </c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115">
        <v>225.0</v>
      </c>
      <c r="B448" s="99" t="s">
        <v>1109</v>
      </c>
      <c r="C448" s="116" t="s">
        <v>108</v>
      </c>
      <c r="D448" s="119">
        <v>40691.0</v>
      </c>
      <c r="E448" s="99" t="s">
        <v>1107</v>
      </c>
      <c r="F448" s="99" t="s">
        <v>1108</v>
      </c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115">
        <v>226.0</v>
      </c>
      <c r="B449" s="99" t="s">
        <v>1110</v>
      </c>
      <c r="C449" s="116" t="s">
        <v>107</v>
      </c>
      <c r="D449" s="119">
        <v>39223.0</v>
      </c>
      <c r="E449" s="99" t="s">
        <v>1111</v>
      </c>
      <c r="F449" s="99" t="s">
        <v>1112</v>
      </c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115">
        <v>227.0</v>
      </c>
      <c r="B450" s="99" t="s">
        <v>1113</v>
      </c>
      <c r="C450" s="116" t="s">
        <v>108</v>
      </c>
      <c r="D450" s="119">
        <v>41944.0</v>
      </c>
      <c r="E450" s="99" t="s">
        <v>1114</v>
      </c>
      <c r="F450" s="99" t="s">
        <v>1115</v>
      </c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115">
        <v>228.0</v>
      </c>
      <c r="B451" s="99" t="s">
        <v>1116</v>
      </c>
      <c r="C451" s="116" t="s">
        <v>108</v>
      </c>
      <c r="D451" s="117">
        <v>40145.0</v>
      </c>
      <c r="E451" s="99" t="s">
        <v>929</v>
      </c>
      <c r="F451" s="99" t="s">
        <v>1117</v>
      </c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115">
        <v>229.0</v>
      </c>
      <c r="B452" s="99" t="s">
        <v>1118</v>
      </c>
      <c r="C452" s="116" t="s">
        <v>108</v>
      </c>
      <c r="D452" s="117">
        <v>38713.0</v>
      </c>
      <c r="E452" s="99" t="s">
        <v>1119</v>
      </c>
      <c r="F452" s="99" t="s">
        <v>1120</v>
      </c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115">
        <v>230.0</v>
      </c>
      <c r="B453" s="99" t="s">
        <v>1121</v>
      </c>
      <c r="C453" s="116" t="s">
        <v>108</v>
      </c>
      <c r="D453" s="119">
        <v>40378.0</v>
      </c>
      <c r="E453" s="99" t="s">
        <v>1122</v>
      </c>
      <c r="F453" s="99" t="s">
        <v>1123</v>
      </c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115">
        <v>231.0</v>
      </c>
      <c r="B454" s="99" t="s">
        <v>1124</v>
      </c>
      <c r="C454" s="116" t="s">
        <v>108</v>
      </c>
      <c r="D454" s="119">
        <v>40378.0</v>
      </c>
      <c r="E454" s="99" t="s">
        <v>1122</v>
      </c>
      <c r="F454" s="99" t="s">
        <v>1125</v>
      </c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115">
        <v>232.0</v>
      </c>
      <c r="B455" s="99" t="s">
        <v>1126</v>
      </c>
      <c r="C455" s="116" t="s">
        <v>108</v>
      </c>
      <c r="D455" s="119">
        <v>45494.0</v>
      </c>
      <c r="E455" s="99" t="s">
        <v>1127</v>
      </c>
      <c r="F455" s="99" t="s">
        <v>1128</v>
      </c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115">
        <v>233.0</v>
      </c>
      <c r="B456" s="99" t="s">
        <v>1129</v>
      </c>
      <c r="C456" s="116" t="s">
        <v>108</v>
      </c>
      <c r="D456" s="119">
        <v>39294.0</v>
      </c>
      <c r="E456" s="99" t="s">
        <v>1130</v>
      </c>
      <c r="F456" s="99" t="s">
        <v>1131</v>
      </c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115">
        <v>234.0</v>
      </c>
      <c r="B457" s="99" t="s">
        <v>1132</v>
      </c>
      <c r="C457" s="116" t="s">
        <v>107</v>
      </c>
      <c r="D457" s="119">
        <v>37020.0</v>
      </c>
      <c r="E457" s="99" t="s">
        <v>546</v>
      </c>
      <c r="F457" s="99" t="s">
        <v>547</v>
      </c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115">
        <v>235.0</v>
      </c>
      <c r="B458" s="99" t="s">
        <v>1133</v>
      </c>
      <c r="C458" s="116" t="s">
        <v>107</v>
      </c>
      <c r="D458" s="119">
        <v>40152.0</v>
      </c>
      <c r="E458" s="99" t="s">
        <v>913</v>
      </c>
      <c r="F458" s="99" t="s">
        <v>1134</v>
      </c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115">
        <v>236.0</v>
      </c>
      <c r="B459" s="99" t="s">
        <v>1135</v>
      </c>
      <c r="C459" s="116" t="s">
        <v>107</v>
      </c>
      <c r="D459" s="119">
        <v>40705.0</v>
      </c>
      <c r="E459" s="99" t="s">
        <v>1136</v>
      </c>
      <c r="F459" s="99" t="s">
        <v>1137</v>
      </c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115">
        <v>237.0</v>
      </c>
      <c r="B460" s="99" t="s">
        <v>1138</v>
      </c>
      <c r="C460" s="116" t="s">
        <v>107</v>
      </c>
      <c r="D460" s="117">
        <v>41268.0</v>
      </c>
      <c r="E460" s="99" t="s">
        <v>1136</v>
      </c>
      <c r="F460" s="99" t="s">
        <v>1137</v>
      </c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115">
        <v>238.0</v>
      </c>
      <c r="B461" s="99" t="s">
        <v>1139</v>
      </c>
      <c r="C461" s="116" t="s">
        <v>107</v>
      </c>
      <c r="D461" s="119">
        <v>39127.0</v>
      </c>
      <c r="E461" s="99" t="s">
        <v>989</v>
      </c>
      <c r="F461" s="99" t="s">
        <v>1140</v>
      </c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115">
        <v>239.0</v>
      </c>
      <c r="B462" s="99" t="s">
        <v>1141</v>
      </c>
      <c r="C462" s="116" t="s">
        <v>107</v>
      </c>
      <c r="D462" s="119">
        <v>41132.0</v>
      </c>
      <c r="E462" s="99" t="s">
        <v>517</v>
      </c>
      <c r="F462" s="99" t="s">
        <v>1142</v>
      </c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115">
        <v>240.0</v>
      </c>
      <c r="B463" s="99" t="s">
        <v>1143</v>
      </c>
      <c r="C463" s="116" t="s">
        <v>107</v>
      </c>
      <c r="D463" s="117">
        <v>40503.0</v>
      </c>
      <c r="E463" s="99" t="s">
        <v>1144</v>
      </c>
      <c r="F463" s="99" t="s">
        <v>1145</v>
      </c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115">
        <v>241.0</v>
      </c>
      <c r="B464" s="99" t="s">
        <v>1146</v>
      </c>
      <c r="C464" s="148" t="s">
        <v>107</v>
      </c>
      <c r="D464" s="149">
        <v>41182.0</v>
      </c>
      <c r="E464" s="150" t="s">
        <v>924</v>
      </c>
      <c r="F464" s="150" t="s">
        <v>925</v>
      </c>
      <c r="G464" s="151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>
        <f t="shared" ref="G469:R469" si="4">SUM(G224:G468)</f>
        <v>0</v>
      </c>
      <c r="H469" s="2">
        <f t="shared" si="4"/>
        <v>0</v>
      </c>
      <c r="I469" s="2">
        <f t="shared" si="4"/>
        <v>0</v>
      </c>
      <c r="J469" s="2">
        <f t="shared" si="4"/>
        <v>0</v>
      </c>
      <c r="K469" s="2">
        <f t="shared" si="4"/>
        <v>0</v>
      </c>
      <c r="L469" s="2">
        <f t="shared" si="4"/>
        <v>0</v>
      </c>
      <c r="M469" s="2">
        <f t="shared" si="4"/>
        <v>0</v>
      </c>
      <c r="N469" s="2">
        <f t="shared" si="4"/>
        <v>0</v>
      </c>
      <c r="O469" s="2">
        <f t="shared" si="4"/>
        <v>0</v>
      </c>
      <c r="P469" s="2">
        <f t="shared" si="4"/>
        <v>0</v>
      </c>
      <c r="Q469" s="2">
        <f t="shared" si="4"/>
        <v>0</v>
      </c>
      <c r="R469" s="2">
        <f t="shared" si="4"/>
        <v>0</v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89" t="s">
        <v>1147</v>
      </c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91" t="s">
        <v>3</v>
      </c>
      <c r="B471" s="91" t="s">
        <v>239</v>
      </c>
      <c r="C471" s="91" t="s">
        <v>237</v>
      </c>
      <c r="D471" s="91" t="s">
        <v>238</v>
      </c>
      <c r="E471" s="113" t="s">
        <v>239</v>
      </c>
      <c r="F471" s="8"/>
      <c r="G471" s="113" t="s">
        <v>1148</v>
      </c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8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10"/>
      <c r="B472" s="10"/>
      <c r="C472" s="10"/>
      <c r="D472" s="10"/>
      <c r="E472" s="97" t="s">
        <v>94</v>
      </c>
      <c r="F472" s="97" t="s">
        <v>241</v>
      </c>
      <c r="G472" s="97" t="s">
        <v>131</v>
      </c>
      <c r="H472" s="97" t="s">
        <v>132</v>
      </c>
      <c r="I472" s="97" t="s">
        <v>133</v>
      </c>
      <c r="J472" s="97" t="s">
        <v>134</v>
      </c>
      <c r="K472" s="97" t="s">
        <v>113</v>
      </c>
      <c r="L472" s="97" t="s">
        <v>135</v>
      </c>
      <c r="M472" s="97" t="s">
        <v>136</v>
      </c>
      <c r="N472" s="97" t="s">
        <v>137</v>
      </c>
      <c r="O472" s="97" t="s">
        <v>138</v>
      </c>
      <c r="P472" s="97" t="s">
        <v>139</v>
      </c>
      <c r="Q472" s="97" t="s">
        <v>140</v>
      </c>
      <c r="R472" s="114" t="s">
        <v>141</v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95">
        <v>1.0</v>
      </c>
      <c r="B473" s="95">
        <v>2.0</v>
      </c>
      <c r="C473" s="95">
        <v>3.0</v>
      </c>
      <c r="D473" s="95">
        <v>4.0</v>
      </c>
      <c r="E473" s="95">
        <v>5.0</v>
      </c>
      <c r="F473" s="95">
        <v>6.0</v>
      </c>
      <c r="G473" s="95">
        <v>7.0</v>
      </c>
      <c r="H473" s="95">
        <v>8.0</v>
      </c>
      <c r="I473" s="95">
        <v>9.0</v>
      </c>
      <c r="J473" s="95">
        <v>10.0</v>
      </c>
      <c r="K473" s="95">
        <v>11.0</v>
      </c>
      <c r="L473" s="95">
        <v>12.0</v>
      </c>
      <c r="M473" s="95">
        <v>13.0</v>
      </c>
      <c r="N473" s="95">
        <v>14.0</v>
      </c>
      <c r="O473" s="95">
        <v>15.0</v>
      </c>
      <c r="P473" s="95">
        <v>16.0</v>
      </c>
      <c r="Q473" s="95">
        <v>17.0</v>
      </c>
      <c r="R473" s="95">
        <v>18.0</v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115">
        <v>1.0</v>
      </c>
      <c r="B474" s="99" t="s">
        <v>1149</v>
      </c>
      <c r="C474" s="116" t="s">
        <v>107</v>
      </c>
      <c r="D474" s="119">
        <v>30906.0</v>
      </c>
      <c r="E474" s="99" t="s">
        <v>1150</v>
      </c>
      <c r="F474" s="99" t="s">
        <v>1151</v>
      </c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115">
        <v>2.0</v>
      </c>
      <c r="B475" s="99" t="s">
        <v>377</v>
      </c>
      <c r="C475" s="116" t="s">
        <v>107</v>
      </c>
      <c r="D475" s="119">
        <v>29962.0</v>
      </c>
      <c r="E475" s="99" t="s">
        <v>1152</v>
      </c>
      <c r="F475" s="99" t="s">
        <v>1153</v>
      </c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115">
        <v>3.0</v>
      </c>
      <c r="B476" s="99" t="s">
        <v>444</v>
      </c>
      <c r="C476" s="116" t="s">
        <v>107</v>
      </c>
      <c r="D476" s="119">
        <v>30508.0</v>
      </c>
      <c r="E476" s="99" t="s">
        <v>1154</v>
      </c>
      <c r="F476" s="99" t="s">
        <v>1155</v>
      </c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115">
        <v>4.0</v>
      </c>
      <c r="B477" s="99" t="s">
        <v>1156</v>
      </c>
      <c r="C477" s="116" t="s">
        <v>107</v>
      </c>
      <c r="D477" s="119">
        <v>38177.0</v>
      </c>
      <c r="E477" s="99" t="s">
        <v>1157</v>
      </c>
      <c r="F477" s="99" t="s">
        <v>1158</v>
      </c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115">
        <v>5.0</v>
      </c>
      <c r="B478" s="99" t="s">
        <v>1159</v>
      </c>
      <c r="C478" s="116" t="s">
        <v>107</v>
      </c>
      <c r="D478" s="119">
        <v>30089.0</v>
      </c>
      <c r="E478" s="99" t="s">
        <v>1160</v>
      </c>
      <c r="F478" s="99" t="s">
        <v>1161</v>
      </c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115">
        <v>6.0</v>
      </c>
      <c r="B479" s="99" t="s">
        <v>391</v>
      </c>
      <c r="C479" s="116" t="s">
        <v>107</v>
      </c>
      <c r="D479" s="119">
        <v>30795.0</v>
      </c>
      <c r="E479" s="99" t="s">
        <v>1162</v>
      </c>
      <c r="F479" s="99" t="s">
        <v>1163</v>
      </c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115">
        <v>7.0</v>
      </c>
      <c r="B480" s="99" t="s">
        <v>1164</v>
      </c>
      <c r="C480" s="116" t="s">
        <v>107</v>
      </c>
      <c r="D480" s="117">
        <v>34288.0</v>
      </c>
      <c r="E480" s="99" t="s">
        <v>703</v>
      </c>
      <c r="F480" s="99" t="s">
        <v>704</v>
      </c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115">
        <v>8.0</v>
      </c>
      <c r="B481" s="99" t="s">
        <v>1165</v>
      </c>
      <c r="C481" s="116" t="s">
        <v>107</v>
      </c>
      <c r="D481" s="119">
        <v>36220.0</v>
      </c>
      <c r="E481" s="99" t="s">
        <v>633</v>
      </c>
      <c r="F481" s="99" t="s">
        <v>1166</v>
      </c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115">
        <v>9.0</v>
      </c>
      <c r="B482" s="99" t="s">
        <v>1167</v>
      </c>
      <c r="C482" s="116" t="s">
        <v>107</v>
      </c>
      <c r="D482" s="119">
        <v>35530.0</v>
      </c>
      <c r="E482" s="99" t="s">
        <v>1168</v>
      </c>
      <c r="F482" s="99" t="s">
        <v>1169</v>
      </c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115">
        <v>10.0</v>
      </c>
      <c r="B483" s="99" t="s">
        <v>651</v>
      </c>
      <c r="C483" s="116" t="s">
        <v>107</v>
      </c>
      <c r="D483" s="119">
        <v>31262.0</v>
      </c>
      <c r="E483" s="99" t="s">
        <v>1170</v>
      </c>
      <c r="F483" s="99" t="s">
        <v>1171</v>
      </c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115">
        <v>11.0</v>
      </c>
      <c r="B484" s="99" t="s">
        <v>1172</v>
      </c>
      <c r="C484" s="116" t="s">
        <v>107</v>
      </c>
      <c r="D484" s="119">
        <v>25601.0</v>
      </c>
      <c r="E484" s="99" t="s">
        <v>1160</v>
      </c>
      <c r="F484" s="99" t="s">
        <v>1161</v>
      </c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115">
        <v>12.0</v>
      </c>
      <c r="B485" s="99" t="s">
        <v>1173</v>
      </c>
      <c r="C485" s="116" t="s">
        <v>107</v>
      </c>
      <c r="D485" s="119">
        <v>38140.0</v>
      </c>
      <c r="E485" s="99" t="s">
        <v>1174</v>
      </c>
      <c r="F485" s="99" t="s">
        <v>1172</v>
      </c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115">
        <v>13.0</v>
      </c>
      <c r="B486" s="99" t="s">
        <v>1175</v>
      </c>
      <c r="C486" s="116" t="s">
        <v>107</v>
      </c>
      <c r="D486" s="117">
        <v>40510.0</v>
      </c>
      <c r="E486" s="99" t="s">
        <v>733</v>
      </c>
      <c r="F486" s="99" t="s">
        <v>734</v>
      </c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115">
        <v>14.0</v>
      </c>
      <c r="B487" s="99" t="s">
        <v>271</v>
      </c>
      <c r="C487" s="116" t="s">
        <v>107</v>
      </c>
      <c r="D487" s="119">
        <v>36028.0</v>
      </c>
      <c r="E487" s="99" t="s">
        <v>1176</v>
      </c>
      <c r="F487" s="99" t="s">
        <v>1177</v>
      </c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115">
        <v>15.0</v>
      </c>
      <c r="B488" s="99" t="s">
        <v>423</v>
      </c>
      <c r="C488" s="116" t="s">
        <v>107</v>
      </c>
      <c r="D488" s="119">
        <v>34145.0</v>
      </c>
      <c r="E488" s="99" t="s">
        <v>1178</v>
      </c>
      <c r="F488" s="99" t="s">
        <v>1179</v>
      </c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115">
        <v>16.0</v>
      </c>
      <c r="B489" s="99" t="s">
        <v>793</v>
      </c>
      <c r="C489" s="116" t="s">
        <v>107</v>
      </c>
      <c r="D489" s="119">
        <v>29897.0</v>
      </c>
      <c r="E489" s="99" t="s">
        <v>1180</v>
      </c>
      <c r="F489" s="99" t="s">
        <v>1181</v>
      </c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115">
        <v>17.0</v>
      </c>
      <c r="B490" s="99" t="s">
        <v>1182</v>
      </c>
      <c r="C490" s="116" t="s">
        <v>107</v>
      </c>
      <c r="D490" s="117">
        <v>38288.0</v>
      </c>
      <c r="E490" s="99" t="s">
        <v>1183</v>
      </c>
      <c r="F490" s="99" t="s">
        <v>1184</v>
      </c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115">
        <v>18.0</v>
      </c>
      <c r="B491" s="99" t="s">
        <v>1185</v>
      </c>
      <c r="C491" s="116" t="s">
        <v>107</v>
      </c>
      <c r="D491" s="117">
        <v>32439.0</v>
      </c>
      <c r="E491" s="99" t="s">
        <v>1186</v>
      </c>
      <c r="F491" s="99" t="s">
        <v>1187</v>
      </c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115">
        <v>19.0</v>
      </c>
      <c r="B492" s="99" t="s">
        <v>1188</v>
      </c>
      <c r="C492" s="116" t="s">
        <v>107</v>
      </c>
      <c r="D492" s="119">
        <v>38254.0</v>
      </c>
      <c r="E492" s="99" t="s">
        <v>1189</v>
      </c>
      <c r="F492" s="99" t="s">
        <v>1190</v>
      </c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115">
        <v>20.0</v>
      </c>
      <c r="B493" s="99" t="s">
        <v>770</v>
      </c>
      <c r="C493" s="116" t="s">
        <v>107</v>
      </c>
      <c r="D493" s="117">
        <v>30268.0</v>
      </c>
      <c r="E493" s="99" t="s">
        <v>1191</v>
      </c>
      <c r="F493" s="99" t="s">
        <v>1192</v>
      </c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115">
        <v>21.0</v>
      </c>
      <c r="B494" s="99" t="s">
        <v>767</v>
      </c>
      <c r="C494" s="116" t="s">
        <v>107</v>
      </c>
      <c r="D494" s="119">
        <v>30751.0</v>
      </c>
      <c r="E494" s="99" t="s">
        <v>1191</v>
      </c>
      <c r="F494" s="99" t="s">
        <v>1192</v>
      </c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115">
        <v>22.0</v>
      </c>
      <c r="B495" s="99" t="s">
        <v>1193</v>
      </c>
      <c r="C495" s="116" t="s">
        <v>107</v>
      </c>
      <c r="D495" s="119">
        <v>29786.0</v>
      </c>
      <c r="E495" s="99" t="s">
        <v>1194</v>
      </c>
      <c r="F495" s="99" t="s">
        <v>755</v>
      </c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115">
        <v>23.0</v>
      </c>
      <c r="B496" s="99" t="s">
        <v>1195</v>
      </c>
      <c r="C496" s="116" t="s">
        <v>107</v>
      </c>
      <c r="D496" s="119">
        <v>38254.0</v>
      </c>
      <c r="E496" s="99" t="s">
        <v>1196</v>
      </c>
      <c r="F496" s="99" t="s">
        <v>1197</v>
      </c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115">
        <v>24.0</v>
      </c>
      <c r="B497" s="99" t="s">
        <v>1198</v>
      </c>
      <c r="C497" s="116" t="s">
        <v>107</v>
      </c>
      <c r="D497" s="119">
        <v>37079.0</v>
      </c>
      <c r="E497" s="99" t="s">
        <v>804</v>
      </c>
      <c r="F497" s="99" t="s">
        <v>805</v>
      </c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115">
        <v>25.0</v>
      </c>
      <c r="B498" s="99" t="s">
        <v>1199</v>
      </c>
      <c r="C498" s="116" t="s">
        <v>107</v>
      </c>
      <c r="D498" s="119">
        <v>37686.0</v>
      </c>
      <c r="E498" s="99" t="s">
        <v>804</v>
      </c>
      <c r="F498" s="99" t="s">
        <v>805</v>
      </c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115">
        <v>26.0</v>
      </c>
      <c r="B499" s="99" t="s">
        <v>1200</v>
      </c>
      <c r="C499" s="116" t="s">
        <v>107</v>
      </c>
      <c r="D499" s="119">
        <v>31239.0</v>
      </c>
      <c r="E499" s="99" t="s">
        <v>1201</v>
      </c>
      <c r="F499" s="99" t="s">
        <v>1202</v>
      </c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115">
        <v>27.0</v>
      </c>
      <c r="B500" s="99" t="s">
        <v>1203</v>
      </c>
      <c r="C500" s="116" t="s">
        <v>107</v>
      </c>
      <c r="D500" s="119">
        <v>38036.0</v>
      </c>
      <c r="E500" s="99" t="s">
        <v>772</v>
      </c>
      <c r="F500" s="99" t="s">
        <v>1204</v>
      </c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115">
        <v>28.0</v>
      </c>
      <c r="B501" s="99" t="s">
        <v>1205</v>
      </c>
      <c r="C501" s="116" t="s">
        <v>107</v>
      </c>
      <c r="D501" s="119">
        <v>36666.0</v>
      </c>
      <c r="E501" s="99" t="s">
        <v>1206</v>
      </c>
      <c r="F501" s="99" t="s">
        <v>1207</v>
      </c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115">
        <v>29.0</v>
      </c>
      <c r="B502" s="99" t="s">
        <v>1208</v>
      </c>
      <c r="C502" s="116" t="s">
        <v>107</v>
      </c>
      <c r="D502" s="119">
        <v>33329.0</v>
      </c>
      <c r="E502" s="99" t="s">
        <v>1206</v>
      </c>
      <c r="F502" s="99" t="s">
        <v>1207</v>
      </c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115">
        <v>30.0</v>
      </c>
      <c r="B503" s="99" t="s">
        <v>149</v>
      </c>
      <c r="C503" s="116" t="s">
        <v>107</v>
      </c>
      <c r="D503" s="119">
        <v>32175.0</v>
      </c>
      <c r="E503" s="99" t="s">
        <v>1209</v>
      </c>
      <c r="F503" s="99" t="s">
        <v>1210</v>
      </c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115">
        <v>31.0</v>
      </c>
      <c r="B504" s="99" t="s">
        <v>1211</v>
      </c>
      <c r="C504" s="116" t="s">
        <v>107</v>
      </c>
      <c r="D504" s="119">
        <v>29608.0</v>
      </c>
      <c r="E504" s="99" t="s">
        <v>1212</v>
      </c>
      <c r="F504" s="99" t="s">
        <v>1213</v>
      </c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115">
        <v>32.0</v>
      </c>
      <c r="B505" s="99" t="s">
        <v>1214</v>
      </c>
      <c r="C505" s="116" t="s">
        <v>107</v>
      </c>
      <c r="D505" s="119">
        <v>39329.0</v>
      </c>
      <c r="E505" s="99" t="s">
        <v>1215</v>
      </c>
      <c r="F505" s="99" t="s">
        <v>1211</v>
      </c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115">
        <v>33.0</v>
      </c>
      <c r="B506" s="99" t="s">
        <v>180</v>
      </c>
      <c r="C506" s="116" t="s">
        <v>107</v>
      </c>
      <c r="D506" s="119">
        <v>36061.0</v>
      </c>
      <c r="E506" s="99" t="s">
        <v>1216</v>
      </c>
      <c r="F506" s="99" t="s">
        <v>1217</v>
      </c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115">
        <v>34.0</v>
      </c>
      <c r="B507" s="99" t="s">
        <v>1218</v>
      </c>
      <c r="C507" s="116" t="s">
        <v>107</v>
      </c>
      <c r="D507" s="119">
        <v>6604058.0</v>
      </c>
      <c r="E507" s="99" t="s">
        <v>1219</v>
      </c>
      <c r="F507" s="99" t="s">
        <v>1220</v>
      </c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115">
        <v>35.0</v>
      </c>
      <c r="B508" s="99" t="s">
        <v>1221</v>
      </c>
      <c r="C508" s="116" t="s">
        <v>107</v>
      </c>
      <c r="D508" s="119">
        <v>38819.0</v>
      </c>
      <c r="E508" s="99" t="s">
        <v>1222</v>
      </c>
      <c r="F508" s="99" t="s">
        <v>1218</v>
      </c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115">
        <v>36.0</v>
      </c>
      <c r="B509" s="99" t="s">
        <v>1223</v>
      </c>
      <c r="C509" s="116" t="s">
        <v>107</v>
      </c>
      <c r="D509" s="119">
        <v>36281.0</v>
      </c>
      <c r="E509" s="99" t="s">
        <v>1224</v>
      </c>
      <c r="F509" s="99" t="s">
        <v>1225</v>
      </c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115">
        <v>37.0</v>
      </c>
      <c r="B510" s="99" t="s">
        <v>815</v>
      </c>
      <c r="C510" s="116" t="s">
        <v>107</v>
      </c>
      <c r="D510" s="119">
        <v>29731.0</v>
      </c>
      <c r="E510" s="99" t="s">
        <v>1226</v>
      </c>
      <c r="F510" s="99" t="s">
        <v>1227</v>
      </c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115">
        <v>38.0</v>
      </c>
      <c r="B511" s="99" t="s">
        <v>1228</v>
      </c>
      <c r="C511" s="116" t="s">
        <v>107</v>
      </c>
      <c r="D511" s="119">
        <v>39103.0</v>
      </c>
      <c r="E511" s="99" t="s">
        <v>625</v>
      </c>
      <c r="F511" s="99" t="s">
        <v>626</v>
      </c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115">
        <v>39.0</v>
      </c>
      <c r="B512" s="99" t="s">
        <v>1229</v>
      </c>
      <c r="C512" s="116" t="s">
        <v>107</v>
      </c>
      <c r="D512" s="117">
        <v>35050.0</v>
      </c>
      <c r="E512" s="99" t="s">
        <v>1154</v>
      </c>
      <c r="F512" s="99" t="s">
        <v>1230</v>
      </c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115">
        <v>40.0</v>
      </c>
      <c r="B513" s="99" t="s">
        <v>420</v>
      </c>
      <c r="C513" s="116" t="s">
        <v>107</v>
      </c>
      <c r="D513" s="119">
        <v>33113.0</v>
      </c>
      <c r="E513" s="99" t="s">
        <v>1231</v>
      </c>
      <c r="F513" s="99" t="s">
        <v>1232</v>
      </c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115">
        <v>41.0</v>
      </c>
      <c r="B514" s="99" t="s">
        <v>1233</v>
      </c>
      <c r="C514" s="116" t="s">
        <v>107</v>
      </c>
      <c r="D514" s="117">
        <v>34999.0</v>
      </c>
      <c r="E514" s="99" t="s">
        <v>1234</v>
      </c>
      <c r="F514" s="99" t="s">
        <v>1235</v>
      </c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115">
        <v>42.0</v>
      </c>
      <c r="B515" s="99" t="s">
        <v>182</v>
      </c>
      <c r="C515" s="116" t="s">
        <v>107</v>
      </c>
      <c r="D515" s="117">
        <v>34252.0</v>
      </c>
      <c r="E515" s="99" t="s">
        <v>1236</v>
      </c>
      <c r="F515" s="99" t="s">
        <v>1237</v>
      </c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115">
        <v>43.0</v>
      </c>
      <c r="B516" s="99" t="s">
        <v>1238</v>
      </c>
      <c r="C516" s="116" t="s">
        <v>107</v>
      </c>
      <c r="D516" s="117">
        <v>34258.0</v>
      </c>
      <c r="E516" s="99" t="s">
        <v>1236</v>
      </c>
      <c r="F516" s="99" t="s">
        <v>1237</v>
      </c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115">
        <v>44.0</v>
      </c>
      <c r="B517" s="99" t="s">
        <v>249</v>
      </c>
      <c r="C517" s="116" t="s">
        <v>107</v>
      </c>
      <c r="D517" s="117">
        <v>34292.0</v>
      </c>
      <c r="E517" s="99" t="s">
        <v>1239</v>
      </c>
      <c r="F517" s="99" t="s">
        <v>1207</v>
      </c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115">
        <v>45.0</v>
      </c>
      <c r="B518" s="99" t="s">
        <v>177</v>
      </c>
      <c r="C518" s="116" t="s">
        <v>107</v>
      </c>
      <c r="D518" s="119">
        <v>34122.0</v>
      </c>
      <c r="E518" s="99" t="s">
        <v>1240</v>
      </c>
      <c r="F518" s="99" t="s">
        <v>1241</v>
      </c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115">
        <v>46.0</v>
      </c>
      <c r="B519" s="99" t="s">
        <v>353</v>
      </c>
      <c r="C519" s="116" t="s">
        <v>107</v>
      </c>
      <c r="D519" s="119">
        <v>31269.0</v>
      </c>
      <c r="E519" s="99" t="s">
        <v>1242</v>
      </c>
      <c r="F519" s="99" t="s">
        <v>1243</v>
      </c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115">
        <v>47.0</v>
      </c>
      <c r="B520" s="99" t="s">
        <v>1244</v>
      </c>
      <c r="C520" s="116" t="s">
        <v>107</v>
      </c>
      <c r="D520" s="119">
        <v>37424.0</v>
      </c>
      <c r="E520" s="99" t="s">
        <v>1245</v>
      </c>
      <c r="F520" s="99" t="s">
        <v>1246</v>
      </c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115">
        <v>48.0</v>
      </c>
      <c r="B521" s="99" t="s">
        <v>1247</v>
      </c>
      <c r="C521" s="116" t="s">
        <v>107</v>
      </c>
      <c r="D521" s="119">
        <v>36411.0</v>
      </c>
      <c r="E521" s="99" t="s">
        <v>730</v>
      </c>
      <c r="F521" s="99" t="s">
        <v>731</v>
      </c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115">
        <v>49.0</v>
      </c>
      <c r="B522" s="99" t="s">
        <v>718</v>
      </c>
      <c r="C522" s="116" t="s">
        <v>107</v>
      </c>
      <c r="D522" s="117">
        <v>30282.0</v>
      </c>
      <c r="E522" s="99" t="s">
        <v>1248</v>
      </c>
      <c r="F522" s="99" t="s">
        <v>1249</v>
      </c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115">
        <v>50.0</v>
      </c>
      <c r="B523" s="99" t="s">
        <v>1250</v>
      </c>
      <c r="C523" s="116" t="s">
        <v>107</v>
      </c>
      <c r="D523" s="117">
        <v>30239.0</v>
      </c>
      <c r="E523" s="99" t="s">
        <v>1251</v>
      </c>
      <c r="F523" s="99" t="s">
        <v>1252</v>
      </c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115">
        <v>51.0</v>
      </c>
      <c r="B524" s="99" t="s">
        <v>1253</v>
      </c>
      <c r="C524" s="116" t="s">
        <v>107</v>
      </c>
      <c r="D524" s="119">
        <v>39054.0</v>
      </c>
      <c r="E524" s="99" t="s">
        <v>1254</v>
      </c>
      <c r="F524" s="99" t="s">
        <v>1250</v>
      </c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115">
        <v>52.0</v>
      </c>
      <c r="B525" s="99" t="s">
        <v>1255</v>
      </c>
      <c r="C525" s="116" t="s">
        <v>107</v>
      </c>
      <c r="D525" s="119">
        <v>35703.0</v>
      </c>
      <c r="E525" s="99" t="s">
        <v>748</v>
      </c>
      <c r="F525" s="99" t="s">
        <v>1256</v>
      </c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115">
        <v>53.0</v>
      </c>
      <c r="B526" s="99" t="s">
        <v>723</v>
      </c>
      <c r="C526" s="116" t="s">
        <v>107</v>
      </c>
      <c r="D526" s="119">
        <v>39340.0</v>
      </c>
      <c r="E526" s="99" t="s">
        <v>1257</v>
      </c>
      <c r="F526" s="99" t="s">
        <v>725</v>
      </c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115">
        <v>54.0</v>
      </c>
      <c r="B527" s="99" t="s">
        <v>1258</v>
      </c>
      <c r="C527" s="116" t="s">
        <v>107</v>
      </c>
      <c r="D527" s="119">
        <v>38222.0</v>
      </c>
      <c r="E527" s="99" t="s">
        <v>319</v>
      </c>
      <c r="F527" s="99" t="s">
        <v>1259</v>
      </c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115">
        <v>55.0</v>
      </c>
      <c r="B528" s="99" t="s">
        <v>713</v>
      </c>
      <c r="C528" s="116" t="s">
        <v>107</v>
      </c>
      <c r="D528" s="119">
        <v>30213.0</v>
      </c>
      <c r="E528" s="99" t="s">
        <v>1260</v>
      </c>
      <c r="F528" s="99" t="s">
        <v>1261</v>
      </c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115">
        <v>56.0</v>
      </c>
      <c r="B529" s="99" t="s">
        <v>1262</v>
      </c>
      <c r="C529" s="116" t="s">
        <v>107</v>
      </c>
      <c r="D529" s="117">
        <v>32803.0</v>
      </c>
      <c r="E529" s="99" t="s">
        <v>1263</v>
      </c>
      <c r="F529" s="99" t="s">
        <v>1163</v>
      </c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115">
        <v>57.0</v>
      </c>
      <c r="B530" s="99" t="s">
        <v>1264</v>
      </c>
      <c r="C530" s="116" t="s">
        <v>107</v>
      </c>
      <c r="D530" s="119">
        <v>33242.0</v>
      </c>
      <c r="E530" s="99" t="s">
        <v>636</v>
      </c>
      <c r="F530" s="99" t="s">
        <v>637</v>
      </c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115">
        <v>58.0</v>
      </c>
      <c r="B531" s="99" t="s">
        <v>1265</v>
      </c>
      <c r="C531" s="116" t="s">
        <v>107</v>
      </c>
      <c r="D531" s="119">
        <v>31245.0</v>
      </c>
      <c r="E531" s="99" t="s">
        <v>1251</v>
      </c>
      <c r="F531" s="99" t="s">
        <v>1252</v>
      </c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115">
        <v>59.0</v>
      </c>
      <c r="B532" s="99" t="s">
        <v>1266</v>
      </c>
      <c r="C532" s="116" t="s">
        <v>107</v>
      </c>
      <c r="D532" s="117">
        <v>33218.0</v>
      </c>
      <c r="E532" s="99" t="s">
        <v>1267</v>
      </c>
      <c r="F532" s="99" t="s">
        <v>1268</v>
      </c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115">
        <v>60.0</v>
      </c>
      <c r="B533" s="99" t="s">
        <v>404</v>
      </c>
      <c r="C533" s="116" t="s">
        <v>107</v>
      </c>
      <c r="D533" s="119">
        <v>31190.0</v>
      </c>
      <c r="E533" s="99" t="s">
        <v>1152</v>
      </c>
      <c r="F533" s="99" t="s">
        <v>1153</v>
      </c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115">
        <v>61.0</v>
      </c>
      <c r="B534" s="99" t="s">
        <v>1269</v>
      </c>
      <c r="C534" s="116" t="s">
        <v>107</v>
      </c>
      <c r="D534" s="117">
        <v>33521.0</v>
      </c>
      <c r="E534" s="99" t="s">
        <v>1270</v>
      </c>
      <c r="F534" s="99" t="s">
        <v>1271</v>
      </c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115">
        <v>62.0</v>
      </c>
      <c r="B535" s="99" t="s">
        <v>1272</v>
      </c>
      <c r="C535" s="116" t="s">
        <v>107</v>
      </c>
      <c r="D535" s="117">
        <v>35062.0</v>
      </c>
      <c r="E535" s="99" t="s">
        <v>1245</v>
      </c>
      <c r="F535" s="99" t="s">
        <v>1246</v>
      </c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115">
        <v>63.0</v>
      </c>
      <c r="B536" s="99" t="s">
        <v>268</v>
      </c>
      <c r="C536" s="116" t="s">
        <v>107</v>
      </c>
      <c r="D536" s="119">
        <v>32016.0</v>
      </c>
      <c r="E536" s="99" t="s">
        <v>1273</v>
      </c>
      <c r="F536" s="99" t="s">
        <v>1274</v>
      </c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115">
        <v>64.0</v>
      </c>
      <c r="B537" s="99" t="s">
        <v>1275</v>
      </c>
      <c r="C537" s="116" t="s">
        <v>107</v>
      </c>
      <c r="D537" s="119">
        <v>37041.0</v>
      </c>
      <c r="E537" s="99" t="s">
        <v>1276</v>
      </c>
      <c r="F537" s="99" t="s">
        <v>1277</v>
      </c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115">
        <v>65.0</v>
      </c>
      <c r="B538" s="99" t="s">
        <v>1217</v>
      </c>
      <c r="C538" s="116" t="s">
        <v>107</v>
      </c>
      <c r="D538" s="119">
        <v>31082.0</v>
      </c>
      <c r="E538" s="99" t="s">
        <v>1278</v>
      </c>
      <c r="F538" s="99" t="s">
        <v>1225</v>
      </c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115">
        <v>66.0</v>
      </c>
      <c r="B539" s="99" t="s">
        <v>1279</v>
      </c>
      <c r="C539" s="116" t="s">
        <v>107</v>
      </c>
      <c r="D539" s="119">
        <v>29823.0</v>
      </c>
      <c r="E539" s="99" t="s">
        <v>1280</v>
      </c>
      <c r="F539" s="99" t="s">
        <v>1281</v>
      </c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115">
        <v>67.0</v>
      </c>
      <c r="B540" s="99" t="s">
        <v>1282</v>
      </c>
      <c r="C540" s="116" t="s">
        <v>107</v>
      </c>
      <c r="D540" s="119">
        <v>32275.0</v>
      </c>
      <c r="E540" s="99" t="s">
        <v>1283</v>
      </c>
      <c r="F540" s="99" t="s">
        <v>1284</v>
      </c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115">
        <v>68.0</v>
      </c>
      <c r="B541" s="99" t="s">
        <v>1285</v>
      </c>
      <c r="C541" s="116" t="s">
        <v>107</v>
      </c>
      <c r="D541" s="119">
        <v>35214.0</v>
      </c>
      <c r="E541" s="99" t="s">
        <v>1283</v>
      </c>
      <c r="F541" s="99" t="s">
        <v>1284</v>
      </c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115">
        <v>69.0</v>
      </c>
      <c r="B542" s="99" t="s">
        <v>1286</v>
      </c>
      <c r="C542" s="116" t="s">
        <v>107</v>
      </c>
      <c r="D542" s="119">
        <v>38689.0</v>
      </c>
      <c r="E542" s="99" t="s">
        <v>1287</v>
      </c>
      <c r="F542" s="99" t="s">
        <v>1288</v>
      </c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115">
        <v>70.0</v>
      </c>
      <c r="B543" s="99" t="s">
        <v>302</v>
      </c>
      <c r="C543" s="116" t="s">
        <v>107</v>
      </c>
      <c r="D543" s="119">
        <v>31474.0</v>
      </c>
      <c r="E543" s="99" t="s">
        <v>1289</v>
      </c>
      <c r="F543" s="99" t="s">
        <v>1290</v>
      </c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115">
        <v>71.0</v>
      </c>
      <c r="B544" s="99" t="s">
        <v>311</v>
      </c>
      <c r="C544" s="116" t="s">
        <v>107</v>
      </c>
      <c r="D544" s="119">
        <v>35962.0</v>
      </c>
      <c r="E544" s="99" t="s">
        <v>1291</v>
      </c>
      <c r="F544" s="99" t="s">
        <v>685</v>
      </c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115">
        <v>72.0</v>
      </c>
      <c r="B545" s="99" t="s">
        <v>1292</v>
      </c>
      <c r="C545" s="116" t="s">
        <v>107</v>
      </c>
      <c r="D545" s="119">
        <v>34922.0</v>
      </c>
      <c r="E545" s="99" t="s">
        <v>1293</v>
      </c>
      <c r="F545" s="99" t="s">
        <v>1294</v>
      </c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115">
        <v>73.0</v>
      </c>
      <c r="B546" s="99" t="s">
        <v>1295</v>
      </c>
      <c r="C546" s="116" t="s">
        <v>107</v>
      </c>
      <c r="D546" s="119">
        <v>35890.0</v>
      </c>
      <c r="E546" s="99" t="s">
        <v>1296</v>
      </c>
      <c r="F546" s="99" t="s">
        <v>1297</v>
      </c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115">
        <v>74.0</v>
      </c>
      <c r="B547" s="99" t="s">
        <v>295</v>
      </c>
      <c r="C547" s="116" t="s">
        <v>107</v>
      </c>
      <c r="D547" s="119">
        <v>33750.0</v>
      </c>
      <c r="E547" s="99" t="s">
        <v>1298</v>
      </c>
      <c r="F547" s="99" t="s">
        <v>1299</v>
      </c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115">
        <v>75.0</v>
      </c>
      <c r="B548" s="99" t="s">
        <v>1300</v>
      </c>
      <c r="C548" s="116" t="s">
        <v>107</v>
      </c>
      <c r="D548" s="119">
        <v>31459.0</v>
      </c>
      <c r="E548" s="99" t="s">
        <v>1301</v>
      </c>
      <c r="F548" s="99" t="s">
        <v>1302</v>
      </c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115">
        <v>76.0</v>
      </c>
      <c r="B549" s="99" t="s">
        <v>1303</v>
      </c>
      <c r="C549" s="116" t="s">
        <v>107</v>
      </c>
      <c r="D549" s="119">
        <v>30625.0</v>
      </c>
      <c r="E549" s="99" t="s">
        <v>1304</v>
      </c>
      <c r="F549" s="99" t="s">
        <v>1305</v>
      </c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115">
        <v>77.0</v>
      </c>
      <c r="B550" s="99" t="s">
        <v>728</v>
      </c>
      <c r="C550" s="116" t="s">
        <v>107</v>
      </c>
      <c r="D550" s="119">
        <v>33697.0</v>
      </c>
      <c r="E550" s="99" t="s">
        <v>1257</v>
      </c>
      <c r="F550" s="99" t="s">
        <v>725</v>
      </c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115">
        <v>78.0</v>
      </c>
      <c r="B551" s="99" t="s">
        <v>143</v>
      </c>
      <c r="C551" s="116" t="s">
        <v>107</v>
      </c>
      <c r="D551" s="119">
        <v>33103.0</v>
      </c>
      <c r="E551" s="99" t="s">
        <v>1306</v>
      </c>
      <c r="F551" s="99" t="s">
        <v>1307</v>
      </c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115">
        <v>79.0</v>
      </c>
      <c r="B552" s="99" t="s">
        <v>384</v>
      </c>
      <c r="C552" s="116" t="s">
        <v>107</v>
      </c>
      <c r="D552" s="117">
        <v>30305.0</v>
      </c>
      <c r="E552" s="99" t="s">
        <v>1280</v>
      </c>
      <c r="F552" s="99" t="s">
        <v>1281</v>
      </c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115">
        <v>80.0</v>
      </c>
      <c r="B553" s="99" t="s">
        <v>444</v>
      </c>
      <c r="C553" s="116" t="s">
        <v>107</v>
      </c>
      <c r="D553" s="119">
        <v>32884.0</v>
      </c>
      <c r="E553" s="99" t="s">
        <v>1308</v>
      </c>
      <c r="F553" s="99" t="s">
        <v>1309</v>
      </c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115">
        <v>81.0</v>
      </c>
      <c r="B554" s="99" t="s">
        <v>329</v>
      </c>
      <c r="C554" s="116" t="s">
        <v>107</v>
      </c>
      <c r="D554" s="117">
        <v>34699.0</v>
      </c>
      <c r="E554" s="99" t="s">
        <v>1310</v>
      </c>
      <c r="F554" s="99" t="s">
        <v>1311</v>
      </c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115">
        <v>82.0</v>
      </c>
      <c r="B555" s="99" t="s">
        <v>265</v>
      </c>
      <c r="C555" s="116" t="s">
        <v>107</v>
      </c>
      <c r="D555" s="117">
        <v>36852.0</v>
      </c>
      <c r="E555" s="99" t="s">
        <v>1312</v>
      </c>
      <c r="F555" s="99" t="s">
        <v>1288</v>
      </c>
      <c r="G555" s="109"/>
      <c r="H555" s="109"/>
      <c r="I555" s="109"/>
      <c r="J555" s="109"/>
      <c r="K555" s="109"/>
      <c r="L555" s="109"/>
      <c r="M555" s="109"/>
      <c r="N555" s="116">
        <v>1.0</v>
      </c>
      <c r="O555" s="109"/>
      <c r="P555" s="109"/>
      <c r="Q555" s="109"/>
      <c r="R555" s="109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115">
        <v>83.0</v>
      </c>
      <c r="B556" s="99" t="s">
        <v>1313</v>
      </c>
      <c r="C556" s="116" t="s">
        <v>107</v>
      </c>
      <c r="D556" s="119">
        <v>36335.0</v>
      </c>
      <c r="E556" s="99" t="s">
        <v>1314</v>
      </c>
      <c r="F556" s="99" t="s">
        <v>657</v>
      </c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115">
        <v>84.0</v>
      </c>
      <c r="B557" s="99" t="s">
        <v>152</v>
      </c>
      <c r="C557" s="116" t="s">
        <v>107</v>
      </c>
      <c r="D557" s="119">
        <v>37763.0</v>
      </c>
      <c r="E557" s="99" t="s">
        <v>1315</v>
      </c>
      <c r="F557" s="99" t="s">
        <v>1316</v>
      </c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115">
        <v>85.0</v>
      </c>
      <c r="B558" s="99" t="s">
        <v>1317</v>
      </c>
      <c r="C558" s="116" t="s">
        <v>107</v>
      </c>
      <c r="D558" s="119">
        <v>31155.0</v>
      </c>
      <c r="E558" s="99" t="s">
        <v>376</v>
      </c>
      <c r="F558" s="99" t="s">
        <v>1318</v>
      </c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115">
        <v>86.0</v>
      </c>
      <c r="B559" s="99" t="s">
        <v>651</v>
      </c>
      <c r="C559" s="116" t="s">
        <v>107</v>
      </c>
      <c r="D559" s="119">
        <v>31262.0</v>
      </c>
      <c r="E559" s="99" t="s">
        <v>1170</v>
      </c>
      <c r="F559" s="99" t="s">
        <v>1171</v>
      </c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115">
        <v>87.0</v>
      </c>
      <c r="B560" s="99" t="s">
        <v>391</v>
      </c>
      <c r="C560" s="116" t="s">
        <v>107</v>
      </c>
      <c r="D560" s="119">
        <v>30795.0</v>
      </c>
      <c r="E560" s="99" t="s">
        <v>1162</v>
      </c>
      <c r="F560" s="99" t="s">
        <v>1163</v>
      </c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115">
        <v>88.0</v>
      </c>
      <c r="B561" s="99" t="s">
        <v>1319</v>
      </c>
      <c r="C561" s="116" t="s">
        <v>107</v>
      </c>
      <c r="D561" s="119">
        <v>36796.0</v>
      </c>
      <c r="E561" s="99" t="s">
        <v>1320</v>
      </c>
      <c r="F561" s="99" t="s">
        <v>1321</v>
      </c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115">
        <v>89.0</v>
      </c>
      <c r="B562" s="99" t="s">
        <v>1322</v>
      </c>
      <c r="C562" s="116" t="s">
        <v>107</v>
      </c>
      <c r="D562" s="117">
        <v>37585.0</v>
      </c>
      <c r="E562" s="99" t="s">
        <v>643</v>
      </c>
      <c r="F562" s="99" t="s">
        <v>644</v>
      </c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115">
        <v>90.0</v>
      </c>
      <c r="B563" s="99" t="s">
        <v>146</v>
      </c>
      <c r="C563" s="116" t="s">
        <v>107</v>
      </c>
      <c r="D563" s="117">
        <v>32461.0</v>
      </c>
      <c r="E563" s="99" t="s">
        <v>1323</v>
      </c>
      <c r="F563" s="99" t="s">
        <v>1166</v>
      </c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115">
        <v>91.0</v>
      </c>
      <c r="B564" s="99" t="s">
        <v>377</v>
      </c>
      <c r="C564" s="116" t="s">
        <v>107</v>
      </c>
      <c r="D564" s="119">
        <v>29993.0</v>
      </c>
      <c r="E564" s="99" t="s">
        <v>1152</v>
      </c>
      <c r="F564" s="99" t="s">
        <v>1153</v>
      </c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115">
        <v>92.0</v>
      </c>
      <c r="B565" s="99" t="s">
        <v>1324</v>
      </c>
      <c r="C565" s="116" t="s">
        <v>107</v>
      </c>
      <c r="D565" s="117">
        <v>32067.0</v>
      </c>
      <c r="E565" s="99" t="s">
        <v>1325</v>
      </c>
      <c r="F565" s="99" t="s">
        <v>1326</v>
      </c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115">
        <v>93.0</v>
      </c>
      <c r="B566" s="99" t="s">
        <v>308</v>
      </c>
      <c r="C566" s="116" t="s">
        <v>107</v>
      </c>
      <c r="D566" s="119">
        <v>35490.0</v>
      </c>
      <c r="E566" s="99" t="s">
        <v>1325</v>
      </c>
      <c r="F566" s="99" t="s">
        <v>1326</v>
      </c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115">
        <v>94.0</v>
      </c>
      <c r="B567" s="99" t="s">
        <v>401</v>
      </c>
      <c r="C567" s="116" t="s">
        <v>107</v>
      </c>
      <c r="D567" s="117">
        <v>30234.0</v>
      </c>
      <c r="E567" s="99" t="s">
        <v>1323</v>
      </c>
      <c r="F567" s="99" t="s">
        <v>1166</v>
      </c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115">
        <v>95.0</v>
      </c>
      <c r="B568" s="99" t="s">
        <v>651</v>
      </c>
      <c r="C568" s="116" t="s">
        <v>107</v>
      </c>
      <c r="D568" s="119">
        <v>31262.0</v>
      </c>
      <c r="E568" s="99" t="s">
        <v>1170</v>
      </c>
      <c r="F568" s="108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115">
        <v>96.0</v>
      </c>
      <c r="B569" s="99" t="s">
        <v>1327</v>
      </c>
      <c r="C569" s="116" t="s">
        <v>107</v>
      </c>
      <c r="D569" s="119">
        <v>36935.0</v>
      </c>
      <c r="E569" s="99" t="s">
        <v>1328</v>
      </c>
      <c r="F569" s="99" t="s">
        <v>1329</v>
      </c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115">
        <v>97.0</v>
      </c>
      <c r="B570" s="99" t="s">
        <v>1330</v>
      </c>
      <c r="C570" s="116" t="s">
        <v>107</v>
      </c>
      <c r="D570" s="117">
        <v>35015.0</v>
      </c>
      <c r="E570" s="99" t="s">
        <v>1331</v>
      </c>
      <c r="F570" s="99" t="s">
        <v>1177</v>
      </c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115">
        <v>98.0</v>
      </c>
      <c r="B571" s="99" t="s">
        <v>1332</v>
      </c>
      <c r="C571" s="116" t="s">
        <v>107</v>
      </c>
      <c r="D571" s="119">
        <v>36062.0</v>
      </c>
      <c r="E571" s="99" t="s">
        <v>1333</v>
      </c>
      <c r="F571" s="99" t="s">
        <v>1334</v>
      </c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115">
        <v>99.0</v>
      </c>
      <c r="B572" s="99" t="s">
        <v>1335</v>
      </c>
      <c r="C572" s="116" t="s">
        <v>107</v>
      </c>
      <c r="D572" s="119">
        <v>35257.0</v>
      </c>
      <c r="E572" s="99" t="s">
        <v>733</v>
      </c>
      <c r="F572" s="99" t="s">
        <v>734</v>
      </c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115">
        <v>100.0</v>
      </c>
      <c r="B573" s="99" t="s">
        <v>1336</v>
      </c>
      <c r="C573" s="116" t="s">
        <v>107</v>
      </c>
      <c r="D573" s="119">
        <v>38414.0</v>
      </c>
      <c r="E573" s="99" t="s">
        <v>416</v>
      </c>
      <c r="F573" s="99" t="s">
        <v>1337</v>
      </c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115">
        <v>101.0</v>
      </c>
      <c r="B574" s="99" t="s">
        <v>740</v>
      </c>
      <c r="C574" s="116" t="s">
        <v>107</v>
      </c>
      <c r="D574" s="117">
        <v>33565.0</v>
      </c>
      <c r="E574" s="99" t="s">
        <v>1333</v>
      </c>
      <c r="F574" s="99" t="s">
        <v>1334</v>
      </c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115">
        <v>102.0</v>
      </c>
      <c r="B575" s="99" t="s">
        <v>737</v>
      </c>
      <c r="C575" s="116" t="s">
        <v>107</v>
      </c>
      <c r="D575" s="119">
        <v>33017.0</v>
      </c>
      <c r="E575" s="99" t="s">
        <v>1333</v>
      </c>
      <c r="F575" s="99" t="s">
        <v>1334</v>
      </c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115">
        <v>103.0</v>
      </c>
      <c r="B576" s="99" t="s">
        <v>420</v>
      </c>
      <c r="C576" s="116" t="s">
        <v>107</v>
      </c>
      <c r="D576" s="119">
        <v>33113.0</v>
      </c>
      <c r="E576" s="99" t="s">
        <v>1231</v>
      </c>
      <c r="F576" s="99" t="s">
        <v>1232</v>
      </c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115">
        <v>104.0</v>
      </c>
      <c r="B577" s="99" t="s">
        <v>1338</v>
      </c>
      <c r="C577" s="116" t="s">
        <v>107</v>
      </c>
      <c r="D577" s="117">
        <v>36142.0</v>
      </c>
      <c r="E577" s="99" t="s">
        <v>1339</v>
      </c>
      <c r="F577" s="99" t="s">
        <v>1340</v>
      </c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115">
        <v>105.0</v>
      </c>
      <c r="B578" s="99" t="s">
        <v>600</v>
      </c>
      <c r="C578" s="116" t="s">
        <v>107</v>
      </c>
      <c r="D578" s="117">
        <v>31701.0</v>
      </c>
      <c r="E578" s="99" t="s">
        <v>1341</v>
      </c>
      <c r="F578" s="99" t="s">
        <v>1342</v>
      </c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115">
        <v>106.0</v>
      </c>
      <c r="B579" s="99" t="s">
        <v>1343</v>
      </c>
      <c r="C579" s="116" t="s">
        <v>107</v>
      </c>
      <c r="D579" s="119">
        <v>37875.0</v>
      </c>
      <c r="E579" s="99" t="s">
        <v>1344</v>
      </c>
      <c r="F579" s="99" t="s">
        <v>1345</v>
      </c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115">
        <v>107.0</v>
      </c>
      <c r="B580" s="99" t="s">
        <v>1346</v>
      </c>
      <c r="C580" s="116" t="s">
        <v>107</v>
      </c>
      <c r="D580" s="119">
        <v>33004.0</v>
      </c>
      <c r="E580" s="99" t="s">
        <v>1347</v>
      </c>
      <c r="F580" s="99" t="s">
        <v>1348</v>
      </c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115">
        <v>108.0</v>
      </c>
      <c r="B581" s="99" t="s">
        <v>1349</v>
      </c>
      <c r="C581" s="116" t="s">
        <v>107</v>
      </c>
      <c r="D581" s="117">
        <v>32830.0</v>
      </c>
      <c r="E581" s="99" t="s">
        <v>1304</v>
      </c>
      <c r="F581" s="99" t="s">
        <v>1305</v>
      </c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115">
        <v>109.0</v>
      </c>
      <c r="B582" s="99" t="s">
        <v>1350</v>
      </c>
      <c r="C582" s="116" t="s">
        <v>107</v>
      </c>
      <c r="D582" s="119">
        <v>38118.0</v>
      </c>
      <c r="E582" s="99" t="s">
        <v>1304</v>
      </c>
      <c r="F582" s="99" t="s">
        <v>1305</v>
      </c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115">
        <v>110.0</v>
      </c>
      <c r="B583" s="99" t="s">
        <v>1351</v>
      </c>
      <c r="C583" s="116" t="s">
        <v>107</v>
      </c>
      <c r="D583" s="119">
        <v>30089.0</v>
      </c>
      <c r="E583" s="99" t="s">
        <v>1352</v>
      </c>
      <c r="F583" s="99" t="s">
        <v>692</v>
      </c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115">
        <v>111.0</v>
      </c>
      <c r="B584" s="99" t="s">
        <v>368</v>
      </c>
      <c r="C584" s="116" t="s">
        <v>107</v>
      </c>
      <c r="D584" s="119">
        <v>31092.0</v>
      </c>
      <c r="E584" s="99" t="s">
        <v>1353</v>
      </c>
      <c r="F584" s="99" t="s">
        <v>1354</v>
      </c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115">
        <v>112.0</v>
      </c>
      <c r="B585" s="99" t="s">
        <v>1355</v>
      </c>
      <c r="C585" s="116" t="s">
        <v>107</v>
      </c>
      <c r="D585" s="119">
        <v>30223.0</v>
      </c>
      <c r="E585" s="99" t="s">
        <v>1356</v>
      </c>
      <c r="F585" s="99" t="s">
        <v>1357</v>
      </c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115">
        <v>113.0</v>
      </c>
      <c r="B586" s="99" t="s">
        <v>1277</v>
      </c>
      <c r="C586" s="116" t="s">
        <v>107</v>
      </c>
      <c r="D586" s="117">
        <v>30283.0</v>
      </c>
      <c r="E586" s="99" t="s">
        <v>1358</v>
      </c>
      <c r="F586" s="99" t="s">
        <v>1359</v>
      </c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115">
        <v>114.0</v>
      </c>
      <c r="B587" s="99" t="s">
        <v>1360</v>
      </c>
      <c r="C587" s="116" t="s">
        <v>107</v>
      </c>
      <c r="D587" s="119">
        <v>32541.0</v>
      </c>
      <c r="E587" s="99" t="s">
        <v>1361</v>
      </c>
      <c r="F587" s="99" t="s">
        <v>1362</v>
      </c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115">
        <v>115.0</v>
      </c>
      <c r="B588" s="99" t="s">
        <v>634</v>
      </c>
      <c r="C588" s="116" t="s">
        <v>107</v>
      </c>
      <c r="D588" s="119">
        <v>30453.0</v>
      </c>
      <c r="E588" s="99" t="s">
        <v>1363</v>
      </c>
      <c r="F588" s="99" t="s">
        <v>1364</v>
      </c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115">
        <v>116.0</v>
      </c>
      <c r="B589" s="99" t="s">
        <v>362</v>
      </c>
      <c r="C589" s="116" t="s">
        <v>107</v>
      </c>
      <c r="D589" s="116" t="s">
        <v>1365</v>
      </c>
      <c r="E589" s="99" t="s">
        <v>1366</v>
      </c>
      <c r="F589" s="99" t="s">
        <v>1321</v>
      </c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115">
        <v>117.0</v>
      </c>
      <c r="B590" s="99" t="s">
        <v>395</v>
      </c>
      <c r="C590" s="116" t="s">
        <v>107</v>
      </c>
      <c r="D590" s="119">
        <v>34182.0</v>
      </c>
      <c r="E590" s="99" t="s">
        <v>1367</v>
      </c>
      <c r="F590" s="99" t="s">
        <v>1368</v>
      </c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115">
        <v>118.0</v>
      </c>
      <c r="B591" s="99" t="s">
        <v>158</v>
      </c>
      <c r="C591" s="116" t="s">
        <v>107</v>
      </c>
      <c r="D591" s="119">
        <v>36027.0</v>
      </c>
      <c r="E591" s="99" t="s">
        <v>1369</v>
      </c>
      <c r="F591" s="99" t="s">
        <v>1370</v>
      </c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115">
        <v>119.0</v>
      </c>
      <c r="B592" s="99" t="s">
        <v>1371</v>
      </c>
      <c r="C592" s="116" t="s">
        <v>107</v>
      </c>
      <c r="D592" s="119">
        <v>32658.0</v>
      </c>
      <c r="E592" s="99" t="s">
        <v>656</v>
      </c>
      <c r="F592" s="99" t="s">
        <v>657</v>
      </c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115">
        <v>120.0</v>
      </c>
      <c r="B593" s="99" t="s">
        <v>1372</v>
      </c>
      <c r="C593" s="116" t="s">
        <v>107</v>
      </c>
      <c r="D593" s="119">
        <v>36638.0</v>
      </c>
      <c r="E593" s="99" t="s">
        <v>597</v>
      </c>
      <c r="F593" s="99" t="s">
        <v>598</v>
      </c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115">
        <v>121.0</v>
      </c>
      <c r="B594" s="99" t="s">
        <v>1373</v>
      </c>
      <c r="C594" s="116" t="s">
        <v>107</v>
      </c>
      <c r="D594" s="119">
        <v>35225.0</v>
      </c>
      <c r="E594" s="99" t="s">
        <v>1374</v>
      </c>
      <c r="F594" s="99" t="s">
        <v>1375</v>
      </c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115">
        <v>122.0</v>
      </c>
      <c r="B595" s="99" t="s">
        <v>1376</v>
      </c>
      <c r="C595" s="116" t="s">
        <v>107</v>
      </c>
      <c r="D595" s="117">
        <v>36449.0</v>
      </c>
      <c r="E595" s="99" t="s">
        <v>1377</v>
      </c>
      <c r="F595" s="99" t="s">
        <v>1378</v>
      </c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115">
        <v>123.0</v>
      </c>
      <c r="B596" s="99" t="s">
        <v>1379</v>
      </c>
      <c r="C596" s="116" t="s">
        <v>107</v>
      </c>
      <c r="D596" s="119">
        <v>36562.0</v>
      </c>
      <c r="E596" s="99" t="s">
        <v>1380</v>
      </c>
      <c r="F596" s="99" t="s">
        <v>1381</v>
      </c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115">
        <v>124.0</v>
      </c>
      <c r="B597" s="99" t="s">
        <v>1382</v>
      </c>
      <c r="C597" s="116" t="s">
        <v>107</v>
      </c>
      <c r="D597" s="117">
        <v>37966.0</v>
      </c>
      <c r="E597" s="99" t="s">
        <v>1383</v>
      </c>
      <c r="F597" s="99" t="s">
        <v>1384</v>
      </c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115">
        <v>125.0</v>
      </c>
      <c r="B598" s="99" t="s">
        <v>170</v>
      </c>
      <c r="C598" s="116" t="s">
        <v>107</v>
      </c>
      <c r="D598" s="117">
        <v>35731.0</v>
      </c>
      <c r="E598" s="99" t="s">
        <v>1383</v>
      </c>
      <c r="F598" s="99" t="s">
        <v>1384</v>
      </c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115">
        <v>126.0</v>
      </c>
      <c r="B599" s="99" t="s">
        <v>371</v>
      </c>
      <c r="C599" s="116" t="s">
        <v>107</v>
      </c>
      <c r="D599" s="119">
        <v>30739.0</v>
      </c>
      <c r="E599" s="99" t="s">
        <v>1385</v>
      </c>
      <c r="F599" s="99" t="s">
        <v>1386</v>
      </c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115">
        <v>127.0</v>
      </c>
      <c r="B600" s="99" t="s">
        <v>299</v>
      </c>
      <c r="C600" s="116" t="s">
        <v>107</v>
      </c>
      <c r="D600" s="119">
        <v>32721.0</v>
      </c>
      <c r="E600" s="99" t="s">
        <v>1236</v>
      </c>
      <c r="F600" s="99" t="s">
        <v>1237</v>
      </c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115">
        <v>128.0</v>
      </c>
      <c r="B601" s="99" t="s">
        <v>1387</v>
      </c>
      <c r="C601" s="116" t="s">
        <v>107</v>
      </c>
      <c r="D601" s="117">
        <v>37192.0</v>
      </c>
      <c r="E601" s="99" t="s">
        <v>612</v>
      </c>
      <c r="F601" s="99" t="s">
        <v>613</v>
      </c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115">
        <v>129.0</v>
      </c>
      <c r="B602" s="99" t="s">
        <v>1388</v>
      </c>
      <c r="C602" s="116" t="s">
        <v>107</v>
      </c>
      <c r="D602" s="119">
        <v>38019.0</v>
      </c>
      <c r="E602" s="99" t="s">
        <v>1389</v>
      </c>
      <c r="F602" s="99" t="s">
        <v>1390</v>
      </c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115">
        <v>130.0</v>
      </c>
      <c r="B603" s="99" t="s">
        <v>1391</v>
      </c>
      <c r="C603" s="116" t="s">
        <v>107</v>
      </c>
      <c r="D603" s="117">
        <v>34990.0</v>
      </c>
      <c r="E603" s="99" t="s">
        <v>681</v>
      </c>
      <c r="F603" s="99" t="s">
        <v>1256</v>
      </c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115">
        <v>131.0</v>
      </c>
      <c r="B604" s="99" t="s">
        <v>1392</v>
      </c>
      <c r="C604" s="116" t="s">
        <v>107</v>
      </c>
      <c r="D604" s="119">
        <v>35595.0</v>
      </c>
      <c r="E604" s="99" t="s">
        <v>681</v>
      </c>
      <c r="F604" s="99" t="s">
        <v>1256</v>
      </c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115">
        <v>132.0</v>
      </c>
      <c r="B605" s="99" t="s">
        <v>1393</v>
      </c>
      <c r="C605" s="116" t="s">
        <v>107</v>
      </c>
      <c r="D605" s="119">
        <v>37476.0</v>
      </c>
      <c r="E605" s="99" t="s">
        <v>1394</v>
      </c>
      <c r="F605" s="99" t="s">
        <v>380</v>
      </c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115">
        <v>133.0</v>
      </c>
      <c r="B606" s="99" t="s">
        <v>1395</v>
      </c>
      <c r="C606" s="116" t="s">
        <v>107</v>
      </c>
      <c r="D606" s="119">
        <v>33183.0</v>
      </c>
      <c r="E606" s="99" t="s">
        <v>1396</v>
      </c>
      <c r="F606" s="99" t="s">
        <v>1397</v>
      </c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115">
        <v>134.0</v>
      </c>
      <c r="B607" s="99" t="s">
        <v>1398</v>
      </c>
      <c r="C607" s="116" t="s">
        <v>107</v>
      </c>
      <c r="D607" s="117">
        <v>36443.0</v>
      </c>
      <c r="E607" s="99" t="s">
        <v>1399</v>
      </c>
      <c r="F607" s="99" t="s">
        <v>1400</v>
      </c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115">
        <v>135.0</v>
      </c>
      <c r="B608" s="99" t="s">
        <v>1401</v>
      </c>
      <c r="C608" s="116" t="s">
        <v>107</v>
      </c>
      <c r="D608" s="119">
        <v>36899.0</v>
      </c>
      <c r="E608" s="99" t="s">
        <v>1399</v>
      </c>
      <c r="F608" s="99" t="s">
        <v>1400</v>
      </c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115">
        <v>136.0</v>
      </c>
      <c r="B609" s="99" t="s">
        <v>1402</v>
      </c>
      <c r="C609" s="116" t="s">
        <v>107</v>
      </c>
      <c r="D609" s="117">
        <v>38283.0</v>
      </c>
      <c r="E609" s="99" t="s">
        <v>1403</v>
      </c>
      <c r="F609" s="99" t="s">
        <v>1404</v>
      </c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115">
        <v>137.0</v>
      </c>
      <c r="B610" s="99" t="s">
        <v>1405</v>
      </c>
      <c r="C610" s="116" t="s">
        <v>107</v>
      </c>
      <c r="D610" s="119">
        <v>36684.0</v>
      </c>
      <c r="E610" s="99" t="s">
        <v>1406</v>
      </c>
      <c r="F610" s="108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115">
        <v>138.0</v>
      </c>
      <c r="B611" s="99" t="s">
        <v>1407</v>
      </c>
      <c r="C611" s="116" t="s">
        <v>107</v>
      </c>
      <c r="D611" s="119">
        <v>35498.0</v>
      </c>
      <c r="E611" s="99" t="s">
        <v>1408</v>
      </c>
      <c r="F611" s="99" t="s">
        <v>1277</v>
      </c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115">
        <v>139.0</v>
      </c>
      <c r="B612" s="99" t="s">
        <v>1409</v>
      </c>
      <c r="C612" s="116" t="s">
        <v>107</v>
      </c>
      <c r="D612" s="119">
        <v>37442.0</v>
      </c>
      <c r="E612" s="99" t="s">
        <v>1408</v>
      </c>
      <c r="F612" s="99" t="s">
        <v>1277</v>
      </c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115">
        <v>140.0</v>
      </c>
      <c r="B613" s="99" t="s">
        <v>1410</v>
      </c>
      <c r="C613" s="116" t="s">
        <v>107</v>
      </c>
      <c r="D613" s="119">
        <v>39136.0</v>
      </c>
      <c r="E613" s="99" t="s">
        <v>659</v>
      </c>
      <c r="F613" s="99" t="s">
        <v>660</v>
      </c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115">
        <v>141.0</v>
      </c>
      <c r="B614" s="99" t="s">
        <v>259</v>
      </c>
      <c r="C614" s="116" t="s">
        <v>107</v>
      </c>
      <c r="D614" s="119">
        <v>32694.0</v>
      </c>
      <c r="E614" s="99" t="s">
        <v>1411</v>
      </c>
      <c r="F614" s="99" t="s">
        <v>1412</v>
      </c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115">
        <v>142.0</v>
      </c>
      <c r="B615" s="99" t="s">
        <v>1413</v>
      </c>
      <c r="C615" s="116" t="s">
        <v>107</v>
      </c>
      <c r="D615" s="119">
        <v>39394.0</v>
      </c>
      <c r="E615" s="99" t="s">
        <v>1414</v>
      </c>
      <c r="F615" s="99" t="s">
        <v>623</v>
      </c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115">
        <v>143.0</v>
      </c>
      <c r="B616" s="99" t="s">
        <v>1415</v>
      </c>
      <c r="C616" s="116" t="s">
        <v>107</v>
      </c>
      <c r="D616" s="119">
        <v>33859.0</v>
      </c>
      <c r="E616" s="99" t="s">
        <v>1150</v>
      </c>
      <c r="F616" s="99" t="s">
        <v>1416</v>
      </c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115">
        <v>144.0</v>
      </c>
      <c r="B617" s="99" t="s">
        <v>1417</v>
      </c>
      <c r="C617" s="116" t="s">
        <v>107</v>
      </c>
      <c r="D617" s="119">
        <v>37295.0</v>
      </c>
      <c r="E617" s="99" t="s">
        <v>1150</v>
      </c>
      <c r="F617" s="99" t="s">
        <v>1416</v>
      </c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115">
        <v>145.0</v>
      </c>
      <c r="B618" s="99" t="s">
        <v>1418</v>
      </c>
      <c r="C618" s="116" t="s">
        <v>107</v>
      </c>
      <c r="D618" s="119">
        <v>36534.0</v>
      </c>
      <c r="E618" s="99" t="s">
        <v>1419</v>
      </c>
      <c r="F618" s="99" t="s">
        <v>1420</v>
      </c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115">
        <v>146.0</v>
      </c>
      <c r="B619" s="99" t="s">
        <v>692</v>
      </c>
      <c r="C619" s="116" t="s">
        <v>107</v>
      </c>
      <c r="D619" s="117">
        <v>28418.0</v>
      </c>
      <c r="E619" s="99" t="s">
        <v>1421</v>
      </c>
      <c r="F619" s="99" t="s">
        <v>1422</v>
      </c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115">
        <v>147.0</v>
      </c>
      <c r="B620" s="99" t="s">
        <v>734</v>
      </c>
      <c r="C620" s="116" t="s">
        <v>107</v>
      </c>
      <c r="D620" s="117">
        <v>25882.0</v>
      </c>
      <c r="E620" s="99" t="s">
        <v>1423</v>
      </c>
      <c r="F620" s="99" t="s">
        <v>1424</v>
      </c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115">
        <v>148.0</v>
      </c>
      <c r="B621" s="99" t="s">
        <v>387</v>
      </c>
      <c r="C621" s="116" t="s">
        <v>107</v>
      </c>
      <c r="D621" s="119">
        <v>28218.0</v>
      </c>
      <c r="E621" s="99" t="s">
        <v>1157</v>
      </c>
      <c r="F621" s="99" t="s">
        <v>1425</v>
      </c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115">
        <v>149.0</v>
      </c>
      <c r="B622" s="99" t="s">
        <v>1190</v>
      </c>
      <c r="C622" s="116" t="s">
        <v>107</v>
      </c>
      <c r="D622" s="119">
        <v>29558.0</v>
      </c>
      <c r="E622" s="99" t="s">
        <v>1426</v>
      </c>
      <c r="F622" s="99" t="s">
        <v>1427</v>
      </c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115">
        <v>150.0</v>
      </c>
      <c r="B623" s="99" t="s">
        <v>675</v>
      </c>
      <c r="C623" s="116" t="s">
        <v>107</v>
      </c>
      <c r="D623" s="119">
        <v>27889.0</v>
      </c>
      <c r="E623" s="99" t="s">
        <v>1219</v>
      </c>
      <c r="F623" s="99" t="s">
        <v>1428</v>
      </c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115">
        <v>151.0</v>
      </c>
      <c r="B624" s="99" t="s">
        <v>626</v>
      </c>
      <c r="C624" s="116" t="s">
        <v>107</v>
      </c>
      <c r="D624" s="119">
        <v>28362.0</v>
      </c>
      <c r="E624" s="99" t="s">
        <v>1419</v>
      </c>
      <c r="F624" s="99" t="s">
        <v>1420</v>
      </c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115">
        <v>152.0</v>
      </c>
      <c r="B625" s="99" t="s">
        <v>1429</v>
      </c>
      <c r="C625" s="116" t="s">
        <v>107</v>
      </c>
      <c r="D625" s="119">
        <v>28326.0</v>
      </c>
      <c r="E625" s="99" t="s">
        <v>1430</v>
      </c>
      <c r="F625" s="99" t="s">
        <v>1431</v>
      </c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115">
        <v>153.0</v>
      </c>
      <c r="B626" s="99" t="s">
        <v>1432</v>
      </c>
      <c r="C626" s="116" t="s">
        <v>107</v>
      </c>
      <c r="D626" s="119">
        <v>27623.0</v>
      </c>
      <c r="E626" s="99" t="s">
        <v>1433</v>
      </c>
      <c r="F626" s="99" t="s">
        <v>1434</v>
      </c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115">
        <v>154.0</v>
      </c>
      <c r="B627" s="99" t="s">
        <v>1435</v>
      </c>
      <c r="C627" s="116" t="s">
        <v>107</v>
      </c>
      <c r="D627" s="119">
        <v>27183.0</v>
      </c>
      <c r="E627" s="99" t="s">
        <v>1436</v>
      </c>
      <c r="F627" s="99" t="s">
        <v>1420</v>
      </c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115">
        <v>155.0</v>
      </c>
      <c r="B628" s="99" t="s">
        <v>607</v>
      </c>
      <c r="C628" s="116" t="s">
        <v>107</v>
      </c>
      <c r="D628" s="119">
        <v>24443.0</v>
      </c>
      <c r="E628" s="99" t="s">
        <v>1437</v>
      </c>
      <c r="F628" s="99" t="s">
        <v>1438</v>
      </c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115">
        <v>156.0</v>
      </c>
      <c r="B629" s="99" t="s">
        <v>1439</v>
      </c>
      <c r="C629" s="116" t="s">
        <v>107</v>
      </c>
      <c r="D629" s="119">
        <v>25389.0</v>
      </c>
      <c r="E629" s="99" t="s">
        <v>1440</v>
      </c>
      <c r="F629" s="99" t="s">
        <v>1441</v>
      </c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115">
        <v>157.0</v>
      </c>
      <c r="B630" s="99" t="s">
        <v>731</v>
      </c>
      <c r="C630" s="116" t="s">
        <v>107</v>
      </c>
      <c r="D630" s="117">
        <v>26582.0</v>
      </c>
      <c r="E630" s="99" t="s">
        <v>1209</v>
      </c>
      <c r="F630" s="99" t="s">
        <v>1334</v>
      </c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115">
        <v>158.0</v>
      </c>
      <c r="B631" s="99" t="s">
        <v>1442</v>
      </c>
      <c r="C631" s="116" t="s">
        <v>107</v>
      </c>
      <c r="D631" s="119">
        <v>26094.0</v>
      </c>
      <c r="E631" s="99" t="s">
        <v>1443</v>
      </c>
      <c r="F631" s="99" t="s">
        <v>1444</v>
      </c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115">
        <v>159.0</v>
      </c>
      <c r="B632" s="99" t="s">
        <v>1246</v>
      </c>
      <c r="C632" s="116" t="s">
        <v>107</v>
      </c>
      <c r="D632" s="119">
        <v>25067.0</v>
      </c>
      <c r="E632" s="99" t="s">
        <v>1445</v>
      </c>
      <c r="F632" s="99" t="s">
        <v>1446</v>
      </c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115">
        <v>160.0</v>
      </c>
      <c r="B633" s="99" t="s">
        <v>450</v>
      </c>
      <c r="C633" s="116" t="s">
        <v>107</v>
      </c>
      <c r="D633" s="119">
        <v>29000.0</v>
      </c>
      <c r="E633" s="99" t="s">
        <v>1447</v>
      </c>
      <c r="F633" s="99" t="s">
        <v>1448</v>
      </c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115">
        <v>161.0</v>
      </c>
      <c r="B634" s="99" t="s">
        <v>749</v>
      </c>
      <c r="C634" s="116" t="s">
        <v>107</v>
      </c>
      <c r="D634" s="119">
        <v>27594.0</v>
      </c>
      <c r="E634" s="99" t="s">
        <v>1449</v>
      </c>
      <c r="F634" s="99" t="s">
        <v>1450</v>
      </c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115">
        <v>162.0</v>
      </c>
      <c r="B635" s="99" t="s">
        <v>320</v>
      </c>
      <c r="C635" s="116" t="s">
        <v>107</v>
      </c>
      <c r="D635" s="119">
        <v>28986.0</v>
      </c>
      <c r="E635" s="99" t="s">
        <v>1451</v>
      </c>
      <c r="F635" s="99" t="s">
        <v>1452</v>
      </c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115">
        <v>163.0</v>
      </c>
      <c r="B636" s="99" t="s">
        <v>725</v>
      </c>
      <c r="C636" s="116" t="s">
        <v>107</v>
      </c>
      <c r="D636" s="119">
        <v>26369.0</v>
      </c>
      <c r="E636" s="99" t="s">
        <v>1363</v>
      </c>
      <c r="F636" s="99" t="s">
        <v>1364</v>
      </c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115">
        <v>164.0</v>
      </c>
      <c r="B637" s="99" t="s">
        <v>1453</v>
      </c>
      <c r="C637" s="116" t="s">
        <v>107</v>
      </c>
      <c r="D637" s="117">
        <v>28440.0</v>
      </c>
      <c r="E637" s="99" t="s">
        <v>1454</v>
      </c>
      <c r="F637" s="99" t="s">
        <v>1455</v>
      </c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115">
        <v>165.0</v>
      </c>
      <c r="B638" s="99" t="s">
        <v>1288</v>
      </c>
      <c r="C638" s="116" t="s">
        <v>107</v>
      </c>
      <c r="D638" s="119">
        <v>26866.0</v>
      </c>
      <c r="E638" s="99" t="s">
        <v>1456</v>
      </c>
      <c r="F638" s="99" t="s">
        <v>1457</v>
      </c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115">
        <v>166.0</v>
      </c>
      <c r="B639" s="99" t="s">
        <v>1458</v>
      </c>
      <c r="C639" s="116" t="s">
        <v>107</v>
      </c>
      <c r="D639" s="119">
        <v>25364.0</v>
      </c>
      <c r="E639" s="99" t="s">
        <v>1459</v>
      </c>
      <c r="F639" s="99" t="s">
        <v>1460</v>
      </c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115">
        <v>167.0</v>
      </c>
      <c r="B640" s="99" t="s">
        <v>365</v>
      </c>
      <c r="C640" s="116" t="s">
        <v>107</v>
      </c>
      <c r="D640" s="119">
        <v>29054.0</v>
      </c>
      <c r="E640" s="99" t="s">
        <v>1461</v>
      </c>
      <c r="F640" s="99" t="s">
        <v>1462</v>
      </c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115">
        <v>168.0</v>
      </c>
      <c r="B641" s="99" t="s">
        <v>315</v>
      </c>
      <c r="C641" s="116" t="s">
        <v>107</v>
      </c>
      <c r="D641" s="117">
        <v>28442.0</v>
      </c>
      <c r="E641" s="99" t="s">
        <v>1463</v>
      </c>
      <c r="F641" s="99" t="s">
        <v>1464</v>
      </c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115">
        <v>169.0</v>
      </c>
      <c r="B642" s="99" t="s">
        <v>583</v>
      </c>
      <c r="C642" s="116" t="s">
        <v>107</v>
      </c>
      <c r="D642" s="119">
        <v>27984.0</v>
      </c>
      <c r="E642" s="99" t="s">
        <v>1465</v>
      </c>
      <c r="F642" s="99" t="s">
        <v>1466</v>
      </c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115">
        <v>170.0</v>
      </c>
      <c r="B643" s="99" t="s">
        <v>1467</v>
      </c>
      <c r="C643" s="116" t="s">
        <v>107</v>
      </c>
      <c r="D643" s="119">
        <v>25832.0</v>
      </c>
      <c r="E643" s="99" t="s">
        <v>1468</v>
      </c>
      <c r="F643" s="99" t="s">
        <v>1469</v>
      </c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115">
        <v>171.0</v>
      </c>
      <c r="B644" s="99" t="s">
        <v>1470</v>
      </c>
      <c r="C644" s="116" t="s">
        <v>107</v>
      </c>
      <c r="D644" s="119">
        <v>29474.0</v>
      </c>
      <c r="E644" s="99" t="s">
        <v>1461</v>
      </c>
      <c r="F644" s="99" t="s">
        <v>1462</v>
      </c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115">
        <v>172.0</v>
      </c>
      <c r="B645" s="99" t="s">
        <v>630</v>
      </c>
      <c r="C645" s="116" t="s">
        <v>107</v>
      </c>
      <c r="D645" s="117">
        <v>27356.0</v>
      </c>
      <c r="E645" s="99" t="s">
        <v>1471</v>
      </c>
      <c r="F645" s="99" t="s">
        <v>1472</v>
      </c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115">
        <v>173.0</v>
      </c>
      <c r="B646" s="99" t="s">
        <v>323</v>
      </c>
      <c r="C646" s="116" t="s">
        <v>107</v>
      </c>
      <c r="D646" s="119">
        <v>29160.0</v>
      </c>
      <c r="E646" s="99" t="s">
        <v>1320</v>
      </c>
      <c r="F646" s="99" t="s">
        <v>1473</v>
      </c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115">
        <v>174.0</v>
      </c>
      <c r="B647" s="99" t="s">
        <v>1172</v>
      </c>
      <c r="C647" s="116" t="s">
        <v>107</v>
      </c>
      <c r="D647" s="119">
        <v>25601.0</v>
      </c>
      <c r="E647" s="99" t="s">
        <v>1160</v>
      </c>
      <c r="F647" s="99" t="s">
        <v>1161</v>
      </c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115">
        <v>175.0</v>
      </c>
      <c r="B648" s="99" t="s">
        <v>644</v>
      </c>
      <c r="C648" s="116" t="s">
        <v>107</v>
      </c>
      <c r="D648" s="119">
        <v>27519.0</v>
      </c>
      <c r="E648" s="99" t="s">
        <v>1160</v>
      </c>
      <c r="F648" s="99" t="s">
        <v>1161</v>
      </c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115">
        <v>176.0</v>
      </c>
      <c r="B649" s="99" t="s">
        <v>1158</v>
      </c>
      <c r="C649" s="116" t="s">
        <v>107</v>
      </c>
      <c r="D649" s="119">
        <v>26167.0</v>
      </c>
      <c r="E649" s="99" t="s">
        <v>1474</v>
      </c>
      <c r="F649" s="99" t="s">
        <v>1475</v>
      </c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115">
        <v>177.0</v>
      </c>
      <c r="B650" s="99" t="s">
        <v>1166</v>
      </c>
      <c r="C650" s="116" t="s">
        <v>107</v>
      </c>
      <c r="D650" s="119">
        <v>25513.0</v>
      </c>
      <c r="E650" s="99" t="s">
        <v>1476</v>
      </c>
      <c r="F650" s="99" t="s">
        <v>1477</v>
      </c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115">
        <v>178.0</v>
      </c>
      <c r="B651" s="99" t="s">
        <v>1478</v>
      </c>
      <c r="C651" s="116" t="s">
        <v>107</v>
      </c>
      <c r="D651" s="119">
        <v>29501.0</v>
      </c>
      <c r="E651" s="99" t="s">
        <v>1479</v>
      </c>
      <c r="F651" s="99" t="s">
        <v>1480</v>
      </c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115">
        <v>179.0</v>
      </c>
      <c r="B652" s="99" t="s">
        <v>1481</v>
      </c>
      <c r="C652" s="116" t="s">
        <v>107</v>
      </c>
      <c r="D652" s="117">
        <v>25529.0</v>
      </c>
      <c r="E652" s="99" t="s">
        <v>1433</v>
      </c>
      <c r="F652" s="99" t="s">
        <v>1482</v>
      </c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115">
        <v>180.0</v>
      </c>
      <c r="B653" s="99" t="s">
        <v>1483</v>
      </c>
      <c r="C653" s="116" t="s">
        <v>107</v>
      </c>
      <c r="D653" s="119">
        <v>29556.0</v>
      </c>
      <c r="E653" s="99" t="s">
        <v>1484</v>
      </c>
      <c r="F653" s="99" t="s">
        <v>1485</v>
      </c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115">
        <v>181.0</v>
      </c>
      <c r="B654" s="99" t="s">
        <v>689</v>
      </c>
      <c r="C654" s="116" t="s">
        <v>107</v>
      </c>
      <c r="D654" s="117">
        <v>28043.0</v>
      </c>
      <c r="E654" s="99" t="s">
        <v>1421</v>
      </c>
      <c r="F654" s="99" t="s">
        <v>1422</v>
      </c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115">
        <v>182.0</v>
      </c>
      <c r="B655" s="99" t="s">
        <v>167</v>
      </c>
      <c r="C655" s="116" t="s">
        <v>107</v>
      </c>
      <c r="D655" s="119">
        <v>27649.0</v>
      </c>
      <c r="E655" s="99" t="s">
        <v>1454</v>
      </c>
      <c r="F655" s="99" t="s">
        <v>1455</v>
      </c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115">
        <v>183.0</v>
      </c>
      <c r="B656" s="99" t="s">
        <v>1486</v>
      </c>
      <c r="C656" s="116" t="s">
        <v>107</v>
      </c>
      <c r="D656" s="119">
        <v>27121.0</v>
      </c>
      <c r="E656" s="99" t="s">
        <v>1150</v>
      </c>
      <c r="F656" s="99" t="s">
        <v>1151</v>
      </c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115">
        <v>184.0</v>
      </c>
      <c r="B657" s="99" t="s">
        <v>586</v>
      </c>
      <c r="C657" s="116" t="s">
        <v>107</v>
      </c>
      <c r="D657" s="119">
        <v>26182.0</v>
      </c>
      <c r="E657" s="99" t="s">
        <v>585</v>
      </c>
      <c r="F657" s="99" t="s">
        <v>1487</v>
      </c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115">
        <v>185.0</v>
      </c>
      <c r="B658" s="99" t="s">
        <v>1488</v>
      </c>
      <c r="C658" s="116" t="s">
        <v>107</v>
      </c>
      <c r="D658" s="119">
        <v>25874.0</v>
      </c>
      <c r="E658" s="99" t="s">
        <v>1489</v>
      </c>
      <c r="F658" s="99" t="s">
        <v>1326</v>
      </c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115">
        <v>186.0</v>
      </c>
      <c r="B659" s="99" t="s">
        <v>1490</v>
      </c>
      <c r="C659" s="116" t="s">
        <v>107</v>
      </c>
      <c r="D659" s="119">
        <v>24875.0</v>
      </c>
      <c r="E659" s="99" t="s">
        <v>1489</v>
      </c>
      <c r="F659" s="99" t="s">
        <v>1326</v>
      </c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115">
        <v>187.0</v>
      </c>
      <c r="B660" s="99" t="s">
        <v>1491</v>
      </c>
      <c r="C660" s="116" t="s">
        <v>107</v>
      </c>
      <c r="D660" s="119">
        <v>29324.0</v>
      </c>
      <c r="E660" s="99" t="s">
        <v>1492</v>
      </c>
      <c r="F660" s="99" t="s">
        <v>1230</v>
      </c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115">
        <v>188.0</v>
      </c>
      <c r="B661" s="99" t="s">
        <v>380</v>
      </c>
      <c r="C661" s="116" t="s">
        <v>107</v>
      </c>
      <c r="D661" s="119">
        <v>25396.0</v>
      </c>
      <c r="E661" s="99" t="s">
        <v>1493</v>
      </c>
      <c r="F661" s="99" t="s">
        <v>1494</v>
      </c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115">
        <v>189.0</v>
      </c>
      <c r="B662" s="99" t="s">
        <v>568</v>
      </c>
      <c r="C662" s="116" t="s">
        <v>107</v>
      </c>
      <c r="D662" s="117">
        <v>26582.0</v>
      </c>
      <c r="E662" s="99" t="s">
        <v>1495</v>
      </c>
      <c r="F662" s="99" t="s">
        <v>1496</v>
      </c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115">
        <v>190.0</v>
      </c>
      <c r="B663" s="99" t="s">
        <v>1321</v>
      </c>
      <c r="C663" s="116" t="s">
        <v>107</v>
      </c>
      <c r="D663" s="119">
        <v>25244.0</v>
      </c>
      <c r="E663" s="108"/>
      <c r="F663" s="108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115">
        <v>191.0</v>
      </c>
      <c r="B664" s="99" t="s">
        <v>746</v>
      </c>
      <c r="C664" s="116" t="s">
        <v>107</v>
      </c>
      <c r="D664" s="119">
        <v>29401.0</v>
      </c>
      <c r="E664" s="99" t="s">
        <v>1449</v>
      </c>
      <c r="F664" s="99" t="s">
        <v>1450</v>
      </c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115">
        <v>192.0</v>
      </c>
      <c r="B665" s="99" t="s">
        <v>1381</v>
      </c>
      <c r="C665" s="116" t="s">
        <v>107</v>
      </c>
      <c r="D665" s="119">
        <v>27946.0</v>
      </c>
      <c r="E665" s="99" t="s">
        <v>1497</v>
      </c>
      <c r="F665" s="99" t="s">
        <v>1498</v>
      </c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115">
        <v>193.0</v>
      </c>
      <c r="B666" s="99" t="s">
        <v>577</v>
      </c>
      <c r="C666" s="116" t="s">
        <v>107</v>
      </c>
      <c r="D666" s="119">
        <v>27866.0</v>
      </c>
      <c r="E666" s="99" t="s">
        <v>1499</v>
      </c>
      <c r="F666" s="99" t="s">
        <v>1500</v>
      </c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115">
        <v>194.0</v>
      </c>
      <c r="B667" s="99" t="s">
        <v>613</v>
      </c>
      <c r="C667" s="116" t="s">
        <v>107</v>
      </c>
      <c r="D667" s="119">
        <v>25752.0</v>
      </c>
      <c r="E667" s="99" t="s">
        <v>1231</v>
      </c>
      <c r="F667" s="99" t="s">
        <v>1501</v>
      </c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115">
        <v>195.0</v>
      </c>
      <c r="B668" s="99" t="s">
        <v>426</v>
      </c>
      <c r="C668" s="116" t="s">
        <v>107</v>
      </c>
      <c r="D668" s="119">
        <v>26857.0</v>
      </c>
      <c r="E668" s="99" t="s">
        <v>1502</v>
      </c>
      <c r="F668" s="99" t="s">
        <v>1503</v>
      </c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115">
        <v>196.0</v>
      </c>
      <c r="B669" s="99" t="s">
        <v>689</v>
      </c>
      <c r="C669" s="116" t="s">
        <v>107</v>
      </c>
      <c r="D669" s="119">
        <v>27436.0</v>
      </c>
      <c r="E669" s="99" t="s">
        <v>1504</v>
      </c>
      <c r="F669" s="99" t="s">
        <v>1505</v>
      </c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115">
        <v>197.0</v>
      </c>
      <c r="B670" s="99" t="s">
        <v>1506</v>
      </c>
      <c r="C670" s="116" t="s">
        <v>107</v>
      </c>
      <c r="D670" s="119">
        <v>25880.0</v>
      </c>
      <c r="E670" s="99" t="s">
        <v>1507</v>
      </c>
      <c r="F670" s="99" t="s">
        <v>1508</v>
      </c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115">
        <v>198.0</v>
      </c>
      <c r="B671" s="99" t="s">
        <v>598</v>
      </c>
      <c r="C671" s="116" t="s">
        <v>107</v>
      </c>
      <c r="D671" s="117">
        <v>27326.0</v>
      </c>
      <c r="E671" s="99" t="s">
        <v>1449</v>
      </c>
      <c r="F671" s="99" t="s">
        <v>1450</v>
      </c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115">
        <v>199.0</v>
      </c>
      <c r="B672" s="99" t="s">
        <v>1390</v>
      </c>
      <c r="C672" s="116" t="s">
        <v>107</v>
      </c>
      <c r="D672" s="119">
        <v>28255.0</v>
      </c>
      <c r="E672" s="99" t="s">
        <v>166</v>
      </c>
      <c r="F672" s="99" t="s">
        <v>1509</v>
      </c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115">
        <v>200.0</v>
      </c>
      <c r="B673" s="99" t="s">
        <v>1510</v>
      </c>
      <c r="C673" s="116" t="s">
        <v>107</v>
      </c>
      <c r="D673" s="119">
        <v>28023.0</v>
      </c>
      <c r="E673" s="99" t="s">
        <v>1437</v>
      </c>
      <c r="F673" s="99" t="s">
        <v>1438</v>
      </c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115">
        <v>201.0</v>
      </c>
      <c r="B674" s="99" t="s">
        <v>1256</v>
      </c>
      <c r="C674" s="116" t="s">
        <v>107</v>
      </c>
      <c r="D674" s="119">
        <v>24633.0</v>
      </c>
      <c r="E674" s="108"/>
      <c r="F674" s="108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115">
        <v>202.0</v>
      </c>
      <c r="B675" s="99" t="s">
        <v>1511</v>
      </c>
      <c r="C675" s="116" t="s">
        <v>107</v>
      </c>
      <c r="D675" s="117">
        <v>29580.0</v>
      </c>
      <c r="E675" s="99" t="s">
        <v>1512</v>
      </c>
      <c r="F675" s="99" t="s">
        <v>1513</v>
      </c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115">
        <v>203.0</v>
      </c>
      <c r="B676" s="99" t="s">
        <v>1514</v>
      </c>
      <c r="C676" s="116" t="s">
        <v>107</v>
      </c>
      <c r="D676" s="119">
        <v>24313.0</v>
      </c>
      <c r="E676" s="99" t="s">
        <v>1515</v>
      </c>
      <c r="F676" s="99" t="s">
        <v>1516</v>
      </c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115">
        <v>204.0</v>
      </c>
      <c r="B677" s="99" t="s">
        <v>671</v>
      </c>
      <c r="C677" s="116" t="s">
        <v>107</v>
      </c>
      <c r="D677" s="119">
        <v>28042.0</v>
      </c>
      <c r="E677" s="108"/>
      <c r="F677" s="108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115">
        <v>205.0</v>
      </c>
      <c r="B678" s="99" t="s">
        <v>623</v>
      </c>
      <c r="C678" s="116" t="s">
        <v>107</v>
      </c>
      <c r="D678" s="117">
        <v>28409.0</v>
      </c>
      <c r="E678" s="99" t="s">
        <v>1471</v>
      </c>
      <c r="F678" s="99" t="s">
        <v>1472</v>
      </c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115">
        <v>206.0</v>
      </c>
      <c r="B679" s="99" t="s">
        <v>660</v>
      </c>
      <c r="C679" s="116" t="s">
        <v>107</v>
      </c>
      <c r="D679" s="119">
        <v>27984.0</v>
      </c>
      <c r="E679" s="108"/>
      <c r="F679" s="108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115">
        <v>207.0</v>
      </c>
      <c r="B680" s="99" t="s">
        <v>1517</v>
      </c>
      <c r="C680" s="116" t="s">
        <v>107</v>
      </c>
      <c r="D680" s="119">
        <v>27190.0</v>
      </c>
      <c r="E680" s="99" t="s">
        <v>1411</v>
      </c>
      <c r="F680" s="99" t="s">
        <v>1518</v>
      </c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115">
        <v>208.0</v>
      </c>
      <c r="B681" s="99" t="s">
        <v>1370</v>
      </c>
      <c r="C681" s="116" t="s">
        <v>107</v>
      </c>
      <c r="D681" s="119">
        <v>26866.0</v>
      </c>
      <c r="E681" s="99" t="s">
        <v>1499</v>
      </c>
      <c r="F681" s="99" t="s">
        <v>1500</v>
      </c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115">
        <v>209.0</v>
      </c>
      <c r="B682" s="99" t="s">
        <v>641</v>
      </c>
      <c r="C682" s="116" t="s">
        <v>107</v>
      </c>
      <c r="D682" s="119">
        <v>26799.0</v>
      </c>
      <c r="E682" s="108"/>
      <c r="F682" s="108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115">
        <v>210.0</v>
      </c>
      <c r="B683" s="99" t="s">
        <v>685</v>
      </c>
      <c r="C683" s="116" t="s">
        <v>107</v>
      </c>
      <c r="D683" s="119">
        <v>26535.0</v>
      </c>
      <c r="E683" s="108"/>
      <c r="F683" s="108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115">
        <v>211.0</v>
      </c>
      <c r="B684" s="99" t="s">
        <v>648</v>
      </c>
      <c r="C684" s="116" t="s">
        <v>107</v>
      </c>
      <c r="D684" s="119">
        <v>29382.0</v>
      </c>
      <c r="E684" s="99" t="s">
        <v>1328</v>
      </c>
      <c r="F684" s="99" t="s">
        <v>1329</v>
      </c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115">
        <v>212.0</v>
      </c>
      <c r="B685" s="99" t="s">
        <v>1177</v>
      </c>
      <c r="C685" s="116" t="s">
        <v>107</v>
      </c>
      <c r="D685" s="117">
        <v>27392.0</v>
      </c>
      <c r="E685" s="99" t="s">
        <v>1515</v>
      </c>
      <c r="F685" s="99" t="s">
        <v>1516</v>
      </c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115">
        <v>213.0</v>
      </c>
      <c r="B686" s="99" t="s">
        <v>1519</v>
      </c>
      <c r="C686" s="116" t="s">
        <v>107</v>
      </c>
      <c r="D686" s="119">
        <v>24586.0</v>
      </c>
      <c r="E686" s="99" t="s">
        <v>1520</v>
      </c>
      <c r="F686" s="99" t="s">
        <v>1521</v>
      </c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115">
        <v>214.0</v>
      </c>
      <c r="B687" s="99" t="s">
        <v>1522</v>
      </c>
      <c r="C687" s="116" t="s">
        <v>107</v>
      </c>
      <c r="D687" s="119">
        <v>28352.0</v>
      </c>
      <c r="E687" s="99" t="s">
        <v>1523</v>
      </c>
      <c r="F687" s="99" t="s">
        <v>1513</v>
      </c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115">
        <v>215.0</v>
      </c>
      <c r="B688" s="99" t="s">
        <v>1524</v>
      </c>
      <c r="C688" s="116" t="s">
        <v>107</v>
      </c>
      <c r="D688" s="119">
        <v>26763.0</v>
      </c>
      <c r="E688" s="108"/>
      <c r="F688" s="108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115">
        <v>216.0</v>
      </c>
      <c r="B689" s="99" t="s">
        <v>1232</v>
      </c>
      <c r="C689" s="116" t="s">
        <v>107</v>
      </c>
      <c r="D689" s="119">
        <v>24665.0</v>
      </c>
      <c r="E689" s="108"/>
      <c r="F689" s="108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115">
        <v>217.0</v>
      </c>
      <c r="B690" s="99" t="s">
        <v>610</v>
      </c>
      <c r="C690" s="116" t="s">
        <v>107</v>
      </c>
      <c r="D690" s="117">
        <v>28834.0</v>
      </c>
      <c r="E690" s="99" t="s">
        <v>1240</v>
      </c>
      <c r="F690" s="99" t="s">
        <v>1525</v>
      </c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115">
        <v>218.0</v>
      </c>
      <c r="B691" s="99" t="s">
        <v>1526</v>
      </c>
      <c r="C691" s="116" t="s">
        <v>107</v>
      </c>
      <c r="D691" s="119">
        <v>29326.0</v>
      </c>
      <c r="E691" s="99" t="s">
        <v>1527</v>
      </c>
      <c r="F691" s="99" t="s">
        <v>1528</v>
      </c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115">
        <v>219.0</v>
      </c>
      <c r="B692" s="99" t="s">
        <v>704</v>
      </c>
      <c r="C692" s="116" t="s">
        <v>107</v>
      </c>
      <c r="D692" s="119">
        <v>24545.0</v>
      </c>
      <c r="E692" s="99" t="s">
        <v>1520</v>
      </c>
      <c r="F692" s="99" t="s">
        <v>1521</v>
      </c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115">
        <v>220.0</v>
      </c>
      <c r="B693" s="99" t="s">
        <v>1529</v>
      </c>
      <c r="C693" s="116" t="s">
        <v>107</v>
      </c>
      <c r="D693" s="119">
        <v>24514.0</v>
      </c>
      <c r="E693" s="108"/>
      <c r="F693" s="108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115">
        <v>221.0</v>
      </c>
      <c r="B694" s="99" t="s">
        <v>1340</v>
      </c>
      <c r="C694" s="116" t="s">
        <v>107</v>
      </c>
      <c r="D694" s="119">
        <v>24913.0</v>
      </c>
      <c r="E694" s="99" t="s">
        <v>1530</v>
      </c>
      <c r="F694" s="99" t="s">
        <v>1531</v>
      </c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115">
        <v>222.0</v>
      </c>
      <c r="B695" s="99" t="s">
        <v>1532</v>
      </c>
      <c r="C695" s="116" t="s">
        <v>107</v>
      </c>
      <c r="D695" s="117">
        <v>27708.0</v>
      </c>
      <c r="E695" s="99" t="s">
        <v>1533</v>
      </c>
      <c r="F695" s="108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115">
        <v>223.0</v>
      </c>
      <c r="B696" s="99" t="s">
        <v>1432</v>
      </c>
      <c r="C696" s="116" t="s">
        <v>107</v>
      </c>
      <c r="D696" s="119">
        <v>26528.0</v>
      </c>
      <c r="E696" s="99" t="s">
        <v>1534</v>
      </c>
      <c r="F696" s="99" t="s">
        <v>1386</v>
      </c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115">
        <v>224.0</v>
      </c>
      <c r="B697" s="99" t="s">
        <v>1345</v>
      </c>
      <c r="C697" s="116" t="s">
        <v>107</v>
      </c>
      <c r="D697" s="119">
        <v>24170.0</v>
      </c>
      <c r="E697" s="99" t="s">
        <v>1535</v>
      </c>
      <c r="F697" s="99" t="s">
        <v>1536</v>
      </c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115">
        <v>225.0</v>
      </c>
      <c r="B698" s="99" t="s">
        <v>1184</v>
      </c>
      <c r="C698" s="116" t="s">
        <v>107</v>
      </c>
      <c r="D698" s="119">
        <v>25204.0</v>
      </c>
      <c r="E698" s="99" t="s">
        <v>1537</v>
      </c>
      <c r="F698" s="99" t="s">
        <v>1538</v>
      </c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115">
        <v>226.0</v>
      </c>
      <c r="B699" s="99" t="s">
        <v>796</v>
      </c>
      <c r="C699" s="116" t="s">
        <v>107</v>
      </c>
      <c r="D699" s="117">
        <v>26221.0</v>
      </c>
      <c r="E699" s="99" t="s">
        <v>1445</v>
      </c>
      <c r="F699" s="99" t="s">
        <v>1192</v>
      </c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115">
        <v>227.0</v>
      </c>
      <c r="B700" s="99" t="s">
        <v>431</v>
      </c>
      <c r="C700" s="116" t="s">
        <v>107</v>
      </c>
      <c r="D700" s="119">
        <v>29137.0</v>
      </c>
      <c r="E700" s="108"/>
      <c r="F700" s="108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115">
        <v>228.0</v>
      </c>
      <c r="B701" s="99" t="s">
        <v>799</v>
      </c>
      <c r="C701" s="116" t="s">
        <v>107</v>
      </c>
      <c r="D701" s="117">
        <v>29568.0</v>
      </c>
      <c r="E701" s="108"/>
      <c r="F701" s="108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115">
        <v>229.0</v>
      </c>
      <c r="B702" s="99" t="s">
        <v>802</v>
      </c>
      <c r="C702" s="116" t="s">
        <v>107</v>
      </c>
      <c r="D702" s="119">
        <v>29432.0</v>
      </c>
      <c r="E702" s="108"/>
      <c r="F702" s="108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115">
        <v>230.0</v>
      </c>
      <c r="B703" s="99" t="s">
        <v>805</v>
      </c>
      <c r="C703" s="116" t="s">
        <v>107</v>
      </c>
      <c r="D703" s="119">
        <v>28918.0</v>
      </c>
      <c r="E703" s="99" t="s">
        <v>1539</v>
      </c>
      <c r="F703" s="99" t="s">
        <v>1540</v>
      </c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115">
        <v>231.0</v>
      </c>
      <c r="B704" s="99" t="s">
        <v>808</v>
      </c>
      <c r="C704" s="116" t="s">
        <v>107</v>
      </c>
      <c r="D704" s="117">
        <v>28106.0</v>
      </c>
      <c r="E704" s="99" t="s">
        <v>1541</v>
      </c>
      <c r="F704" s="99" t="s">
        <v>450</v>
      </c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115">
        <v>232.0</v>
      </c>
      <c r="B705" s="99" t="s">
        <v>1542</v>
      </c>
      <c r="C705" s="116" t="s">
        <v>107</v>
      </c>
      <c r="D705" s="119">
        <v>27528.0</v>
      </c>
      <c r="E705" s="99" t="s">
        <v>1191</v>
      </c>
      <c r="F705" s="99" t="s">
        <v>1192</v>
      </c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115">
        <v>233.0</v>
      </c>
      <c r="B706" s="99" t="s">
        <v>788</v>
      </c>
      <c r="C706" s="116" t="s">
        <v>107</v>
      </c>
      <c r="D706" s="119">
        <v>26827.0</v>
      </c>
      <c r="E706" s="99" t="s">
        <v>1298</v>
      </c>
      <c r="F706" s="99" t="s">
        <v>1299</v>
      </c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115">
        <v>234.0</v>
      </c>
      <c r="B707" s="99" t="s">
        <v>1543</v>
      </c>
      <c r="C707" s="116" t="s">
        <v>107</v>
      </c>
      <c r="D707" s="119">
        <v>26706.0</v>
      </c>
      <c r="E707" s="108"/>
      <c r="F707" s="108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115">
        <v>235.0</v>
      </c>
      <c r="B708" s="99" t="s">
        <v>776</v>
      </c>
      <c r="C708" s="116" t="s">
        <v>107</v>
      </c>
      <c r="D708" s="119">
        <v>28669.0</v>
      </c>
      <c r="E708" s="99" t="s">
        <v>1544</v>
      </c>
      <c r="F708" s="99" t="s">
        <v>1545</v>
      </c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115">
        <v>236.0</v>
      </c>
      <c r="B709" s="99" t="s">
        <v>812</v>
      </c>
      <c r="C709" s="116" t="s">
        <v>107</v>
      </c>
      <c r="D709" s="117">
        <v>25186.0</v>
      </c>
      <c r="E709" s="99" t="s">
        <v>1546</v>
      </c>
      <c r="F709" s="99" t="s">
        <v>1547</v>
      </c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115">
        <v>237.0</v>
      </c>
      <c r="B710" s="99" t="s">
        <v>1548</v>
      </c>
      <c r="C710" s="116" t="s">
        <v>107</v>
      </c>
      <c r="D710" s="119">
        <v>26805.0</v>
      </c>
      <c r="E710" s="108"/>
      <c r="F710" s="108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115">
        <v>238.0</v>
      </c>
      <c r="B711" s="99" t="s">
        <v>752</v>
      </c>
      <c r="C711" s="116" t="s">
        <v>107</v>
      </c>
      <c r="D711" s="117">
        <v>29582.0</v>
      </c>
      <c r="E711" s="99" t="s">
        <v>1549</v>
      </c>
      <c r="F711" s="99" t="s">
        <v>1550</v>
      </c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115">
        <v>239.0</v>
      </c>
      <c r="B712" s="99" t="s">
        <v>707</v>
      </c>
      <c r="C712" s="116" t="s">
        <v>107</v>
      </c>
      <c r="D712" s="117">
        <v>26954.0</v>
      </c>
      <c r="E712" s="99" t="s">
        <v>1551</v>
      </c>
      <c r="F712" s="99" t="s">
        <v>1552</v>
      </c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115">
        <v>240.0</v>
      </c>
      <c r="B713" s="99" t="s">
        <v>755</v>
      </c>
      <c r="C713" s="116" t="s">
        <v>107</v>
      </c>
      <c r="D713" s="117">
        <v>25518.0</v>
      </c>
      <c r="E713" s="99" t="s">
        <v>1553</v>
      </c>
      <c r="F713" s="99" t="s">
        <v>1384</v>
      </c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115">
        <v>241.0</v>
      </c>
      <c r="B714" s="99" t="s">
        <v>657</v>
      </c>
      <c r="C714" s="116" t="s">
        <v>107</v>
      </c>
      <c r="D714" s="119">
        <v>28243.0</v>
      </c>
      <c r="E714" s="99" t="s">
        <v>1385</v>
      </c>
      <c r="F714" s="99" t="s">
        <v>1386</v>
      </c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115">
        <v>242.0</v>
      </c>
      <c r="B715" s="99" t="s">
        <v>1256</v>
      </c>
      <c r="C715" s="116" t="s">
        <v>107</v>
      </c>
      <c r="D715" s="119">
        <v>24746.0</v>
      </c>
      <c r="E715" s="99" t="s">
        <v>1554</v>
      </c>
      <c r="F715" s="99" t="s">
        <v>1555</v>
      </c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115">
        <v>243.0</v>
      </c>
      <c r="B716" s="99" t="s">
        <v>759</v>
      </c>
      <c r="C716" s="116" t="s">
        <v>107</v>
      </c>
      <c r="D716" s="119">
        <v>27616.0</v>
      </c>
      <c r="E716" s="99" t="s">
        <v>1445</v>
      </c>
      <c r="F716" s="99" t="s">
        <v>1192</v>
      </c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115">
        <v>244.0</v>
      </c>
      <c r="B717" s="99" t="s">
        <v>1288</v>
      </c>
      <c r="C717" s="116" t="s">
        <v>107</v>
      </c>
      <c r="D717" s="119">
        <v>27121.0</v>
      </c>
      <c r="E717" s="99" t="s">
        <v>1445</v>
      </c>
      <c r="F717" s="99" t="s">
        <v>1446</v>
      </c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115">
        <v>245.0</v>
      </c>
      <c r="B718" s="99" t="s">
        <v>1556</v>
      </c>
      <c r="C718" s="116" t="s">
        <v>107</v>
      </c>
      <c r="D718" s="119">
        <v>26677.0</v>
      </c>
      <c r="E718" s="99" t="s">
        <v>1557</v>
      </c>
      <c r="F718" s="99" t="s">
        <v>1531</v>
      </c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115">
        <v>246.0</v>
      </c>
      <c r="B719" s="99" t="s">
        <v>1558</v>
      </c>
      <c r="C719" s="116" t="s">
        <v>107</v>
      </c>
      <c r="D719" s="119">
        <v>28288.0</v>
      </c>
      <c r="E719" s="108"/>
      <c r="F719" s="108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115">
        <v>247.0</v>
      </c>
      <c r="B720" s="99" t="s">
        <v>799</v>
      </c>
      <c r="C720" s="116" t="s">
        <v>107</v>
      </c>
      <c r="D720" s="117">
        <v>29568.0</v>
      </c>
      <c r="E720" s="99" t="s">
        <v>1219</v>
      </c>
      <c r="F720" s="99" t="s">
        <v>1559</v>
      </c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115">
        <v>248.0</v>
      </c>
      <c r="B721" s="99" t="s">
        <v>1560</v>
      </c>
      <c r="C721" s="116" t="s">
        <v>107</v>
      </c>
      <c r="D721" s="119">
        <v>25754.0</v>
      </c>
      <c r="E721" s="108"/>
      <c r="F721" s="108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115">
        <v>249.0</v>
      </c>
      <c r="B722" s="99" t="s">
        <v>779</v>
      </c>
      <c r="C722" s="116" t="s">
        <v>107</v>
      </c>
      <c r="D722" s="119">
        <v>26460.0</v>
      </c>
      <c r="E722" s="99" t="s">
        <v>1194</v>
      </c>
      <c r="F722" s="99" t="s">
        <v>755</v>
      </c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115">
        <v>250.0</v>
      </c>
      <c r="B723" s="99" t="s">
        <v>1448</v>
      </c>
      <c r="C723" s="116" t="s">
        <v>107</v>
      </c>
      <c r="D723" s="119">
        <v>21311.0</v>
      </c>
      <c r="E723" s="99" t="s">
        <v>1561</v>
      </c>
      <c r="F723" s="99" t="s">
        <v>1562</v>
      </c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115">
        <v>251.0</v>
      </c>
      <c r="B724" s="99" t="s">
        <v>1563</v>
      </c>
      <c r="C724" s="116" t="s">
        <v>107</v>
      </c>
      <c r="D724" s="119">
        <v>22808.0</v>
      </c>
      <c r="E724" s="99" t="s">
        <v>1443</v>
      </c>
      <c r="F724" s="99" t="s">
        <v>1444</v>
      </c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115">
        <v>252.0</v>
      </c>
      <c r="B725" s="99" t="s">
        <v>1169</v>
      </c>
      <c r="C725" s="116" t="s">
        <v>107</v>
      </c>
      <c r="D725" s="119">
        <v>22186.0</v>
      </c>
      <c r="E725" s="99" t="s">
        <v>1236</v>
      </c>
      <c r="F725" s="99" t="s">
        <v>1564</v>
      </c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115">
        <v>253.0</v>
      </c>
      <c r="B726" s="99" t="s">
        <v>1302</v>
      </c>
      <c r="C726" s="116" t="s">
        <v>107</v>
      </c>
      <c r="D726" s="119">
        <v>23514.0</v>
      </c>
      <c r="E726" s="99" t="s">
        <v>1565</v>
      </c>
      <c r="F726" s="99" t="s">
        <v>1566</v>
      </c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115">
        <v>254.0</v>
      </c>
      <c r="B727" s="99" t="s">
        <v>1230</v>
      </c>
      <c r="C727" s="116" t="s">
        <v>107</v>
      </c>
      <c r="D727" s="117">
        <v>20040.0</v>
      </c>
      <c r="E727" s="99" t="s">
        <v>1567</v>
      </c>
      <c r="F727" s="99" t="s">
        <v>1568</v>
      </c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115">
        <v>255.0</v>
      </c>
      <c r="B728" s="99" t="s">
        <v>1153</v>
      </c>
      <c r="C728" s="116" t="s">
        <v>107</v>
      </c>
      <c r="D728" s="119">
        <v>20841.0</v>
      </c>
      <c r="E728" s="99" t="s">
        <v>1569</v>
      </c>
      <c r="F728" s="99" t="s">
        <v>1570</v>
      </c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115">
        <v>256.0</v>
      </c>
      <c r="B729" s="99" t="s">
        <v>1252</v>
      </c>
      <c r="C729" s="116" t="s">
        <v>107</v>
      </c>
      <c r="D729" s="117">
        <v>18597.0</v>
      </c>
      <c r="E729" s="99" t="s">
        <v>1571</v>
      </c>
      <c r="F729" s="99" t="s">
        <v>1572</v>
      </c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115">
        <v>257.0</v>
      </c>
      <c r="B730" s="99" t="s">
        <v>1450</v>
      </c>
      <c r="C730" s="116" t="s">
        <v>107</v>
      </c>
      <c r="D730" s="119">
        <v>15523.0</v>
      </c>
      <c r="E730" s="99" t="s">
        <v>1573</v>
      </c>
      <c r="F730" s="99" t="s">
        <v>1574</v>
      </c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115">
        <v>258.0</v>
      </c>
      <c r="B731" s="99" t="s">
        <v>1575</v>
      </c>
      <c r="C731" s="116" t="s">
        <v>107</v>
      </c>
      <c r="D731" s="119">
        <v>16780.0</v>
      </c>
      <c r="E731" s="99" t="s">
        <v>1576</v>
      </c>
      <c r="F731" s="99" t="s">
        <v>1577</v>
      </c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115">
        <v>259.0</v>
      </c>
      <c r="B732" s="99" t="s">
        <v>1578</v>
      </c>
      <c r="C732" s="116" t="s">
        <v>107</v>
      </c>
      <c r="D732" s="119">
        <v>19639.0</v>
      </c>
      <c r="E732" s="99" t="s">
        <v>1579</v>
      </c>
      <c r="F732" s="99" t="s">
        <v>1580</v>
      </c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115">
        <v>260.0</v>
      </c>
      <c r="B733" s="99" t="s">
        <v>1271</v>
      </c>
      <c r="C733" s="116" t="s">
        <v>107</v>
      </c>
      <c r="D733" s="119">
        <v>22409.0</v>
      </c>
      <c r="E733" s="99" t="s">
        <v>1581</v>
      </c>
      <c r="F733" s="99" t="s">
        <v>1582</v>
      </c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115">
        <v>261.0</v>
      </c>
      <c r="B734" s="99" t="s">
        <v>1583</v>
      </c>
      <c r="C734" s="116" t="s">
        <v>107</v>
      </c>
      <c r="D734" s="117">
        <v>22599.0</v>
      </c>
      <c r="E734" s="99" t="s">
        <v>1584</v>
      </c>
      <c r="F734" s="99" t="s">
        <v>1531</v>
      </c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115">
        <v>262.0</v>
      </c>
      <c r="B735" s="99" t="s">
        <v>1585</v>
      </c>
      <c r="C735" s="116" t="s">
        <v>107</v>
      </c>
      <c r="D735" s="119">
        <v>17690.0</v>
      </c>
      <c r="E735" s="99" t="s">
        <v>1586</v>
      </c>
      <c r="F735" s="99" t="s">
        <v>1587</v>
      </c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115">
        <v>263.0</v>
      </c>
      <c r="B736" s="99" t="s">
        <v>1588</v>
      </c>
      <c r="C736" s="116" t="s">
        <v>107</v>
      </c>
      <c r="D736" s="119">
        <v>22143.0</v>
      </c>
      <c r="E736" s="99" t="s">
        <v>1589</v>
      </c>
      <c r="F736" s="99" t="s">
        <v>1590</v>
      </c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115">
        <v>264.0</v>
      </c>
      <c r="B737" s="99" t="s">
        <v>1591</v>
      </c>
      <c r="C737" s="116" t="s">
        <v>107</v>
      </c>
      <c r="D737" s="119">
        <v>21161.0</v>
      </c>
      <c r="E737" s="99" t="s">
        <v>1581</v>
      </c>
      <c r="F737" s="99" t="s">
        <v>1582</v>
      </c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16">
        <v>1.0</v>
      </c>
      <c r="R737" s="109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115">
        <v>265.0</v>
      </c>
      <c r="B738" s="99" t="s">
        <v>1592</v>
      </c>
      <c r="C738" s="116" t="s">
        <v>107</v>
      </c>
      <c r="D738" s="119">
        <v>15603.0</v>
      </c>
      <c r="E738" s="99" t="s">
        <v>1593</v>
      </c>
      <c r="F738" s="99" t="s">
        <v>1594</v>
      </c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115">
        <v>266.0</v>
      </c>
      <c r="B739" s="99" t="s">
        <v>1294</v>
      </c>
      <c r="C739" s="116" t="s">
        <v>107</v>
      </c>
      <c r="D739" s="117">
        <v>22610.0</v>
      </c>
      <c r="E739" s="99" t="s">
        <v>1595</v>
      </c>
      <c r="F739" s="99" t="s">
        <v>1596</v>
      </c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115">
        <v>267.0</v>
      </c>
      <c r="B740" s="99" t="s">
        <v>1597</v>
      </c>
      <c r="C740" s="116" t="s">
        <v>107</v>
      </c>
      <c r="D740" s="117">
        <v>21868.0</v>
      </c>
      <c r="E740" s="99" t="s">
        <v>1598</v>
      </c>
      <c r="F740" s="99" t="s">
        <v>1400</v>
      </c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115">
        <v>268.0</v>
      </c>
      <c r="B741" s="99" t="s">
        <v>1599</v>
      </c>
      <c r="C741" s="116" t="s">
        <v>107</v>
      </c>
      <c r="D741" s="119">
        <v>19781.0</v>
      </c>
      <c r="E741" s="99" t="s">
        <v>1600</v>
      </c>
      <c r="F741" s="99" t="s">
        <v>1601</v>
      </c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115">
        <v>269.0</v>
      </c>
      <c r="B742" s="99" t="s">
        <v>1559</v>
      </c>
      <c r="C742" s="116" t="s">
        <v>107</v>
      </c>
      <c r="D742" s="117">
        <v>21871.0</v>
      </c>
      <c r="E742" s="99" t="s">
        <v>1581</v>
      </c>
      <c r="F742" s="99" t="s">
        <v>1582</v>
      </c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115">
        <v>270.0</v>
      </c>
      <c r="B743" s="99" t="s">
        <v>1525</v>
      </c>
      <c r="C743" s="116" t="s">
        <v>107</v>
      </c>
      <c r="D743" s="119">
        <v>19183.0</v>
      </c>
      <c r="E743" s="99" t="s">
        <v>1602</v>
      </c>
      <c r="F743" s="99" t="s">
        <v>1603</v>
      </c>
      <c r="G743" s="116">
        <v>1.0</v>
      </c>
      <c r="H743" s="116">
        <v>1.0</v>
      </c>
      <c r="I743" s="118"/>
      <c r="J743" s="118"/>
      <c r="K743" s="116">
        <v>1.0</v>
      </c>
      <c r="L743" s="116">
        <v>1.0</v>
      </c>
      <c r="M743" s="116">
        <v>1.0</v>
      </c>
      <c r="N743" s="116">
        <v>1.0</v>
      </c>
      <c r="O743" s="118"/>
      <c r="P743" s="116">
        <v>1.0</v>
      </c>
      <c r="Q743" s="116">
        <v>1.0</v>
      </c>
      <c r="R743" s="109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115">
        <v>271.0</v>
      </c>
      <c r="B744" s="99" t="s">
        <v>1179</v>
      </c>
      <c r="C744" s="116" t="s">
        <v>107</v>
      </c>
      <c r="D744" s="119">
        <v>23275.0</v>
      </c>
      <c r="E744" s="99" t="s">
        <v>1604</v>
      </c>
      <c r="F744" s="99" t="s">
        <v>1472</v>
      </c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09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115">
        <v>272.0</v>
      </c>
      <c r="B745" s="99" t="s">
        <v>1235</v>
      </c>
      <c r="C745" s="116" t="s">
        <v>107</v>
      </c>
      <c r="D745" s="117">
        <v>20820.0</v>
      </c>
      <c r="E745" s="99" t="s">
        <v>1605</v>
      </c>
      <c r="F745" s="99" t="s">
        <v>1606</v>
      </c>
      <c r="G745" s="118"/>
      <c r="H745" s="118"/>
      <c r="I745" s="118"/>
      <c r="J745" s="116">
        <v>1.0</v>
      </c>
      <c r="K745" s="116">
        <v>1.0</v>
      </c>
      <c r="L745" s="116">
        <v>1.0</v>
      </c>
      <c r="M745" s="116">
        <v>1.0</v>
      </c>
      <c r="N745" s="116">
        <v>1.0</v>
      </c>
      <c r="O745" s="118"/>
      <c r="P745" s="116">
        <v>1.0</v>
      </c>
      <c r="Q745" s="116">
        <v>1.0</v>
      </c>
      <c r="R745" s="109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115">
        <v>273.0</v>
      </c>
      <c r="B746" s="99" t="s">
        <v>1607</v>
      </c>
      <c r="C746" s="116" t="s">
        <v>107</v>
      </c>
      <c r="D746" s="119">
        <v>20666.0</v>
      </c>
      <c r="E746" s="99" t="s">
        <v>1384</v>
      </c>
      <c r="F746" s="99" t="s">
        <v>1386</v>
      </c>
      <c r="G746" s="116">
        <v>1.0</v>
      </c>
      <c r="H746" s="116">
        <v>1.0</v>
      </c>
      <c r="I746" s="116">
        <v>1.0</v>
      </c>
      <c r="J746" s="116">
        <v>1.0</v>
      </c>
      <c r="K746" s="116">
        <v>1.0</v>
      </c>
      <c r="L746" s="116">
        <v>1.0</v>
      </c>
      <c r="M746" s="116">
        <v>1.0</v>
      </c>
      <c r="N746" s="116">
        <v>1.0</v>
      </c>
      <c r="O746" s="116">
        <v>1.0</v>
      </c>
      <c r="P746" s="116">
        <v>1.0</v>
      </c>
      <c r="Q746" s="116">
        <v>1.0</v>
      </c>
      <c r="R746" s="109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115">
        <v>274.0</v>
      </c>
      <c r="B747" s="99" t="s">
        <v>1357</v>
      </c>
      <c r="C747" s="116" t="s">
        <v>107</v>
      </c>
      <c r="D747" s="119">
        <v>22481.0</v>
      </c>
      <c r="E747" s="99" t="s">
        <v>1608</v>
      </c>
      <c r="F747" s="99" t="s">
        <v>1609</v>
      </c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09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115">
        <v>275.0</v>
      </c>
      <c r="B748" s="99" t="s">
        <v>1237</v>
      </c>
      <c r="C748" s="116" t="s">
        <v>107</v>
      </c>
      <c r="D748" s="119">
        <v>22352.0</v>
      </c>
      <c r="E748" s="99" t="s">
        <v>1576</v>
      </c>
      <c r="F748" s="99" t="s">
        <v>1577</v>
      </c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09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115">
        <v>276.0</v>
      </c>
      <c r="B749" s="99" t="s">
        <v>1610</v>
      </c>
      <c r="C749" s="116" t="s">
        <v>107</v>
      </c>
      <c r="D749" s="117">
        <v>12033.0</v>
      </c>
      <c r="E749" s="99" t="s">
        <v>1611</v>
      </c>
      <c r="F749" s="99" t="s">
        <v>1612</v>
      </c>
      <c r="G749" s="116">
        <v>1.0</v>
      </c>
      <c r="H749" s="116">
        <v>1.0</v>
      </c>
      <c r="I749" s="116">
        <v>1.0</v>
      </c>
      <c r="J749" s="118"/>
      <c r="K749" s="118"/>
      <c r="L749" s="118"/>
      <c r="M749" s="118"/>
      <c r="N749" s="118"/>
      <c r="O749" s="118"/>
      <c r="P749" s="118"/>
      <c r="Q749" s="118"/>
      <c r="R749" s="109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115">
        <v>277.0</v>
      </c>
      <c r="B750" s="99" t="s">
        <v>1613</v>
      </c>
      <c r="C750" s="116" t="s">
        <v>107</v>
      </c>
      <c r="D750" s="117">
        <v>21134.0</v>
      </c>
      <c r="E750" s="99" t="s">
        <v>1614</v>
      </c>
      <c r="F750" s="99" t="s">
        <v>1612</v>
      </c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09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115">
        <v>278.0</v>
      </c>
      <c r="B751" s="99" t="s">
        <v>1615</v>
      </c>
      <c r="C751" s="116" t="s">
        <v>107</v>
      </c>
      <c r="D751" s="119">
        <v>23566.0</v>
      </c>
      <c r="E751" s="99" t="s">
        <v>1616</v>
      </c>
      <c r="F751" s="99" t="s">
        <v>1617</v>
      </c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09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115">
        <v>279.0</v>
      </c>
      <c r="B752" s="99" t="s">
        <v>1618</v>
      </c>
      <c r="C752" s="116" t="s">
        <v>107</v>
      </c>
      <c r="D752" s="119">
        <v>19579.0</v>
      </c>
      <c r="E752" s="99" t="s">
        <v>1619</v>
      </c>
      <c r="F752" s="99" t="s">
        <v>1620</v>
      </c>
      <c r="G752" s="118"/>
      <c r="H752" s="118"/>
      <c r="I752" s="118"/>
      <c r="J752" s="118"/>
      <c r="K752" s="118"/>
      <c r="L752" s="116">
        <v>1.0</v>
      </c>
      <c r="M752" s="116">
        <v>1.0</v>
      </c>
      <c r="N752" s="118"/>
      <c r="O752" s="118"/>
      <c r="P752" s="118"/>
      <c r="Q752" s="116">
        <v>1.0</v>
      </c>
      <c r="R752" s="109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115">
        <v>280.0</v>
      </c>
      <c r="B753" s="99" t="s">
        <v>1274</v>
      </c>
      <c r="C753" s="116" t="s">
        <v>107</v>
      </c>
      <c r="D753" s="119">
        <v>21303.0</v>
      </c>
      <c r="E753" s="99" t="s">
        <v>1621</v>
      </c>
      <c r="F753" s="99" t="s">
        <v>1622</v>
      </c>
      <c r="G753" s="118"/>
      <c r="H753" s="116">
        <v>1.0</v>
      </c>
      <c r="I753" s="118"/>
      <c r="J753" s="118"/>
      <c r="K753" s="116">
        <v>1.0</v>
      </c>
      <c r="L753" s="118"/>
      <c r="M753" s="118"/>
      <c r="N753" s="118"/>
      <c r="O753" s="118"/>
      <c r="P753" s="118"/>
      <c r="Q753" s="118"/>
      <c r="R753" s="109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115">
        <v>281.0</v>
      </c>
      <c r="B754" s="99" t="s">
        <v>1623</v>
      </c>
      <c r="C754" s="116" t="s">
        <v>107</v>
      </c>
      <c r="D754" s="119">
        <v>16578.0</v>
      </c>
      <c r="E754" s="108"/>
      <c r="F754" s="108"/>
      <c r="G754" s="118"/>
      <c r="H754" s="118"/>
      <c r="I754" s="118"/>
      <c r="J754" s="118"/>
      <c r="K754" s="118"/>
      <c r="L754" s="118"/>
      <c r="M754" s="118"/>
      <c r="N754" s="118"/>
      <c r="O754" s="116">
        <v>1.0</v>
      </c>
      <c r="P754" s="116">
        <v>1.0</v>
      </c>
      <c r="Q754" s="116">
        <v>1.0</v>
      </c>
      <c r="R754" s="109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115">
        <v>282.0</v>
      </c>
      <c r="B755" s="99" t="s">
        <v>1624</v>
      </c>
      <c r="C755" s="116" t="s">
        <v>107</v>
      </c>
      <c r="D755" s="119">
        <v>19466.0</v>
      </c>
      <c r="E755" s="108"/>
      <c r="F755" s="10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09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115">
        <v>283.0</v>
      </c>
      <c r="B756" s="99" t="s">
        <v>1625</v>
      </c>
      <c r="C756" s="116" t="s">
        <v>107</v>
      </c>
      <c r="D756" s="119">
        <v>20831.0</v>
      </c>
      <c r="E756" s="99" t="s">
        <v>1535</v>
      </c>
      <c r="F756" s="99" t="s">
        <v>1412</v>
      </c>
      <c r="G756" s="118"/>
      <c r="H756" s="116">
        <v>1.0</v>
      </c>
      <c r="I756" s="116">
        <v>1.0</v>
      </c>
      <c r="J756" s="118"/>
      <c r="K756" s="116">
        <v>1.0</v>
      </c>
      <c r="L756" s="116">
        <v>1.0</v>
      </c>
      <c r="M756" s="116">
        <v>1.0</v>
      </c>
      <c r="N756" s="118"/>
      <c r="O756" s="118"/>
      <c r="P756" s="116">
        <v>1.0</v>
      </c>
      <c r="Q756" s="118"/>
      <c r="R756" s="109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115">
        <v>284.0</v>
      </c>
      <c r="B757" s="99" t="s">
        <v>1397</v>
      </c>
      <c r="C757" s="116" t="s">
        <v>107</v>
      </c>
      <c r="D757" s="119">
        <v>21287.0</v>
      </c>
      <c r="E757" s="99" t="s">
        <v>1626</v>
      </c>
      <c r="F757" s="99" t="s">
        <v>1503</v>
      </c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09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115">
        <v>285.0</v>
      </c>
      <c r="B758" s="99" t="s">
        <v>1378</v>
      </c>
      <c r="C758" s="116" t="s">
        <v>107</v>
      </c>
      <c r="D758" s="117">
        <v>22625.0</v>
      </c>
      <c r="E758" s="99" t="s">
        <v>1384</v>
      </c>
      <c r="F758" s="99" t="s">
        <v>1386</v>
      </c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09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115">
        <v>286.0</v>
      </c>
      <c r="B759" s="99" t="s">
        <v>1627</v>
      </c>
      <c r="C759" s="116" t="s">
        <v>107</v>
      </c>
      <c r="D759" s="119">
        <v>17651.0</v>
      </c>
      <c r="E759" s="99" t="s">
        <v>1628</v>
      </c>
      <c r="F759" s="99" t="s">
        <v>1629</v>
      </c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6">
        <v>1.0</v>
      </c>
      <c r="R759" s="109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115">
        <v>287.0</v>
      </c>
      <c r="B760" s="99" t="s">
        <v>1400</v>
      </c>
      <c r="C760" s="116" t="s">
        <v>107</v>
      </c>
      <c r="D760" s="119">
        <v>22015.0</v>
      </c>
      <c r="E760" s="99" t="s">
        <v>1630</v>
      </c>
      <c r="F760" s="99" t="s">
        <v>1631</v>
      </c>
      <c r="G760" s="118"/>
      <c r="H760" s="118"/>
      <c r="I760" s="118"/>
      <c r="J760" s="118"/>
      <c r="K760" s="118"/>
      <c r="L760" s="118"/>
      <c r="M760" s="118"/>
      <c r="N760" s="118"/>
      <c r="O760" s="116">
        <v>1.0</v>
      </c>
      <c r="P760" s="116">
        <v>1.0</v>
      </c>
      <c r="Q760" s="116">
        <v>1.0</v>
      </c>
      <c r="R760" s="109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115">
        <v>288.0</v>
      </c>
      <c r="B761" s="99" t="s">
        <v>1243</v>
      </c>
      <c r="C761" s="116" t="s">
        <v>107</v>
      </c>
      <c r="D761" s="119">
        <v>18521.0</v>
      </c>
      <c r="E761" s="99" t="s">
        <v>1443</v>
      </c>
      <c r="F761" s="99" t="s">
        <v>1577</v>
      </c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09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115">
        <v>289.0</v>
      </c>
      <c r="B762" s="99" t="s">
        <v>1632</v>
      </c>
      <c r="C762" s="116" t="s">
        <v>107</v>
      </c>
      <c r="D762" s="119">
        <v>19826.0</v>
      </c>
      <c r="E762" s="99" t="s">
        <v>1554</v>
      </c>
      <c r="F762" s="99" t="s">
        <v>1633</v>
      </c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09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115">
        <v>290.0</v>
      </c>
      <c r="B763" s="99" t="s">
        <v>1634</v>
      </c>
      <c r="C763" s="116" t="s">
        <v>107</v>
      </c>
      <c r="D763" s="117">
        <v>21505.0</v>
      </c>
      <c r="E763" s="108"/>
      <c r="F763" s="10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09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115">
        <v>291.0</v>
      </c>
      <c r="B764" s="99" t="s">
        <v>1277</v>
      </c>
      <c r="C764" s="116" t="s">
        <v>107</v>
      </c>
      <c r="D764" s="119">
        <v>22490.0</v>
      </c>
      <c r="E764" s="108"/>
      <c r="F764" s="10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09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115">
        <v>292.0</v>
      </c>
      <c r="B765" s="99" t="s">
        <v>1635</v>
      </c>
      <c r="C765" s="116" t="s">
        <v>107</v>
      </c>
      <c r="D765" s="119">
        <v>19088.0</v>
      </c>
      <c r="E765" s="108"/>
      <c r="F765" s="10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09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115">
        <v>293.0</v>
      </c>
      <c r="B766" s="99" t="s">
        <v>1364</v>
      </c>
      <c r="C766" s="116" t="s">
        <v>107</v>
      </c>
      <c r="D766" s="119">
        <v>17730.0</v>
      </c>
      <c r="E766" s="108"/>
      <c r="F766" s="108"/>
      <c r="G766" s="116">
        <v>1.0</v>
      </c>
      <c r="H766" s="116">
        <v>1.0</v>
      </c>
      <c r="I766" s="116">
        <v>1.0</v>
      </c>
      <c r="J766" s="116">
        <v>1.0</v>
      </c>
      <c r="K766" s="116">
        <v>1.0</v>
      </c>
      <c r="L766" s="116">
        <v>1.0</v>
      </c>
      <c r="M766" s="116">
        <v>1.0</v>
      </c>
      <c r="N766" s="116">
        <v>1.0</v>
      </c>
      <c r="O766" s="116">
        <v>1.0</v>
      </c>
      <c r="P766" s="118"/>
      <c r="Q766" s="116">
        <v>1.0</v>
      </c>
      <c r="R766" s="109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115">
        <v>294.0</v>
      </c>
      <c r="B767" s="99" t="s">
        <v>1384</v>
      </c>
      <c r="C767" s="116" t="s">
        <v>107</v>
      </c>
      <c r="D767" s="117">
        <v>16781.0</v>
      </c>
      <c r="E767" s="108"/>
      <c r="F767" s="10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09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115">
        <v>295.0</v>
      </c>
      <c r="B768" s="99" t="s">
        <v>1420</v>
      </c>
      <c r="C768" s="116" t="s">
        <v>107</v>
      </c>
      <c r="D768" s="119">
        <v>20338.0</v>
      </c>
      <c r="E768" s="108"/>
      <c r="F768" s="10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09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115">
        <v>296.0</v>
      </c>
      <c r="B769" s="99" t="s">
        <v>1636</v>
      </c>
      <c r="C769" s="116" t="s">
        <v>107</v>
      </c>
      <c r="D769" s="119">
        <v>15429.0</v>
      </c>
      <c r="E769" s="108"/>
      <c r="F769" s="10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09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115">
        <v>297.0</v>
      </c>
      <c r="B770" s="99" t="s">
        <v>1329</v>
      </c>
      <c r="C770" s="116" t="s">
        <v>107</v>
      </c>
      <c r="D770" s="117">
        <v>18951.0</v>
      </c>
      <c r="E770" s="108"/>
      <c r="F770" s="10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09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115">
        <v>298.0</v>
      </c>
      <c r="B771" s="99" t="s">
        <v>1249</v>
      </c>
      <c r="C771" s="116" t="s">
        <v>107</v>
      </c>
      <c r="D771" s="117">
        <v>18590.0</v>
      </c>
      <c r="E771" s="108"/>
      <c r="F771" s="10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09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115">
        <v>299.0</v>
      </c>
      <c r="B772" s="99" t="s">
        <v>1637</v>
      </c>
      <c r="C772" s="116" t="s">
        <v>107</v>
      </c>
      <c r="D772" s="119">
        <v>22416.0</v>
      </c>
      <c r="E772" s="108"/>
      <c r="F772" s="10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09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115">
        <v>300.0</v>
      </c>
      <c r="B773" s="99" t="s">
        <v>1326</v>
      </c>
      <c r="C773" s="116" t="s">
        <v>107</v>
      </c>
      <c r="D773" s="119">
        <v>19555.0</v>
      </c>
      <c r="E773" s="108"/>
      <c r="F773" s="10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09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115">
        <v>301.0</v>
      </c>
      <c r="B774" s="99" t="s">
        <v>1480</v>
      </c>
      <c r="C774" s="116" t="s">
        <v>107</v>
      </c>
      <c r="D774" s="119">
        <v>22179.0</v>
      </c>
      <c r="E774" s="108"/>
      <c r="F774" s="108"/>
      <c r="G774" s="118"/>
      <c r="H774" s="116">
        <v>1.0</v>
      </c>
      <c r="I774" s="116">
        <v>1.0</v>
      </c>
      <c r="J774" s="118"/>
      <c r="K774" s="118"/>
      <c r="L774" s="116">
        <v>1.0</v>
      </c>
      <c r="M774" s="118"/>
      <c r="N774" s="118"/>
      <c r="O774" s="118"/>
      <c r="P774" s="118"/>
      <c r="Q774" s="118"/>
      <c r="R774" s="109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115">
        <v>302.0</v>
      </c>
      <c r="B775" s="99" t="s">
        <v>1368</v>
      </c>
      <c r="C775" s="116" t="s">
        <v>107</v>
      </c>
      <c r="D775" s="119">
        <v>23182.0</v>
      </c>
      <c r="E775" s="108"/>
      <c r="F775" s="10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09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115">
        <v>303.0</v>
      </c>
      <c r="B776" s="99" t="s">
        <v>1638</v>
      </c>
      <c r="C776" s="116" t="s">
        <v>107</v>
      </c>
      <c r="D776" s="119">
        <v>23397.0</v>
      </c>
      <c r="E776" s="108"/>
      <c r="F776" s="108"/>
      <c r="G776" s="116">
        <v>1.0</v>
      </c>
      <c r="H776" s="118"/>
      <c r="I776" s="118"/>
      <c r="J776" s="116">
        <v>1.0</v>
      </c>
      <c r="K776" s="118"/>
      <c r="L776" s="118"/>
      <c r="M776" s="118"/>
      <c r="N776" s="118"/>
      <c r="O776" s="118"/>
      <c r="P776" s="118"/>
      <c r="Q776" s="118"/>
      <c r="R776" s="109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115">
        <v>304.0</v>
      </c>
      <c r="B777" s="99" t="s">
        <v>1348</v>
      </c>
      <c r="C777" s="116" t="s">
        <v>107</v>
      </c>
      <c r="D777" s="117">
        <v>20056.0</v>
      </c>
      <c r="E777" s="99" t="s">
        <v>1639</v>
      </c>
      <c r="F777" s="99" t="s">
        <v>1640</v>
      </c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09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115">
        <v>305.0</v>
      </c>
      <c r="B778" s="99" t="s">
        <v>1311</v>
      </c>
      <c r="C778" s="116" t="s">
        <v>107</v>
      </c>
      <c r="D778" s="117">
        <v>23376.0</v>
      </c>
      <c r="E778" s="99" t="s">
        <v>1493</v>
      </c>
      <c r="F778" s="99" t="s">
        <v>1494</v>
      </c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09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115">
        <v>306.0</v>
      </c>
      <c r="B779" s="99" t="s">
        <v>1641</v>
      </c>
      <c r="C779" s="116" t="s">
        <v>107</v>
      </c>
      <c r="D779" s="119">
        <v>23476.0</v>
      </c>
      <c r="E779" s="99" t="s">
        <v>1421</v>
      </c>
      <c r="F779" s="99" t="s">
        <v>1422</v>
      </c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09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115">
        <v>307.0</v>
      </c>
      <c r="B780" s="99" t="s">
        <v>1404</v>
      </c>
      <c r="C780" s="116" t="s">
        <v>107</v>
      </c>
      <c r="D780" s="117">
        <v>24091.0</v>
      </c>
      <c r="E780" s="108"/>
      <c r="F780" s="10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09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115">
        <v>308.0</v>
      </c>
      <c r="B781" s="99" t="s">
        <v>1642</v>
      </c>
      <c r="C781" s="116" t="s">
        <v>107</v>
      </c>
      <c r="D781" s="119">
        <v>23580.0</v>
      </c>
      <c r="E781" s="108"/>
      <c r="F781" s="10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09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115">
        <v>309.0</v>
      </c>
      <c r="B782" s="99" t="s">
        <v>1643</v>
      </c>
      <c r="C782" s="116" t="s">
        <v>107</v>
      </c>
      <c r="D782" s="119">
        <v>22795.0</v>
      </c>
      <c r="E782" s="108"/>
      <c r="F782" s="10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09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115">
        <v>310.0</v>
      </c>
      <c r="B783" s="99" t="s">
        <v>1362</v>
      </c>
      <c r="C783" s="116" t="s">
        <v>107</v>
      </c>
      <c r="D783" s="119">
        <v>22739.0</v>
      </c>
      <c r="E783" s="108"/>
      <c r="F783" s="10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09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115">
        <v>311.0</v>
      </c>
      <c r="B784" s="99" t="s">
        <v>1416</v>
      </c>
      <c r="C784" s="116" t="s">
        <v>107</v>
      </c>
      <c r="D784" s="119">
        <v>22755.0</v>
      </c>
      <c r="E784" s="108"/>
      <c r="F784" s="10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09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115">
        <v>312.0</v>
      </c>
      <c r="B785" s="99" t="s">
        <v>657</v>
      </c>
      <c r="C785" s="116" t="s">
        <v>107</v>
      </c>
      <c r="D785" s="119">
        <v>23951.0</v>
      </c>
      <c r="E785" s="108"/>
      <c r="F785" s="10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09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115">
        <v>313.0</v>
      </c>
      <c r="B786" s="99" t="s">
        <v>1644</v>
      </c>
      <c r="C786" s="116" t="s">
        <v>107</v>
      </c>
      <c r="D786" s="119">
        <v>22779.0</v>
      </c>
      <c r="E786" s="108"/>
      <c r="F786" s="10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09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115">
        <v>314.0</v>
      </c>
      <c r="B787" s="99" t="s">
        <v>637</v>
      </c>
      <c r="C787" s="116" t="s">
        <v>107</v>
      </c>
      <c r="D787" s="119">
        <v>23964.0</v>
      </c>
      <c r="E787" s="108"/>
      <c r="F787" s="10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09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115">
        <v>315.0</v>
      </c>
      <c r="B788" s="99" t="s">
        <v>1179</v>
      </c>
      <c r="C788" s="116" t="s">
        <v>107</v>
      </c>
      <c r="D788" s="119">
        <v>23275.0</v>
      </c>
      <c r="E788" s="108"/>
      <c r="F788" s="10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09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115">
        <v>316.0</v>
      </c>
      <c r="B789" s="99" t="s">
        <v>1334</v>
      </c>
      <c r="C789" s="116" t="s">
        <v>107</v>
      </c>
      <c r="D789" s="119">
        <v>23213.0</v>
      </c>
      <c r="E789" s="108"/>
      <c r="F789" s="10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09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115">
        <v>317.0</v>
      </c>
      <c r="B790" s="99" t="s">
        <v>743</v>
      </c>
      <c r="C790" s="116" t="s">
        <v>107</v>
      </c>
      <c r="D790" s="119">
        <v>23937.0</v>
      </c>
      <c r="E790" s="108"/>
      <c r="F790" s="10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09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115">
        <v>318.0</v>
      </c>
      <c r="B791" s="99" t="s">
        <v>377</v>
      </c>
      <c r="C791" s="116" t="s">
        <v>107</v>
      </c>
      <c r="D791" s="117">
        <v>24065.0</v>
      </c>
      <c r="E791" s="108"/>
      <c r="F791" s="10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09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115">
        <v>319.0</v>
      </c>
      <c r="B792" s="99" t="s">
        <v>446</v>
      </c>
      <c r="C792" s="116" t="s">
        <v>108</v>
      </c>
      <c r="D792" s="119">
        <v>36655.0</v>
      </c>
      <c r="E792" s="99" t="s">
        <v>593</v>
      </c>
      <c r="F792" s="99" t="s">
        <v>1645</v>
      </c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09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115">
        <v>320.0</v>
      </c>
      <c r="B793" s="99" t="s">
        <v>1646</v>
      </c>
      <c r="C793" s="116" t="s">
        <v>108</v>
      </c>
      <c r="D793" s="119">
        <v>38187.0</v>
      </c>
      <c r="E793" s="99" t="s">
        <v>1212</v>
      </c>
      <c r="F793" s="99" t="s">
        <v>675</v>
      </c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09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115">
        <v>321.0</v>
      </c>
      <c r="B794" s="99" t="s">
        <v>176</v>
      </c>
      <c r="C794" s="116" t="s">
        <v>108</v>
      </c>
      <c r="D794" s="117">
        <v>36082.0</v>
      </c>
      <c r="E794" s="99" t="s">
        <v>1647</v>
      </c>
      <c r="F794" s="99" t="s">
        <v>1648</v>
      </c>
      <c r="G794" s="116">
        <v>1.0</v>
      </c>
      <c r="H794" s="116">
        <v>1.0</v>
      </c>
      <c r="I794" s="116">
        <v>1.0</v>
      </c>
      <c r="J794" s="116">
        <v>1.0</v>
      </c>
      <c r="K794" s="116">
        <v>1.0</v>
      </c>
      <c r="L794" s="116">
        <v>1.0</v>
      </c>
      <c r="M794" s="116">
        <v>1.0</v>
      </c>
      <c r="N794" s="116">
        <v>1.0</v>
      </c>
      <c r="O794" s="116">
        <v>1.0</v>
      </c>
      <c r="P794" s="116">
        <v>1.0</v>
      </c>
      <c r="Q794" s="116">
        <v>1.0</v>
      </c>
      <c r="R794" s="109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115">
        <v>322.0</v>
      </c>
      <c r="B795" s="99" t="s">
        <v>1649</v>
      </c>
      <c r="C795" s="116" t="s">
        <v>108</v>
      </c>
      <c r="D795" s="119">
        <v>37640.0</v>
      </c>
      <c r="E795" s="99" t="s">
        <v>1650</v>
      </c>
      <c r="F795" s="99" t="s">
        <v>1432</v>
      </c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09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115">
        <v>323.0</v>
      </c>
      <c r="B796" s="99" t="s">
        <v>628</v>
      </c>
      <c r="C796" s="116" t="s">
        <v>108</v>
      </c>
      <c r="D796" s="117">
        <v>39741.0</v>
      </c>
      <c r="E796" s="99" t="s">
        <v>629</v>
      </c>
      <c r="F796" s="99" t="s">
        <v>630</v>
      </c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09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115">
        <v>324.0</v>
      </c>
      <c r="B797" s="99" t="s">
        <v>1651</v>
      </c>
      <c r="C797" s="116" t="s">
        <v>108</v>
      </c>
      <c r="D797" s="119">
        <v>39419.0</v>
      </c>
      <c r="E797" s="99" t="s">
        <v>656</v>
      </c>
      <c r="F797" s="99" t="s">
        <v>657</v>
      </c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09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115">
        <v>325.0</v>
      </c>
      <c r="B798" s="99" t="s">
        <v>376</v>
      </c>
      <c r="C798" s="116" t="s">
        <v>108</v>
      </c>
      <c r="D798" s="119">
        <v>33687.0</v>
      </c>
      <c r="E798" s="99" t="s">
        <v>1463</v>
      </c>
      <c r="F798" s="99" t="s">
        <v>1652</v>
      </c>
      <c r="G798" s="118"/>
      <c r="H798" s="118"/>
      <c r="I798" s="118"/>
      <c r="J798" s="118"/>
      <c r="K798" s="118"/>
      <c r="L798" s="118"/>
      <c r="M798" s="118"/>
      <c r="N798" s="118"/>
      <c r="O798" s="116">
        <v>1.0</v>
      </c>
      <c r="P798" s="116">
        <v>1.0</v>
      </c>
      <c r="Q798" s="116">
        <v>1.0</v>
      </c>
      <c r="R798" s="109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115">
        <v>326.0</v>
      </c>
      <c r="B799" s="99" t="s">
        <v>1653</v>
      </c>
      <c r="C799" s="116" t="s">
        <v>108</v>
      </c>
      <c r="D799" s="119">
        <v>33994.0</v>
      </c>
      <c r="E799" s="99" t="s">
        <v>1654</v>
      </c>
      <c r="F799" s="99" t="s">
        <v>1655</v>
      </c>
      <c r="G799" s="116">
        <v>1.0</v>
      </c>
      <c r="H799" s="116">
        <v>1.0</v>
      </c>
      <c r="I799" s="116">
        <v>1.0</v>
      </c>
      <c r="J799" s="116">
        <v>1.0</v>
      </c>
      <c r="K799" s="116">
        <v>1.0</v>
      </c>
      <c r="L799" s="116">
        <v>1.0</v>
      </c>
      <c r="M799" s="116">
        <v>1.0</v>
      </c>
      <c r="N799" s="116">
        <v>1.0</v>
      </c>
      <c r="O799" s="116">
        <v>1.0</v>
      </c>
      <c r="P799" s="116">
        <v>1.0</v>
      </c>
      <c r="Q799" s="116">
        <v>1.0</v>
      </c>
      <c r="R799" s="109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115">
        <v>327.0</v>
      </c>
      <c r="B800" s="99" t="s">
        <v>1656</v>
      </c>
      <c r="C800" s="116" t="s">
        <v>108</v>
      </c>
      <c r="D800" s="119">
        <v>29768.0</v>
      </c>
      <c r="E800" s="99" t="s">
        <v>1657</v>
      </c>
      <c r="F800" s="99" t="s">
        <v>1498</v>
      </c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09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115">
        <v>328.0</v>
      </c>
      <c r="B801" s="99" t="s">
        <v>390</v>
      </c>
      <c r="C801" s="116" t="s">
        <v>108</v>
      </c>
      <c r="D801" s="117">
        <v>32805.0</v>
      </c>
      <c r="E801" s="99" t="s">
        <v>1657</v>
      </c>
      <c r="F801" s="99" t="s">
        <v>1498</v>
      </c>
      <c r="G801" s="116">
        <v>1.0</v>
      </c>
      <c r="H801" s="116">
        <v>1.0</v>
      </c>
      <c r="I801" s="116">
        <v>1.0</v>
      </c>
      <c r="J801" s="116">
        <v>1.0</v>
      </c>
      <c r="K801" s="116">
        <v>1.0</v>
      </c>
      <c r="L801" s="116">
        <v>1.0</v>
      </c>
      <c r="M801" s="116">
        <v>1.0</v>
      </c>
      <c r="N801" s="116">
        <v>1.0</v>
      </c>
      <c r="O801" s="116">
        <v>1.0</v>
      </c>
      <c r="P801" s="116">
        <v>1.0</v>
      </c>
      <c r="Q801" s="116">
        <v>1.0</v>
      </c>
      <c r="R801" s="109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115">
        <v>329.0</v>
      </c>
      <c r="B802" s="99" t="s">
        <v>185</v>
      </c>
      <c r="C802" s="116" t="s">
        <v>108</v>
      </c>
      <c r="D802" s="119">
        <v>38262.0</v>
      </c>
      <c r="E802" s="99" t="s">
        <v>1658</v>
      </c>
      <c r="F802" s="99" t="s">
        <v>695</v>
      </c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09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115">
        <v>330.0</v>
      </c>
      <c r="B803" s="99" t="s">
        <v>1659</v>
      </c>
      <c r="C803" s="116" t="s">
        <v>108</v>
      </c>
      <c r="D803" s="119">
        <v>34067.0</v>
      </c>
      <c r="E803" s="99" t="s">
        <v>1168</v>
      </c>
      <c r="F803" s="99" t="s">
        <v>1169</v>
      </c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09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115">
        <v>331.0</v>
      </c>
      <c r="B804" s="99" t="s">
        <v>1660</v>
      </c>
      <c r="C804" s="116" t="s">
        <v>108</v>
      </c>
      <c r="D804" s="119">
        <v>32005.0</v>
      </c>
      <c r="E804" s="99" t="s">
        <v>1168</v>
      </c>
      <c r="F804" s="99" t="s">
        <v>1169</v>
      </c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09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115">
        <v>332.0</v>
      </c>
      <c r="B805" s="99" t="s">
        <v>331</v>
      </c>
      <c r="C805" s="116" t="s">
        <v>108</v>
      </c>
      <c r="D805" s="119">
        <v>37097.0</v>
      </c>
      <c r="E805" s="99" t="s">
        <v>1661</v>
      </c>
      <c r="F805" s="99" t="s">
        <v>1662</v>
      </c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09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115">
        <v>333.0</v>
      </c>
      <c r="B806" s="99" t="s">
        <v>1663</v>
      </c>
      <c r="C806" s="116" t="s">
        <v>108</v>
      </c>
      <c r="D806" s="119">
        <v>36707.0</v>
      </c>
      <c r="E806" s="99" t="s">
        <v>703</v>
      </c>
      <c r="F806" s="99" t="s">
        <v>704</v>
      </c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09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115">
        <v>334.0</v>
      </c>
      <c r="B807" s="99" t="s">
        <v>1664</v>
      </c>
      <c r="C807" s="116" t="s">
        <v>108</v>
      </c>
      <c r="D807" s="119">
        <v>37120.0</v>
      </c>
      <c r="E807" s="99" t="s">
        <v>1240</v>
      </c>
      <c r="F807" s="99" t="s">
        <v>1510</v>
      </c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09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115">
        <v>335.0</v>
      </c>
      <c r="B808" s="99" t="s">
        <v>1465</v>
      </c>
      <c r="C808" s="116" t="s">
        <v>108</v>
      </c>
      <c r="D808" s="119">
        <v>30819.0</v>
      </c>
      <c r="E808" s="99" t="s">
        <v>1152</v>
      </c>
      <c r="F808" s="99" t="s">
        <v>1665</v>
      </c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09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115">
        <v>336.0</v>
      </c>
      <c r="B809" s="99" t="s">
        <v>1666</v>
      </c>
      <c r="C809" s="116" t="s">
        <v>108</v>
      </c>
      <c r="D809" s="119">
        <v>31892.0</v>
      </c>
      <c r="E809" s="99" t="s">
        <v>1234</v>
      </c>
      <c r="F809" s="99" t="s">
        <v>1235</v>
      </c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09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115">
        <v>337.0</v>
      </c>
      <c r="B810" s="99" t="s">
        <v>1667</v>
      </c>
      <c r="C810" s="116" t="s">
        <v>108</v>
      </c>
      <c r="D810" s="119">
        <v>38882.0</v>
      </c>
      <c r="E810" s="99" t="s">
        <v>688</v>
      </c>
      <c r="F810" s="99" t="s">
        <v>689</v>
      </c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09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115">
        <v>338.0</v>
      </c>
      <c r="B811" s="99" t="s">
        <v>650</v>
      </c>
      <c r="C811" s="116" t="s">
        <v>108</v>
      </c>
      <c r="D811" s="119">
        <v>32320.0</v>
      </c>
      <c r="E811" s="99" t="s">
        <v>1668</v>
      </c>
      <c r="F811" s="99" t="s">
        <v>630</v>
      </c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09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115">
        <v>339.0</v>
      </c>
      <c r="B812" s="99" t="s">
        <v>1669</v>
      </c>
      <c r="C812" s="116" t="s">
        <v>108</v>
      </c>
      <c r="D812" s="119">
        <v>33801.0</v>
      </c>
      <c r="E812" s="99" t="s">
        <v>1160</v>
      </c>
      <c r="F812" s="99" t="s">
        <v>1161</v>
      </c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09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115">
        <v>340.0</v>
      </c>
      <c r="B813" s="99" t="s">
        <v>1670</v>
      </c>
      <c r="C813" s="116" t="s">
        <v>108</v>
      </c>
      <c r="D813" s="119">
        <v>36321.0</v>
      </c>
      <c r="E813" s="99" t="s">
        <v>1671</v>
      </c>
      <c r="F813" s="99" t="s">
        <v>167</v>
      </c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09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115">
        <v>341.0</v>
      </c>
      <c r="B814" s="99" t="s">
        <v>619</v>
      </c>
      <c r="C814" s="116" t="s">
        <v>108</v>
      </c>
      <c r="D814" s="119">
        <v>39552.0</v>
      </c>
      <c r="E814" s="99" t="s">
        <v>1671</v>
      </c>
      <c r="F814" s="99" t="s">
        <v>167</v>
      </c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09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115">
        <v>342.0</v>
      </c>
      <c r="B815" s="99" t="s">
        <v>419</v>
      </c>
      <c r="C815" s="116" t="s">
        <v>108</v>
      </c>
      <c r="D815" s="119">
        <v>35307.0</v>
      </c>
      <c r="E815" s="99" t="s">
        <v>1672</v>
      </c>
      <c r="F815" s="99" t="s">
        <v>1673</v>
      </c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09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115">
        <v>343.0</v>
      </c>
      <c r="B816" s="99" t="s">
        <v>386</v>
      </c>
      <c r="C816" s="116" t="s">
        <v>108</v>
      </c>
      <c r="D816" s="119">
        <v>30142.0</v>
      </c>
      <c r="E816" s="99" t="s">
        <v>1674</v>
      </c>
      <c r="F816" s="99" t="s">
        <v>1675</v>
      </c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09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115">
        <v>344.0</v>
      </c>
      <c r="B817" s="99" t="s">
        <v>1676</v>
      </c>
      <c r="C817" s="116" t="s">
        <v>108</v>
      </c>
      <c r="D817" s="119">
        <v>31118.0</v>
      </c>
      <c r="E817" s="99" t="s">
        <v>1677</v>
      </c>
      <c r="F817" s="99" t="s">
        <v>177</v>
      </c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09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115">
        <v>345.0</v>
      </c>
      <c r="B818" s="99" t="s">
        <v>422</v>
      </c>
      <c r="C818" s="116" t="s">
        <v>108</v>
      </c>
      <c r="D818" s="117">
        <v>36088.0</v>
      </c>
      <c r="E818" s="99" t="s">
        <v>1678</v>
      </c>
      <c r="F818" s="99" t="s">
        <v>1679</v>
      </c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09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115">
        <v>346.0</v>
      </c>
      <c r="B819" s="99" t="s">
        <v>1680</v>
      </c>
      <c r="C819" s="116" t="s">
        <v>108</v>
      </c>
      <c r="D819" s="119">
        <v>35683.0</v>
      </c>
      <c r="E819" s="99" t="s">
        <v>1681</v>
      </c>
      <c r="F819" s="99" t="s">
        <v>1682</v>
      </c>
      <c r="G819" s="116">
        <v>1.0</v>
      </c>
      <c r="H819" s="116">
        <v>1.0</v>
      </c>
      <c r="I819" s="116">
        <v>1.0</v>
      </c>
      <c r="J819" s="116">
        <v>1.0</v>
      </c>
      <c r="K819" s="116">
        <v>1.0</v>
      </c>
      <c r="L819" s="116">
        <v>1.0</v>
      </c>
      <c r="M819" s="116">
        <v>1.0</v>
      </c>
      <c r="N819" s="116">
        <v>1.0</v>
      </c>
      <c r="O819" s="116">
        <v>1.0</v>
      </c>
      <c r="P819" s="118"/>
      <c r="Q819" s="118"/>
      <c r="R819" s="109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115">
        <v>347.0</v>
      </c>
      <c r="B820" s="99" t="s">
        <v>1189</v>
      </c>
      <c r="C820" s="116" t="s">
        <v>108</v>
      </c>
      <c r="D820" s="117">
        <v>30996.0</v>
      </c>
      <c r="E820" s="99" t="s">
        <v>1445</v>
      </c>
      <c r="F820" s="99" t="s">
        <v>1192</v>
      </c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09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115">
        <v>348.0</v>
      </c>
      <c r="B821" s="99" t="s">
        <v>1683</v>
      </c>
      <c r="C821" s="116" t="s">
        <v>108</v>
      </c>
      <c r="D821" s="119">
        <v>40315.0</v>
      </c>
      <c r="E821" s="99" t="s">
        <v>390</v>
      </c>
      <c r="F821" s="99" t="s">
        <v>1684</v>
      </c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09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115">
        <v>349.0</v>
      </c>
      <c r="B822" s="99" t="s">
        <v>1685</v>
      </c>
      <c r="C822" s="116" t="s">
        <v>108</v>
      </c>
      <c r="D822" s="119">
        <v>45720.0</v>
      </c>
      <c r="E822" s="99" t="s">
        <v>390</v>
      </c>
      <c r="F822" s="99" t="s">
        <v>1532</v>
      </c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09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115">
        <v>350.0</v>
      </c>
      <c r="B823" s="99" t="s">
        <v>792</v>
      </c>
      <c r="C823" s="116" t="s">
        <v>108</v>
      </c>
      <c r="D823" s="119">
        <v>30542.0</v>
      </c>
      <c r="E823" s="99" t="s">
        <v>1686</v>
      </c>
      <c r="F823" s="99" t="s">
        <v>1687</v>
      </c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09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115">
        <v>351.0</v>
      </c>
      <c r="B824" s="99" t="s">
        <v>1688</v>
      </c>
      <c r="C824" s="116" t="s">
        <v>108</v>
      </c>
      <c r="D824" s="119">
        <v>40398.0</v>
      </c>
      <c r="E824" s="99" t="s">
        <v>1689</v>
      </c>
      <c r="F824" s="99" t="s">
        <v>1690</v>
      </c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09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115">
        <v>352.0</v>
      </c>
      <c r="B825" s="99" t="s">
        <v>1691</v>
      </c>
      <c r="C825" s="116" t="s">
        <v>108</v>
      </c>
      <c r="D825" s="119">
        <v>31628.0</v>
      </c>
      <c r="E825" s="99" t="s">
        <v>1692</v>
      </c>
      <c r="F825" s="99" t="s">
        <v>1693</v>
      </c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09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115">
        <v>353.0</v>
      </c>
      <c r="B826" s="99" t="s">
        <v>1694</v>
      </c>
      <c r="C826" s="116" t="s">
        <v>108</v>
      </c>
      <c r="D826" s="119">
        <v>37313.0</v>
      </c>
      <c r="E826" s="99" t="s">
        <v>1695</v>
      </c>
      <c r="F826" s="99" t="s">
        <v>1696</v>
      </c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09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115">
        <v>354.0</v>
      </c>
      <c r="B827" s="99" t="s">
        <v>769</v>
      </c>
      <c r="C827" s="116" t="s">
        <v>108</v>
      </c>
      <c r="D827" s="119">
        <v>31094.0</v>
      </c>
      <c r="E827" s="99" t="s">
        <v>1697</v>
      </c>
      <c r="F827" s="99" t="s">
        <v>1698</v>
      </c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09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115">
        <v>355.0</v>
      </c>
      <c r="B828" s="99" t="s">
        <v>766</v>
      </c>
      <c r="C828" s="116" t="s">
        <v>108</v>
      </c>
      <c r="D828" s="119">
        <v>31080.0</v>
      </c>
      <c r="E828" s="99" t="s">
        <v>1699</v>
      </c>
      <c r="F828" s="99" t="s">
        <v>1700</v>
      </c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09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115">
        <v>356.0</v>
      </c>
      <c r="B829" s="99" t="s">
        <v>1701</v>
      </c>
      <c r="C829" s="116" t="s">
        <v>108</v>
      </c>
      <c r="D829" s="117">
        <v>39375.0</v>
      </c>
      <c r="E829" s="99" t="s">
        <v>1702</v>
      </c>
      <c r="F829" s="99" t="s">
        <v>1193</v>
      </c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09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115">
        <v>357.0</v>
      </c>
      <c r="B830" s="99" t="s">
        <v>1703</v>
      </c>
      <c r="C830" s="116" t="s">
        <v>108</v>
      </c>
      <c r="D830" s="119">
        <v>35926.0</v>
      </c>
      <c r="E830" s="99" t="s">
        <v>617</v>
      </c>
      <c r="F830" s="99" t="s">
        <v>1704</v>
      </c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09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115">
        <v>358.0</v>
      </c>
      <c r="B831" s="99" t="s">
        <v>1705</v>
      </c>
      <c r="C831" s="116" t="s">
        <v>108</v>
      </c>
      <c r="D831" s="119">
        <v>37327.0</v>
      </c>
      <c r="E831" s="99" t="s">
        <v>807</v>
      </c>
      <c r="F831" s="99" t="s">
        <v>1706</v>
      </c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09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115">
        <v>359.0</v>
      </c>
      <c r="B832" s="99" t="s">
        <v>806</v>
      </c>
      <c r="C832" s="116" t="s">
        <v>108</v>
      </c>
      <c r="D832" s="119">
        <v>40516.0</v>
      </c>
      <c r="E832" s="99" t="s">
        <v>807</v>
      </c>
      <c r="F832" s="99" t="s">
        <v>1706</v>
      </c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09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115">
        <v>360.0</v>
      </c>
      <c r="B833" s="99" t="s">
        <v>1707</v>
      </c>
      <c r="C833" s="116" t="s">
        <v>108</v>
      </c>
      <c r="D833" s="119">
        <v>37872.0</v>
      </c>
      <c r="E833" s="99" t="s">
        <v>1708</v>
      </c>
      <c r="F833" s="99" t="s">
        <v>1709</v>
      </c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09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115">
        <v>361.0</v>
      </c>
      <c r="B834" s="99" t="s">
        <v>1710</v>
      </c>
      <c r="C834" s="116" t="s">
        <v>108</v>
      </c>
      <c r="D834" s="119">
        <v>36781.0</v>
      </c>
      <c r="E834" s="99" t="s">
        <v>787</v>
      </c>
      <c r="F834" s="99" t="s">
        <v>788</v>
      </c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09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115">
        <v>362.0</v>
      </c>
      <c r="B835" s="99" t="s">
        <v>784</v>
      </c>
      <c r="C835" s="116" t="s">
        <v>108</v>
      </c>
      <c r="D835" s="119">
        <v>30786.0</v>
      </c>
      <c r="E835" s="99" t="s">
        <v>1711</v>
      </c>
      <c r="F835" s="99" t="s">
        <v>1712</v>
      </c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09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115">
        <v>363.0</v>
      </c>
      <c r="B836" s="99" t="s">
        <v>1215</v>
      </c>
      <c r="C836" s="116" t="s">
        <v>108</v>
      </c>
      <c r="D836" s="119">
        <v>29629.0</v>
      </c>
      <c r="E836" s="99" t="s">
        <v>1713</v>
      </c>
      <c r="F836" s="99" t="s">
        <v>1714</v>
      </c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09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115">
        <v>364.0</v>
      </c>
      <c r="B837" s="99" t="s">
        <v>1715</v>
      </c>
      <c r="C837" s="116" t="s">
        <v>108</v>
      </c>
      <c r="D837" s="119">
        <v>37441.0</v>
      </c>
      <c r="E837" s="99" t="s">
        <v>758</v>
      </c>
      <c r="F837" s="99" t="s">
        <v>759</v>
      </c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09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115">
        <v>365.0</v>
      </c>
      <c r="B838" s="99" t="s">
        <v>1716</v>
      </c>
      <c r="C838" s="116" t="s">
        <v>108</v>
      </c>
      <c r="D838" s="119">
        <v>39538.0</v>
      </c>
      <c r="E838" s="99" t="s">
        <v>758</v>
      </c>
      <c r="F838" s="99" t="s">
        <v>759</v>
      </c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09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115">
        <v>366.0</v>
      </c>
      <c r="B839" s="99" t="s">
        <v>1717</v>
      </c>
      <c r="C839" s="116" t="s">
        <v>108</v>
      </c>
      <c r="D839" s="119">
        <v>36838.0</v>
      </c>
      <c r="E839" s="99" t="s">
        <v>1718</v>
      </c>
      <c r="F839" s="99" t="s">
        <v>431</v>
      </c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09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115">
        <v>367.0</v>
      </c>
      <c r="B840" s="99" t="s">
        <v>1222</v>
      </c>
      <c r="C840" s="116" t="s">
        <v>108</v>
      </c>
      <c r="D840" s="119">
        <v>30872.0</v>
      </c>
      <c r="E840" s="99" t="s">
        <v>1160</v>
      </c>
      <c r="F840" s="99" t="s">
        <v>1227</v>
      </c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09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115">
        <v>368.0</v>
      </c>
      <c r="B841" s="99" t="s">
        <v>1719</v>
      </c>
      <c r="C841" s="116" t="s">
        <v>108</v>
      </c>
      <c r="D841" s="117">
        <v>36085.0</v>
      </c>
      <c r="E841" s="99" t="s">
        <v>778</v>
      </c>
      <c r="F841" s="99" t="s">
        <v>779</v>
      </c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09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115">
        <v>369.0</v>
      </c>
      <c r="B842" s="99" t="s">
        <v>1720</v>
      </c>
      <c r="C842" s="116" t="s">
        <v>108</v>
      </c>
      <c r="D842" s="119">
        <v>37656.0</v>
      </c>
      <c r="E842" s="99" t="s">
        <v>1721</v>
      </c>
      <c r="F842" s="99" t="s">
        <v>1256</v>
      </c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09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115">
        <v>370.0</v>
      </c>
      <c r="B843" s="99" t="s">
        <v>1722</v>
      </c>
      <c r="C843" s="116" t="s">
        <v>108</v>
      </c>
      <c r="D843" s="117">
        <v>39429.0</v>
      </c>
      <c r="E843" s="99" t="s">
        <v>1723</v>
      </c>
      <c r="F843" s="99" t="s">
        <v>657</v>
      </c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09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115">
        <v>371.0</v>
      </c>
      <c r="B844" s="99" t="s">
        <v>706</v>
      </c>
      <c r="C844" s="116" t="s">
        <v>108</v>
      </c>
      <c r="D844" s="117">
        <v>30669.0</v>
      </c>
      <c r="E844" s="99" t="s">
        <v>1724</v>
      </c>
      <c r="F844" s="99" t="s">
        <v>1566</v>
      </c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09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115">
        <v>372.0</v>
      </c>
      <c r="B845" s="99" t="s">
        <v>1725</v>
      </c>
      <c r="C845" s="116" t="s">
        <v>108</v>
      </c>
      <c r="D845" s="119">
        <v>38040.0</v>
      </c>
      <c r="E845" s="99" t="s">
        <v>706</v>
      </c>
      <c r="F845" s="99" t="s">
        <v>1726</v>
      </c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09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115">
        <v>373.0</v>
      </c>
      <c r="B846" s="99" t="s">
        <v>1727</v>
      </c>
      <c r="C846" s="116" t="s">
        <v>108</v>
      </c>
      <c r="D846" s="119">
        <v>38516.0</v>
      </c>
      <c r="E846" s="99" t="s">
        <v>754</v>
      </c>
      <c r="F846" s="99" t="s">
        <v>755</v>
      </c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09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115">
        <v>374.0</v>
      </c>
      <c r="B847" s="99" t="s">
        <v>337</v>
      </c>
      <c r="C847" s="116" t="s">
        <v>108</v>
      </c>
      <c r="D847" s="119">
        <v>35493.0</v>
      </c>
      <c r="E847" s="99" t="s">
        <v>1728</v>
      </c>
      <c r="F847" s="99" t="s">
        <v>1583</v>
      </c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09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115">
        <v>375.0</v>
      </c>
      <c r="B848" s="99" t="s">
        <v>1729</v>
      </c>
      <c r="C848" s="116" t="s">
        <v>108</v>
      </c>
      <c r="D848" s="117">
        <v>39437.0</v>
      </c>
      <c r="E848" s="99" t="s">
        <v>814</v>
      </c>
      <c r="F848" s="99" t="s">
        <v>815</v>
      </c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09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115">
        <v>376.0</v>
      </c>
      <c r="B849" s="99" t="s">
        <v>1730</v>
      </c>
      <c r="C849" s="116" t="s">
        <v>108</v>
      </c>
      <c r="D849" s="119">
        <v>39291.0</v>
      </c>
      <c r="E849" s="99" t="s">
        <v>163</v>
      </c>
      <c r="F849" s="99" t="s">
        <v>164</v>
      </c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09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115">
        <v>377.0</v>
      </c>
      <c r="B850" s="99" t="s">
        <v>1731</v>
      </c>
      <c r="C850" s="116" t="s">
        <v>108</v>
      </c>
      <c r="D850" s="117">
        <v>32433.0</v>
      </c>
      <c r="E850" s="99" t="s">
        <v>1507</v>
      </c>
      <c r="F850" s="99" t="s">
        <v>1732</v>
      </c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115">
        <v>378.0</v>
      </c>
      <c r="B851" s="99" t="s">
        <v>1733</v>
      </c>
      <c r="C851" s="116" t="s">
        <v>108</v>
      </c>
      <c r="D851" s="119">
        <v>37282.0</v>
      </c>
      <c r="E851" s="99" t="s">
        <v>1287</v>
      </c>
      <c r="F851" s="99" t="s">
        <v>1288</v>
      </c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115">
        <v>379.0</v>
      </c>
      <c r="B852" s="99" t="s">
        <v>1734</v>
      </c>
      <c r="C852" s="116" t="s">
        <v>108</v>
      </c>
      <c r="D852" s="119">
        <v>37368.0</v>
      </c>
      <c r="E852" s="99" t="s">
        <v>1283</v>
      </c>
      <c r="F852" s="99" t="s">
        <v>1284</v>
      </c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115">
        <v>380.0</v>
      </c>
      <c r="B853" s="99" t="s">
        <v>1735</v>
      </c>
      <c r="C853" s="116" t="s">
        <v>108</v>
      </c>
      <c r="D853" s="119">
        <v>38222.0</v>
      </c>
      <c r="E853" s="99" t="s">
        <v>1283</v>
      </c>
      <c r="F853" s="99" t="s">
        <v>1284</v>
      </c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115">
        <v>381.0</v>
      </c>
      <c r="B854" s="99" t="s">
        <v>449</v>
      </c>
      <c r="C854" s="116" t="s">
        <v>108</v>
      </c>
      <c r="D854" s="119">
        <v>32260.0</v>
      </c>
      <c r="E854" s="99" t="s">
        <v>1736</v>
      </c>
      <c r="F854" s="99" t="s">
        <v>1737</v>
      </c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115">
        <v>382.0</v>
      </c>
      <c r="B855" s="99" t="s">
        <v>1738</v>
      </c>
      <c r="C855" s="116" t="s">
        <v>108</v>
      </c>
      <c r="D855" s="119">
        <v>38217.0</v>
      </c>
      <c r="E855" s="99" t="s">
        <v>1273</v>
      </c>
      <c r="F855" s="99" t="s">
        <v>1739</v>
      </c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115">
        <v>383.0</v>
      </c>
      <c r="B856" s="99" t="s">
        <v>1740</v>
      </c>
      <c r="C856" s="116" t="s">
        <v>108</v>
      </c>
      <c r="D856" s="119">
        <v>34370.0</v>
      </c>
      <c r="E856" s="99" t="s">
        <v>1741</v>
      </c>
      <c r="F856" s="99" t="s">
        <v>1742</v>
      </c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115">
        <v>384.0</v>
      </c>
      <c r="B857" s="99" t="s">
        <v>1743</v>
      </c>
      <c r="C857" s="116" t="s">
        <v>108</v>
      </c>
      <c r="D857" s="119">
        <v>32642.0</v>
      </c>
      <c r="E857" s="99" t="s">
        <v>1251</v>
      </c>
      <c r="F857" s="99" t="s">
        <v>1252</v>
      </c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115">
        <v>385.0</v>
      </c>
      <c r="B858" s="99" t="s">
        <v>267</v>
      </c>
      <c r="C858" s="116" t="s">
        <v>108</v>
      </c>
      <c r="D858" s="119">
        <v>34525.0</v>
      </c>
      <c r="E858" s="99" t="s">
        <v>1744</v>
      </c>
      <c r="F858" s="99" t="s">
        <v>1745</v>
      </c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115">
        <v>386.0</v>
      </c>
      <c r="B859" s="99" t="s">
        <v>255</v>
      </c>
      <c r="C859" s="116" t="s">
        <v>108</v>
      </c>
      <c r="D859" s="117">
        <v>35727.0</v>
      </c>
      <c r="E859" s="99" t="s">
        <v>1746</v>
      </c>
      <c r="F859" s="99" t="s">
        <v>1747</v>
      </c>
      <c r="G859" s="116">
        <v>1.0</v>
      </c>
      <c r="H859" s="116">
        <v>1.0</v>
      </c>
      <c r="I859" s="116">
        <v>1.0</v>
      </c>
      <c r="J859" s="116">
        <v>1.0</v>
      </c>
      <c r="K859" s="116">
        <v>1.0</v>
      </c>
      <c r="L859" s="116">
        <v>1.0</v>
      </c>
      <c r="M859" s="116">
        <v>1.0</v>
      </c>
      <c r="N859" s="116">
        <v>1.0</v>
      </c>
      <c r="O859" s="116">
        <v>1.0</v>
      </c>
      <c r="P859" s="116">
        <v>1.0</v>
      </c>
      <c r="Q859" s="118"/>
      <c r="R859" s="109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115">
        <v>387.0</v>
      </c>
      <c r="B860" s="99" t="s">
        <v>1748</v>
      </c>
      <c r="C860" s="116" t="s">
        <v>108</v>
      </c>
      <c r="D860" s="119">
        <v>36372.0</v>
      </c>
      <c r="E860" s="99" t="s">
        <v>1749</v>
      </c>
      <c r="F860" s="99" t="s">
        <v>1750</v>
      </c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09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115">
        <v>388.0</v>
      </c>
      <c r="B861" s="99" t="s">
        <v>403</v>
      </c>
      <c r="C861" s="116" t="s">
        <v>108</v>
      </c>
      <c r="D861" s="119">
        <v>33842.0</v>
      </c>
      <c r="E861" s="99" t="s">
        <v>1751</v>
      </c>
      <c r="F861" s="99" t="s">
        <v>1309</v>
      </c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09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115">
        <v>389.0</v>
      </c>
      <c r="B862" s="99" t="s">
        <v>1752</v>
      </c>
      <c r="C862" s="116" t="s">
        <v>108</v>
      </c>
      <c r="D862" s="117">
        <v>33531.0</v>
      </c>
      <c r="E862" s="99" t="s">
        <v>1753</v>
      </c>
      <c r="F862" s="99" t="s">
        <v>1321</v>
      </c>
      <c r="G862" s="116">
        <v>1.0</v>
      </c>
      <c r="H862" s="116">
        <v>1.0</v>
      </c>
      <c r="I862" s="116">
        <v>1.0</v>
      </c>
      <c r="J862" s="116">
        <v>1.0</v>
      </c>
      <c r="K862" s="116">
        <v>1.0</v>
      </c>
      <c r="L862" s="116">
        <v>1.0</v>
      </c>
      <c r="M862" s="116">
        <v>1.0</v>
      </c>
      <c r="N862" s="116">
        <v>1.0</v>
      </c>
      <c r="O862" s="116">
        <v>1.0</v>
      </c>
      <c r="P862" s="116">
        <v>1.0</v>
      </c>
      <c r="Q862" s="118"/>
      <c r="R862" s="109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115">
        <v>390.0</v>
      </c>
      <c r="B863" s="99" t="s">
        <v>574</v>
      </c>
      <c r="C863" s="116" t="s">
        <v>108</v>
      </c>
      <c r="D863" s="119">
        <v>34531.0</v>
      </c>
      <c r="E863" s="99" t="s">
        <v>1301</v>
      </c>
      <c r="F863" s="99" t="s">
        <v>1302</v>
      </c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09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115">
        <v>391.0</v>
      </c>
      <c r="B864" s="99" t="s">
        <v>1754</v>
      </c>
      <c r="C864" s="116" t="s">
        <v>108</v>
      </c>
      <c r="D864" s="119">
        <v>32377.0</v>
      </c>
      <c r="E864" s="99" t="s">
        <v>1755</v>
      </c>
      <c r="F864" s="99" t="s">
        <v>1756</v>
      </c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09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115">
        <v>392.0</v>
      </c>
      <c r="B865" s="99" t="s">
        <v>712</v>
      </c>
      <c r="C865" s="116" t="s">
        <v>108</v>
      </c>
      <c r="D865" s="119">
        <v>30449.0</v>
      </c>
      <c r="E865" s="99" t="s">
        <v>1757</v>
      </c>
      <c r="F865" s="99" t="s">
        <v>1758</v>
      </c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09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115">
        <v>393.0</v>
      </c>
      <c r="B866" s="99" t="s">
        <v>319</v>
      </c>
      <c r="C866" s="116" t="s">
        <v>108</v>
      </c>
      <c r="D866" s="119">
        <v>30445.0</v>
      </c>
      <c r="E866" s="99" t="s">
        <v>1759</v>
      </c>
      <c r="F866" s="99" t="s">
        <v>1760</v>
      </c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09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115">
        <v>394.0</v>
      </c>
      <c r="B867" s="99" t="s">
        <v>1761</v>
      </c>
      <c r="C867" s="116" t="s">
        <v>108</v>
      </c>
      <c r="D867" s="119">
        <v>36555.0</v>
      </c>
      <c r="E867" s="99" t="s">
        <v>1762</v>
      </c>
      <c r="F867" s="99" t="s">
        <v>1763</v>
      </c>
      <c r="G867" s="116">
        <v>1.0</v>
      </c>
      <c r="H867" s="116">
        <v>1.0</v>
      </c>
      <c r="I867" s="116">
        <v>1.0</v>
      </c>
      <c r="J867" s="116">
        <v>1.0</v>
      </c>
      <c r="K867" s="116">
        <v>1.0</v>
      </c>
      <c r="L867" s="116">
        <v>1.0</v>
      </c>
      <c r="M867" s="116">
        <v>1.0</v>
      </c>
      <c r="N867" s="116">
        <v>1.0</v>
      </c>
      <c r="O867" s="116">
        <v>1.0</v>
      </c>
      <c r="P867" s="116">
        <v>1.0</v>
      </c>
      <c r="Q867" s="118"/>
      <c r="R867" s="109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115">
        <v>395.0</v>
      </c>
      <c r="B868" s="99" t="s">
        <v>1254</v>
      </c>
      <c r="C868" s="116" t="s">
        <v>108</v>
      </c>
      <c r="D868" s="119">
        <v>31572.0</v>
      </c>
      <c r="E868" s="99" t="s">
        <v>1764</v>
      </c>
      <c r="F868" s="99" t="s">
        <v>1765</v>
      </c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09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115">
        <v>396.0</v>
      </c>
      <c r="B869" s="99" t="s">
        <v>717</v>
      </c>
      <c r="C869" s="116" t="s">
        <v>108</v>
      </c>
      <c r="D869" s="119">
        <v>30502.0</v>
      </c>
      <c r="E869" s="99" t="s">
        <v>1766</v>
      </c>
      <c r="F869" s="99" t="s">
        <v>1767</v>
      </c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09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115">
        <v>397.0</v>
      </c>
      <c r="B870" s="99" t="s">
        <v>1768</v>
      </c>
      <c r="C870" s="116" t="s">
        <v>108</v>
      </c>
      <c r="D870" s="117">
        <v>36829.0</v>
      </c>
      <c r="E870" s="99" t="s">
        <v>1502</v>
      </c>
      <c r="F870" s="99" t="s">
        <v>1615</v>
      </c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09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115">
        <v>398.0</v>
      </c>
      <c r="B871" s="99" t="s">
        <v>397</v>
      </c>
      <c r="C871" s="116" t="s">
        <v>108</v>
      </c>
      <c r="D871" s="119">
        <v>37267.0</v>
      </c>
      <c r="E871" s="99" t="s">
        <v>1769</v>
      </c>
      <c r="F871" s="99" t="s">
        <v>1442</v>
      </c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09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115">
        <v>399.0</v>
      </c>
      <c r="B872" s="99" t="s">
        <v>1770</v>
      </c>
      <c r="C872" s="116" t="s">
        <v>108</v>
      </c>
      <c r="D872" s="119">
        <v>30323.0</v>
      </c>
      <c r="E872" s="99" t="s">
        <v>1278</v>
      </c>
      <c r="F872" s="99" t="s">
        <v>1225</v>
      </c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09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115">
        <v>400.0</v>
      </c>
      <c r="B873" s="99" t="s">
        <v>370</v>
      </c>
      <c r="C873" s="116" t="s">
        <v>108</v>
      </c>
      <c r="D873" s="119">
        <v>36526.0</v>
      </c>
      <c r="E873" s="99" t="s">
        <v>1771</v>
      </c>
      <c r="F873" s="99" t="s">
        <v>1525</v>
      </c>
      <c r="G873" s="116">
        <v>1.0</v>
      </c>
      <c r="H873" s="116">
        <v>1.0</v>
      </c>
      <c r="I873" s="116">
        <v>1.0</v>
      </c>
      <c r="J873" s="116">
        <v>1.0</v>
      </c>
      <c r="K873" s="116">
        <v>1.0</v>
      </c>
      <c r="L873" s="116">
        <v>1.0</v>
      </c>
      <c r="M873" s="116">
        <v>1.0</v>
      </c>
      <c r="N873" s="116">
        <v>1.0</v>
      </c>
      <c r="O873" s="116">
        <v>1.0</v>
      </c>
      <c r="P873" s="116">
        <v>1.0</v>
      </c>
      <c r="Q873" s="116">
        <v>1.0</v>
      </c>
      <c r="R873" s="109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115">
        <v>401.0</v>
      </c>
      <c r="B874" s="99" t="s">
        <v>361</v>
      </c>
      <c r="C874" s="116" t="s">
        <v>108</v>
      </c>
      <c r="D874" s="117">
        <v>36841.0</v>
      </c>
      <c r="E874" s="99" t="s">
        <v>1772</v>
      </c>
      <c r="F874" s="99" t="s">
        <v>1370</v>
      </c>
      <c r="G874" s="118"/>
      <c r="H874" s="118"/>
      <c r="I874" s="116">
        <v>1.0</v>
      </c>
      <c r="J874" s="116">
        <v>1.0</v>
      </c>
      <c r="K874" s="116">
        <v>1.0</v>
      </c>
      <c r="L874" s="116">
        <v>1.0</v>
      </c>
      <c r="M874" s="116">
        <v>1.0</v>
      </c>
      <c r="N874" s="116">
        <v>1.0</v>
      </c>
      <c r="O874" s="116">
        <v>1.0</v>
      </c>
      <c r="P874" s="116">
        <v>1.0</v>
      </c>
      <c r="Q874" s="116">
        <v>1.0</v>
      </c>
      <c r="R874" s="109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115">
        <v>402.0</v>
      </c>
      <c r="B875" s="99" t="s">
        <v>1773</v>
      </c>
      <c r="C875" s="116" t="s">
        <v>108</v>
      </c>
      <c r="D875" s="119">
        <v>29729.0</v>
      </c>
      <c r="E875" s="99" t="s">
        <v>1774</v>
      </c>
      <c r="F875" s="99" t="s">
        <v>1775</v>
      </c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09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115">
        <v>403.0</v>
      </c>
      <c r="B876" s="99" t="s">
        <v>301</v>
      </c>
      <c r="C876" s="116" t="s">
        <v>108</v>
      </c>
      <c r="D876" s="119">
        <v>32391.0</v>
      </c>
      <c r="E876" s="99" t="s">
        <v>1776</v>
      </c>
      <c r="F876" s="99" t="s">
        <v>1777</v>
      </c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09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115">
        <v>404.0</v>
      </c>
      <c r="B877" s="99" t="s">
        <v>310</v>
      </c>
      <c r="C877" s="116" t="s">
        <v>108</v>
      </c>
      <c r="D877" s="117">
        <v>37174.0</v>
      </c>
      <c r="E877" s="99" t="s">
        <v>1778</v>
      </c>
      <c r="F877" s="99" t="s">
        <v>1644</v>
      </c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09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115">
        <v>405.0</v>
      </c>
      <c r="B878" s="99" t="s">
        <v>1779</v>
      </c>
      <c r="C878" s="116" t="s">
        <v>108</v>
      </c>
      <c r="D878" s="119">
        <v>35569.0</v>
      </c>
      <c r="E878" s="99" t="s">
        <v>1209</v>
      </c>
      <c r="F878" s="99" t="s">
        <v>1780</v>
      </c>
      <c r="G878" s="116">
        <v>1.0</v>
      </c>
      <c r="H878" s="116">
        <v>1.0</v>
      </c>
      <c r="I878" s="116">
        <v>1.0</v>
      </c>
      <c r="J878" s="116">
        <v>1.0</v>
      </c>
      <c r="K878" s="116">
        <v>1.0</v>
      </c>
      <c r="L878" s="116">
        <v>1.0</v>
      </c>
      <c r="M878" s="116">
        <v>1.0</v>
      </c>
      <c r="N878" s="116">
        <v>1.0</v>
      </c>
      <c r="O878" s="116">
        <v>1.0</v>
      </c>
      <c r="P878" s="116">
        <v>1.0</v>
      </c>
      <c r="Q878" s="116">
        <v>1.0</v>
      </c>
      <c r="R878" s="109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115">
        <v>406.0</v>
      </c>
      <c r="B879" s="99" t="s">
        <v>279</v>
      </c>
      <c r="C879" s="116" t="s">
        <v>108</v>
      </c>
      <c r="D879" s="119">
        <v>35579.0</v>
      </c>
      <c r="E879" s="99" t="s">
        <v>585</v>
      </c>
      <c r="F879" s="99" t="s">
        <v>586</v>
      </c>
      <c r="G879" s="116">
        <v>1.0</v>
      </c>
      <c r="H879" s="116">
        <v>1.0</v>
      </c>
      <c r="I879" s="116">
        <v>1.0</v>
      </c>
      <c r="J879" s="116">
        <v>1.0</v>
      </c>
      <c r="K879" s="116">
        <v>1.0</v>
      </c>
      <c r="L879" s="116">
        <v>1.0</v>
      </c>
      <c r="M879" s="116">
        <v>1.0</v>
      </c>
      <c r="N879" s="116">
        <v>1.0</v>
      </c>
      <c r="O879" s="116">
        <v>1.0</v>
      </c>
      <c r="P879" s="116">
        <v>1.0</v>
      </c>
      <c r="Q879" s="116">
        <v>1.0</v>
      </c>
      <c r="R879" s="109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115">
        <v>407.0</v>
      </c>
      <c r="B880" s="99" t="s">
        <v>1781</v>
      </c>
      <c r="C880" s="116" t="s">
        <v>108</v>
      </c>
      <c r="D880" s="119">
        <v>37350.0</v>
      </c>
      <c r="E880" s="99" t="s">
        <v>1782</v>
      </c>
      <c r="F880" s="99" t="s">
        <v>1783</v>
      </c>
      <c r="G880" s="116">
        <v>1.0</v>
      </c>
      <c r="H880" s="116">
        <v>1.0</v>
      </c>
      <c r="I880" s="116">
        <v>1.0</v>
      </c>
      <c r="J880" s="116">
        <v>1.0</v>
      </c>
      <c r="K880" s="116">
        <v>1.0</v>
      </c>
      <c r="L880" s="116">
        <v>1.0</v>
      </c>
      <c r="M880" s="116">
        <v>1.0</v>
      </c>
      <c r="N880" s="116">
        <v>1.0</v>
      </c>
      <c r="O880" s="116">
        <v>1.0</v>
      </c>
      <c r="P880" s="116">
        <v>1.0</v>
      </c>
      <c r="Q880" s="116">
        <v>1.0</v>
      </c>
      <c r="R880" s="109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115">
        <v>408.0</v>
      </c>
      <c r="B881" s="99" t="s">
        <v>1784</v>
      </c>
      <c r="C881" s="116" t="s">
        <v>108</v>
      </c>
      <c r="D881" s="119">
        <v>40005.0</v>
      </c>
      <c r="E881" s="99" t="s">
        <v>314</v>
      </c>
      <c r="F881" s="99" t="s">
        <v>1785</v>
      </c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09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115">
        <v>409.0</v>
      </c>
      <c r="B882" s="99" t="s">
        <v>1786</v>
      </c>
      <c r="C882" s="116" t="s">
        <v>108</v>
      </c>
      <c r="D882" s="119">
        <v>37142.0</v>
      </c>
      <c r="E882" s="99" t="s">
        <v>1154</v>
      </c>
      <c r="F882" s="99" t="s">
        <v>1787</v>
      </c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09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115">
        <v>410.0</v>
      </c>
      <c r="B883" s="99" t="s">
        <v>142</v>
      </c>
      <c r="C883" s="116" t="s">
        <v>108</v>
      </c>
      <c r="D883" s="119">
        <v>32783.0</v>
      </c>
      <c r="E883" s="99" t="s">
        <v>1788</v>
      </c>
      <c r="F883" s="99" t="s">
        <v>1357</v>
      </c>
      <c r="G883" s="116">
        <v>1.0</v>
      </c>
      <c r="H883" s="116">
        <v>1.0</v>
      </c>
      <c r="I883" s="116">
        <v>1.0</v>
      </c>
      <c r="J883" s="116">
        <v>1.0</v>
      </c>
      <c r="K883" s="116">
        <v>1.0</v>
      </c>
      <c r="L883" s="116">
        <v>1.0</v>
      </c>
      <c r="M883" s="116">
        <v>1.0</v>
      </c>
      <c r="N883" s="116">
        <v>1.0</v>
      </c>
      <c r="O883" s="116">
        <v>1.0</v>
      </c>
      <c r="P883" s="116">
        <v>1.0</v>
      </c>
      <c r="Q883" s="116">
        <v>1.0</v>
      </c>
      <c r="R883" s="109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115">
        <v>411.0</v>
      </c>
      <c r="B884" s="99" t="s">
        <v>273</v>
      </c>
      <c r="C884" s="116" t="s">
        <v>108</v>
      </c>
      <c r="D884" s="119">
        <v>36284.0</v>
      </c>
      <c r="E884" s="99" t="s">
        <v>1789</v>
      </c>
      <c r="F884" s="99" t="s">
        <v>1790</v>
      </c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09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115">
        <v>412.0</v>
      </c>
      <c r="B885" s="99" t="s">
        <v>383</v>
      </c>
      <c r="C885" s="116" t="s">
        <v>108</v>
      </c>
      <c r="D885" s="119">
        <v>32678.0</v>
      </c>
      <c r="E885" s="99" t="s">
        <v>1791</v>
      </c>
      <c r="F885" s="99" t="s">
        <v>1792</v>
      </c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09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115">
        <v>413.0</v>
      </c>
      <c r="B886" s="99" t="s">
        <v>570</v>
      </c>
      <c r="C886" s="116" t="s">
        <v>108</v>
      </c>
      <c r="D886" s="119">
        <v>33055.0</v>
      </c>
      <c r="E886" s="99" t="s">
        <v>1793</v>
      </c>
      <c r="F886" s="99" t="s">
        <v>1794</v>
      </c>
      <c r="G886" s="116">
        <v>1.0</v>
      </c>
      <c r="H886" s="116">
        <v>1.0</v>
      </c>
      <c r="I886" s="116">
        <v>1.0</v>
      </c>
      <c r="J886" s="116">
        <v>1.0</v>
      </c>
      <c r="K886" s="116">
        <v>1.0</v>
      </c>
      <c r="L886" s="116">
        <v>1.0</v>
      </c>
      <c r="M886" s="116">
        <v>1.0</v>
      </c>
      <c r="N886" s="116">
        <v>1.0</v>
      </c>
      <c r="O886" s="116">
        <v>1.0</v>
      </c>
      <c r="P886" s="116">
        <v>1.0</v>
      </c>
      <c r="Q886" s="116">
        <v>1.0</v>
      </c>
      <c r="R886" s="109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115">
        <v>414.0</v>
      </c>
      <c r="B887" s="99" t="s">
        <v>1795</v>
      </c>
      <c r="C887" s="116" t="s">
        <v>108</v>
      </c>
      <c r="D887" s="119">
        <v>38144.0</v>
      </c>
      <c r="E887" s="99" t="s">
        <v>1796</v>
      </c>
      <c r="F887" s="99" t="s">
        <v>1797</v>
      </c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09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115">
        <v>415.0</v>
      </c>
      <c r="B888" s="99" t="s">
        <v>154</v>
      </c>
      <c r="C888" s="116" t="s">
        <v>108</v>
      </c>
      <c r="D888" s="119">
        <v>35465.0</v>
      </c>
      <c r="E888" s="99" t="s">
        <v>1239</v>
      </c>
      <c r="F888" s="99" t="s">
        <v>1249</v>
      </c>
      <c r="G888" s="116">
        <v>1.0</v>
      </c>
      <c r="H888" s="116">
        <v>1.0</v>
      </c>
      <c r="I888" s="116">
        <v>1.0</v>
      </c>
      <c r="J888" s="116">
        <v>1.0</v>
      </c>
      <c r="K888" s="116">
        <v>1.0</v>
      </c>
      <c r="L888" s="116">
        <v>1.0</v>
      </c>
      <c r="M888" s="116">
        <v>1.0</v>
      </c>
      <c r="N888" s="116">
        <v>1.0</v>
      </c>
      <c r="O888" s="116">
        <v>1.0</v>
      </c>
      <c r="P888" s="116">
        <v>1.0</v>
      </c>
      <c r="Q888" s="116">
        <v>1.0</v>
      </c>
      <c r="R888" s="109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115">
        <v>416.0</v>
      </c>
      <c r="B889" s="99" t="s">
        <v>1798</v>
      </c>
      <c r="C889" s="116" t="s">
        <v>108</v>
      </c>
      <c r="D889" s="117">
        <v>36463.0</v>
      </c>
      <c r="E889" s="99" t="s">
        <v>703</v>
      </c>
      <c r="F889" s="99" t="s">
        <v>1514</v>
      </c>
      <c r="G889" s="116">
        <v>1.0</v>
      </c>
      <c r="H889" s="116">
        <v>1.0</v>
      </c>
      <c r="I889" s="116">
        <v>1.0</v>
      </c>
      <c r="J889" s="116">
        <v>1.0</v>
      </c>
      <c r="K889" s="116">
        <v>1.0</v>
      </c>
      <c r="L889" s="116">
        <v>1.0</v>
      </c>
      <c r="M889" s="116">
        <v>1.0</v>
      </c>
      <c r="N889" s="116">
        <v>1.0</v>
      </c>
      <c r="O889" s="116">
        <v>1.0</v>
      </c>
      <c r="P889" s="116">
        <v>1.0</v>
      </c>
      <c r="Q889" s="116">
        <v>1.0</v>
      </c>
      <c r="R889" s="109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115">
        <v>417.0</v>
      </c>
      <c r="B890" s="99" t="s">
        <v>1799</v>
      </c>
      <c r="C890" s="116" t="s">
        <v>108</v>
      </c>
      <c r="D890" s="119">
        <v>37698.0</v>
      </c>
      <c r="E890" s="99" t="s">
        <v>1800</v>
      </c>
      <c r="F890" s="99" t="s">
        <v>1801</v>
      </c>
      <c r="G890" s="116">
        <v>1.0</v>
      </c>
      <c r="H890" s="116">
        <v>1.0</v>
      </c>
      <c r="I890" s="116">
        <v>1.0</v>
      </c>
      <c r="J890" s="116">
        <v>1.0</v>
      </c>
      <c r="K890" s="116">
        <v>1.0</v>
      </c>
      <c r="L890" s="116">
        <v>1.0</v>
      </c>
      <c r="M890" s="116">
        <v>1.0</v>
      </c>
      <c r="N890" s="116">
        <v>1.0</v>
      </c>
      <c r="O890" s="116">
        <v>1.0</v>
      </c>
      <c r="P890" s="116">
        <v>1.0</v>
      </c>
      <c r="Q890" s="116">
        <v>1.0</v>
      </c>
      <c r="R890" s="109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115">
        <v>418.0</v>
      </c>
      <c r="B891" s="99" t="s">
        <v>379</v>
      </c>
      <c r="C891" s="116" t="s">
        <v>108</v>
      </c>
      <c r="D891" s="117">
        <v>33889.0</v>
      </c>
      <c r="E891" s="99" t="s">
        <v>1773</v>
      </c>
      <c r="F891" s="99" t="s">
        <v>1802</v>
      </c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09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115">
        <v>419.0</v>
      </c>
      <c r="B892" s="99" t="s">
        <v>322</v>
      </c>
      <c r="C892" s="116" t="s">
        <v>108</v>
      </c>
      <c r="D892" s="119">
        <v>30509.0</v>
      </c>
      <c r="E892" s="99" t="s">
        <v>1803</v>
      </c>
      <c r="F892" s="99" t="s">
        <v>1804</v>
      </c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09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115">
        <v>420.0</v>
      </c>
      <c r="B893" s="99" t="s">
        <v>1805</v>
      </c>
      <c r="C893" s="116" t="s">
        <v>108</v>
      </c>
      <c r="D893" s="119">
        <v>34740.0</v>
      </c>
      <c r="E893" s="99" t="s">
        <v>1806</v>
      </c>
      <c r="F893" s="99" t="s">
        <v>1807</v>
      </c>
      <c r="G893" s="116">
        <v>1.0</v>
      </c>
      <c r="H893" s="116">
        <v>1.0</v>
      </c>
      <c r="I893" s="116">
        <v>1.0</v>
      </c>
      <c r="J893" s="116">
        <v>1.0</v>
      </c>
      <c r="K893" s="116">
        <v>1.0</v>
      </c>
      <c r="L893" s="116">
        <v>1.0</v>
      </c>
      <c r="M893" s="116">
        <v>1.0</v>
      </c>
      <c r="N893" s="116">
        <v>1.0</v>
      </c>
      <c r="O893" s="116">
        <v>1.0</v>
      </c>
      <c r="P893" s="116">
        <v>1.0</v>
      </c>
      <c r="Q893" s="116">
        <v>1.0</v>
      </c>
      <c r="R893" s="109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115">
        <v>421.0</v>
      </c>
      <c r="B894" s="99" t="s">
        <v>579</v>
      </c>
      <c r="C894" s="116" t="s">
        <v>108</v>
      </c>
      <c r="D894" s="117">
        <v>32860.0</v>
      </c>
      <c r="E894" s="108"/>
      <c r="F894" s="10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09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115">
        <v>422.0</v>
      </c>
      <c r="B895" s="99" t="s">
        <v>1808</v>
      </c>
      <c r="C895" s="116" t="s">
        <v>108</v>
      </c>
      <c r="D895" s="117">
        <v>44484.0</v>
      </c>
      <c r="E895" s="108"/>
      <c r="F895" s="10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09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115">
        <v>423.0</v>
      </c>
      <c r="B896" s="99" t="s">
        <v>1809</v>
      </c>
      <c r="C896" s="116" t="s">
        <v>108</v>
      </c>
      <c r="D896" s="119">
        <v>36791.0</v>
      </c>
      <c r="E896" s="108"/>
      <c r="F896" s="10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09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115">
        <v>424.0</v>
      </c>
      <c r="B897" s="99" t="s">
        <v>593</v>
      </c>
      <c r="C897" s="116" t="s">
        <v>108</v>
      </c>
      <c r="D897" s="119">
        <v>30625.0</v>
      </c>
      <c r="E897" s="99" t="s">
        <v>1236</v>
      </c>
      <c r="F897" s="99" t="s">
        <v>1237</v>
      </c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09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115">
        <v>425.0</v>
      </c>
      <c r="B898" s="99" t="s">
        <v>298</v>
      </c>
      <c r="C898" s="116" t="s">
        <v>108</v>
      </c>
      <c r="D898" s="119">
        <v>32541.0</v>
      </c>
      <c r="E898" s="108"/>
      <c r="F898" s="108"/>
      <c r="G898" s="116">
        <v>1.0</v>
      </c>
      <c r="H898" s="116">
        <v>1.0</v>
      </c>
      <c r="I898" s="116">
        <v>1.0</v>
      </c>
      <c r="J898" s="116">
        <v>1.0</v>
      </c>
      <c r="K898" s="116">
        <v>1.0</v>
      </c>
      <c r="L898" s="116">
        <v>1.0</v>
      </c>
      <c r="M898" s="116">
        <v>1.0</v>
      </c>
      <c r="N898" s="116">
        <v>1.0</v>
      </c>
      <c r="O898" s="116">
        <v>1.0</v>
      </c>
      <c r="P898" s="116">
        <v>1.0</v>
      </c>
      <c r="Q898" s="118"/>
      <c r="R898" s="109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115">
        <v>426.0</v>
      </c>
      <c r="B899" s="99" t="s">
        <v>425</v>
      </c>
      <c r="C899" s="116" t="s">
        <v>108</v>
      </c>
      <c r="D899" s="119">
        <v>31611.0</v>
      </c>
      <c r="E899" s="99" t="s">
        <v>1236</v>
      </c>
      <c r="F899" s="99" t="s">
        <v>1237</v>
      </c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09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115">
        <v>427.0</v>
      </c>
      <c r="B900" s="99" t="s">
        <v>1810</v>
      </c>
      <c r="C900" s="116" t="s">
        <v>108</v>
      </c>
      <c r="D900" s="117">
        <v>30265.0</v>
      </c>
      <c r="E900" s="99" t="s">
        <v>166</v>
      </c>
      <c r="F900" s="99" t="s">
        <v>1509</v>
      </c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09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115">
        <v>428.0</v>
      </c>
      <c r="B901" s="99" t="s">
        <v>1811</v>
      </c>
      <c r="C901" s="116" t="s">
        <v>108</v>
      </c>
      <c r="D901" s="119">
        <v>34898.0</v>
      </c>
      <c r="E901" s="99" t="s">
        <v>1812</v>
      </c>
      <c r="F901" s="99" t="s">
        <v>1506</v>
      </c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09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115">
        <v>429.0</v>
      </c>
      <c r="B902" s="99" t="s">
        <v>597</v>
      </c>
      <c r="C902" s="116" t="s">
        <v>108</v>
      </c>
      <c r="D902" s="119">
        <v>30058.0</v>
      </c>
      <c r="E902" s="99" t="s">
        <v>1813</v>
      </c>
      <c r="F902" s="99" t="s">
        <v>1610</v>
      </c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09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115">
        <v>430.0</v>
      </c>
      <c r="B903" s="99" t="s">
        <v>1814</v>
      </c>
      <c r="C903" s="116" t="s">
        <v>108</v>
      </c>
      <c r="D903" s="119">
        <v>30577.0</v>
      </c>
      <c r="E903" s="108"/>
      <c r="F903" s="10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09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115">
        <v>431.0</v>
      </c>
      <c r="B904" s="99" t="s">
        <v>319</v>
      </c>
      <c r="C904" s="116" t="s">
        <v>108</v>
      </c>
      <c r="D904" s="119">
        <v>32820.0</v>
      </c>
      <c r="E904" s="99" t="s">
        <v>1280</v>
      </c>
      <c r="F904" s="99" t="s">
        <v>1632</v>
      </c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09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115">
        <v>432.0</v>
      </c>
      <c r="B905" s="99" t="s">
        <v>1815</v>
      </c>
      <c r="C905" s="116" t="s">
        <v>108</v>
      </c>
      <c r="D905" s="119">
        <v>36264.0</v>
      </c>
      <c r="E905" s="99" t="s">
        <v>1816</v>
      </c>
      <c r="F905" s="99" t="s">
        <v>1817</v>
      </c>
      <c r="G905" s="118"/>
      <c r="H905" s="118"/>
      <c r="I905" s="118"/>
      <c r="J905" s="118"/>
      <c r="K905" s="118"/>
      <c r="L905" s="118"/>
      <c r="M905" s="118"/>
      <c r="N905" s="118"/>
      <c r="O905" s="116">
        <v>1.0</v>
      </c>
      <c r="P905" s="116">
        <v>1.0</v>
      </c>
      <c r="Q905" s="118"/>
      <c r="R905" s="109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115">
        <v>433.0</v>
      </c>
      <c r="B906" s="99" t="s">
        <v>367</v>
      </c>
      <c r="C906" s="116" t="s">
        <v>108</v>
      </c>
      <c r="D906" s="119">
        <v>31907.0</v>
      </c>
      <c r="E906" s="99" t="s">
        <v>1818</v>
      </c>
      <c r="F906" s="10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09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115">
        <v>434.0</v>
      </c>
      <c r="B907" s="99" t="s">
        <v>1819</v>
      </c>
      <c r="C907" s="116" t="s">
        <v>108</v>
      </c>
      <c r="D907" s="119">
        <v>35698.0</v>
      </c>
      <c r="E907" s="108"/>
      <c r="F907" s="10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09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115">
        <v>435.0</v>
      </c>
      <c r="B908" s="99" t="s">
        <v>1820</v>
      </c>
      <c r="C908" s="116" t="s">
        <v>108</v>
      </c>
      <c r="D908" s="119">
        <v>31048.0</v>
      </c>
      <c r="E908" s="108"/>
      <c r="F908" s="10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09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115">
        <v>436.0</v>
      </c>
      <c r="B909" s="99" t="s">
        <v>666</v>
      </c>
      <c r="C909" s="116" t="s">
        <v>108</v>
      </c>
      <c r="D909" s="119">
        <v>33353.0</v>
      </c>
      <c r="E909" s="99" t="s">
        <v>1821</v>
      </c>
      <c r="F909" s="99" t="s">
        <v>1378</v>
      </c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09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115">
        <v>437.0</v>
      </c>
      <c r="B910" s="99" t="s">
        <v>443</v>
      </c>
      <c r="C910" s="116" t="s">
        <v>108</v>
      </c>
      <c r="D910" s="119">
        <v>32813.0</v>
      </c>
      <c r="E910" s="108"/>
      <c r="F910" s="10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09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115">
        <v>438.0</v>
      </c>
      <c r="B911" s="99" t="s">
        <v>1822</v>
      </c>
      <c r="C911" s="116" t="s">
        <v>108</v>
      </c>
      <c r="D911" s="119">
        <v>33365.0</v>
      </c>
      <c r="E911" s="99" t="s">
        <v>1823</v>
      </c>
      <c r="F911" s="99" t="s">
        <v>1824</v>
      </c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09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115">
        <v>439.0</v>
      </c>
      <c r="B912" s="99" t="s">
        <v>1825</v>
      </c>
      <c r="C912" s="116" t="s">
        <v>108</v>
      </c>
      <c r="D912" s="119">
        <v>37048.0</v>
      </c>
      <c r="E912" s="99" t="s">
        <v>670</v>
      </c>
      <c r="F912" s="99" t="s">
        <v>671</v>
      </c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09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115">
        <v>440.0</v>
      </c>
      <c r="B913" s="99" t="s">
        <v>674</v>
      </c>
      <c r="C913" s="116" t="s">
        <v>108</v>
      </c>
      <c r="D913" s="119">
        <v>30714.0</v>
      </c>
      <c r="E913" s="108"/>
      <c r="F913" s="10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09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115">
        <v>441.0</v>
      </c>
      <c r="B914" s="99" t="s">
        <v>1826</v>
      </c>
      <c r="C914" s="116" t="s">
        <v>108</v>
      </c>
      <c r="D914" s="119">
        <v>30289.0</v>
      </c>
      <c r="E914" s="108"/>
      <c r="F914" s="10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09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115">
        <v>442.0</v>
      </c>
      <c r="B915" s="99" t="s">
        <v>1414</v>
      </c>
      <c r="C915" s="116" t="s">
        <v>108</v>
      </c>
      <c r="D915" s="119">
        <v>30755.0</v>
      </c>
      <c r="E915" s="108"/>
      <c r="F915" s="10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09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115">
        <v>443.0</v>
      </c>
      <c r="B916" s="99" t="s">
        <v>1827</v>
      </c>
      <c r="C916" s="116" t="s">
        <v>108</v>
      </c>
      <c r="D916" s="117">
        <v>30271.0</v>
      </c>
      <c r="E916" s="108"/>
      <c r="F916" s="10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09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115">
        <v>444.0</v>
      </c>
      <c r="B917" s="99" t="s">
        <v>1414</v>
      </c>
      <c r="C917" s="116" t="s">
        <v>108</v>
      </c>
      <c r="D917" s="119">
        <v>30263.0</v>
      </c>
      <c r="E917" s="108"/>
      <c r="F917" s="10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09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115">
        <v>445.0</v>
      </c>
      <c r="B918" s="99" t="s">
        <v>1828</v>
      </c>
      <c r="C918" s="116" t="s">
        <v>108</v>
      </c>
      <c r="D918" s="117">
        <v>36525.0</v>
      </c>
      <c r="E918" s="99" t="s">
        <v>1310</v>
      </c>
      <c r="F918" s="99" t="s">
        <v>1311</v>
      </c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09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115">
        <v>446.0</v>
      </c>
      <c r="B919" s="99" t="s">
        <v>663</v>
      </c>
      <c r="C919" s="116" t="s">
        <v>108</v>
      </c>
      <c r="D919" s="117">
        <v>31733.0</v>
      </c>
      <c r="E919" s="99" t="s">
        <v>1150</v>
      </c>
      <c r="F919" s="99" t="s">
        <v>1416</v>
      </c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09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115">
        <v>447.0</v>
      </c>
      <c r="B920" s="99" t="s">
        <v>1829</v>
      </c>
      <c r="C920" s="116" t="s">
        <v>108</v>
      </c>
      <c r="D920" s="119">
        <v>37084.0</v>
      </c>
      <c r="E920" s="99" t="s">
        <v>1830</v>
      </c>
      <c r="F920" s="99" t="s">
        <v>1831</v>
      </c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09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115">
        <v>448.0</v>
      </c>
      <c r="B921" s="99" t="s">
        <v>1832</v>
      </c>
      <c r="C921" s="116" t="s">
        <v>108</v>
      </c>
      <c r="D921" s="119">
        <v>36978.0</v>
      </c>
      <c r="E921" s="108"/>
      <c r="F921" s="99" t="s">
        <v>1833</v>
      </c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09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115">
        <v>449.0</v>
      </c>
      <c r="B922" s="99" t="s">
        <v>1834</v>
      </c>
      <c r="C922" s="116" t="s">
        <v>108</v>
      </c>
      <c r="D922" s="119">
        <v>31110.0</v>
      </c>
      <c r="E922" s="108"/>
      <c r="F922" s="10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09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115">
        <v>450.0</v>
      </c>
      <c r="B923" s="99" t="s">
        <v>1835</v>
      </c>
      <c r="C923" s="116" t="s">
        <v>108</v>
      </c>
      <c r="D923" s="119">
        <v>36167.0</v>
      </c>
      <c r="E923" s="99" t="s">
        <v>1836</v>
      </c>
      <c r="F923" s="99" t="s">
        <v>1837</v>
      </c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09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115">
        <v>451.0</v>
      </c>
      <c r="B924" s="99" t="s">
        <v>625</v>
      </c>
      <c r="C924" s="116" t="s">
        <v>108</v>
      </c>
      <c r="D924" s="117">
        <v>30273.0</v>
      </c>
      <c r="E924" s="108"/>
      <c r="F924" s="10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09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115">
        <v>452.0</v>
      </c>
      <c r="B925" s="99" t="s">
        <v>1838</v>
      </c>
      <c r="C925" s="116" t="s">
        <v>108</v>
      </c>
      <c r="D925" s="119">
        <v>31089.0</v>
      </c>
      <c r="E925" s="108"/>
      <c r="F925" s="10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09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115">
        <v>453.0</v>
      </c>
      <c r="B926" s="99" t="s">
        <v>1839</v>
      </c>
      <c r="C926" s="116" t="s">
        <v>108</v>
      </c>
      <c r="D926" s="119">
        <v>35091.0</v>
      </c>
      <c r="E926" s="108"/>
      <c r="F926" s="10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09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115">
        <v>454.0</v>
      </c>
      <c r="B927" s="99" t="s">
        <v>1840</v>
      </c>
      <c r="C927" s="116" t="s">
        <v>108</v>
      </c>
      <c r="D927" s="119">
        <v>33942.0</v>
      </c>
      <c r="E927" s="108"/>
      <c r="F927" s="10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09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115">
        <v>455.0</v>
      </c>
      <c r="B928" s="99" t="s">
        <v>307</v>
      </c>
      <c r="C928" s="116" t="s">
        <v>108</v>
      </c>
      <c r="D928" s="117">
        <v>36830.0</v>
      </c>
      <c r="E928" s="99" t="s">
        <v>364</v>
      </c>
      <c r="F928" s="99" t="s">
        <v>1841</v>
      </c>
      <c r="G928" s="118"/>
      <c r="H928" s="118"/>
      <c r="I928" s="118"/>
      <c r="J928" s="118"/>
      <c r="K928" s="118"/>
      <c r="L928" s="118"/>
      <c r="M928" s="118"/>
      <c r="N928" s="118"/>
      <c r="O928" s="116">
        <v>1.0</v>
      </c>
      <c r="P928" s="116">
        <v>1.0</v>
      </c>
      <c r="Q928" s="116">
        <v>1.0</v>
      </c>
      <c r="R928" s="109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115">
        <v>456.0</v>
      </c>
      <c r="B929" s="99" t="s">
        <v>400</v>
      </c>
      <c r="C929" s="116" t="s">
        <v>108</v>
      </c>
      <c r="D929" s="119">
        <v>32701.0</v>
      </c>
      <c r="E929" s="99" t="s">
        <v>1621</v>
      </c>
      <c r="F929" s="99" t="s">
        <v>1555</v>
      </c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09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115">
        <v>457.0</v>
      </c>
      <c r="B930" s="99" t="s">
        <v>1842</v>
      </c>
      <c r="C930" s="116" t="s">
        <v>108</v>
      </c>
      <c r="D930" s="117">
        <v>30669.0</v>
      </c>
      <c r="E930" s="99" t="s">
        <v>1843</v>
      </c>
      <c r="F930" s="99" t="s">
        <v>1249</v>
      </c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09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115">
        <v>458.0</v>
      </c>
      <c r="B931" s="99" t="s">
        <v>1844</v>
      </c>
      <c r="C931" s="116" t="s">
        <v>108</v>
      </c>
      <c r="D931" s="119">
        <v>38853.0</v>
      </c>
      <c r="E931" s="99" t="s">
        <v>1845</v>
      </c>
      <c r="F931" s="99" t="s">
        <v>1846</v>
      </c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09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115">
        <v>459.0</v>
      </c>
      <c r="B932" s="99" t="s">
        <v>1847</v>
      </c>
      <c r="C932" s="116" t="s">
        <v>108</v>
      </c>
      <c r="D932" s="119">
        <v>39161.0</v>
      </c>
      <c r="E932" s="99" t="s">
        <v>1848</v>
      </c>
      <c r="F932" s="99" t="s">
        <v>1849</v>
      </c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09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115">
        <v>460.0</v>
      </c>
      <c r="B933" s="99" t="s">
        <v>647</v>
      </c>
      <c r="C933" s="116" t="s">
        <v>108</v>
      </c>
      <c r="D933" s="117">
        <v>33192.0</v>
      </c>
      <c r="E933" s="99" t="s">
        <v>1850</v>
      </c>
      <c r="F933" s="99" t="s">
        <v>1851</v>
      </c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09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115">
        <v>461.0</v>
      </c>
      <c r="B934" s="99" t="s">
        <v>185</v>
      </c>
      <c r="C934" s="116" t="s">
        <v>108</v>
      </c>
      <c r="D934" s="119">
        <v>38262.0</v>
      </c>
      <c r="E934" s="99" t="s">
        <v>694</v>
      </c>
      <c r="F934" s="99" t="s">
        <v>695</v>
      </c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09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115">
        <v>462.0</v>
      </c>
      <c r="B935" s="99" t="s">
        <v>694</v>
      </c>
      <c r="C935" s="116" t="s">
        <v>108</v>
      </c>
      <c r="D935" s="119">
        <v>30423.0</v>
      </c>
      <c r="E935" s="99" t="s">
        <v>1374</v>
      </c>
      <c r="F935" s="99" t="s">
        <v>1375</v>
      </c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09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115">
        <v>463.0</v>
      </c>
      <c r="B936" s="99" t="s">
        <v>1852</v>
      </c>
      <c r="C936" s="116" t="s">
        <v>108</v>
      </c>
      <c r="D936" s="119">
        <v>34977.0</v>
      </c>
      <c r="E936" s="99" t="s">
        <v>1853</v>
      </c>
      <c r="F936" s="99" t="s">
        <v>1519</v>
      </c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09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115">
        <v>464.0</v>
      </c>
      <c r="B937" s="99" t="s">
        <v>1676</v>
      </c>
      <c r="C937" s="116" t="s">
        <v>108</v>
      </c>
      <c r="D937" s="119">
        <v>31118.0</v>
      </c>
      <c r="E937" s="99" t="s">
        <v>1677</v>
      </c>
      <c r="F937" s="99" t="s">
        <v>177</v>
      </c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09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115">
        <v>465.0</v>
      </c>
      <c r="B938" s="99" t="s">
        <v>187</v>
      </c>
      <c r="C938" s="116" t="s">
        <v>108</v>
      </c>
      <c r="D938" s="119">
        <v>36797.0</v>
      </c>
      <c r="E938" s="99" t="s">
        <v>606</v>
      </c>
      <c r="F938" s="99" t="s">
        <v>1359</v>
      </c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6">
        <v>1.0</v>
      </c>
      <c r="R938" s="109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115">
        <v>466.0</v>
      </c>
      <c r="B939" s="99" t="s">
        <v>1854</v>
      </c>
      <c r="C939" s="116" t="s">
        <v>108</v>
      </c>
      <c r="D939" s="119">
        <v>38248.0</v>
      </c>
      <c r="E939" s="99" t="s">
        <v>1539</v>
      </c>
      <c r="F939" s="99" t="s">
        <v>1522</v>
      </c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09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115">
        <v>467.0</v>
      </c>
      <c r="B940" s="99" t="s">
        <v>416</v>
      </c>
      <c r="C940" s="116" t="s">
        <v>108</v>
      </c>
      <c r="D940" s="117">
        <v>30681.0</v>
      </c>
      <c r="E940" s="99" t="s">
        <v>1530</v>
      </c>
      <c r="F940" s="99" t="s">
        <v>1855</v>
      </c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09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115">
        <v>468.0</v>
      </c>
      <c r="B941" s="99" t="s">
        <v>736</v>
      </c>
      <c r="C941" s="116" t="s">
        <v>108</v>
      </c>
      <c r="D941" s="119">
        <v>32898.0</v>
      </c>
      <c r="E941" s="99" t="s">
        <v>1234</v>
      </c>
      <c r="F941" s="99" t="s">
        <v>1235</v>
      </c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09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115">
        <v>469.0</v>
      </c>
      <c r="B942" s="99" t="s">
        <v>1856</v>
      </c>
      <c r="C942" s="116" t="s">
        <v>108</v>
      </c>
      <c r="D942" s="119">
        <v>38587.0</v>
      </c>
      <c r="E942" s="99" t="s">
        <v>1857</v>
      </c>
      <c r="F942" s="99" t="s">
        <v>1524</v>
      </c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09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115">
        <v>470.0</v>
      </c>
      <c r="B943" s="99" t="s">
        <v>1858</v>
      </c>
      <c r="C943" s="116" t="s">
        <v>108</v>
      </c>
      <c r="D943" s="119">
        <v>34036.0</v>
      </c>
      <c r="E943" s="99" t="s">
        <v>1160</v>
      </c>
      <c r="F943" s="99" t="s">
        <v>1859</v>
      </c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09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115">
        <v>471.0</v>
      </c>
      <c r="B944" s="99" t="s">
        <v>1860</v>
      </c>
      <c r="C944" s="116" t="s">
        <v>108</v>
      </c>
      <c r="D944" s="119">
        <v>38991.0</v>
      </c>
      <c r="E944" s="99" t="s">
        <v>609</v>
      </c>
      <c r="F944" s="99" t="s">
        <v>610</v>
      </c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09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115">
        <v>472.0</v>
      </c>
      <c r="B945" s="99" t="s">
        <v>386</v>
      </c>
      <c r="C945" s="116" t="s">
        <v>108</v>
      </c>
      <c r="D945" s="119">
        <v>30142.0</v>
      </c>
      <c r="E945" s="99" t="s">
        <v>1527</v>
      </c>
      <c r="F945" s="99" t="s">
        <v>1528</v>
      </c>
      <c r="G945" s="118"/>
      <c r="H945" s="118"/>
      <c r="I945" s="118"/>
      <c r="J945" s="118"/>
      <c r="K945" s="118"/>
      <c r="L945" s="118"/>
      <c r="M945" s="118"/>
      <c r="N945" s="118"/>
      <c r="O945" s="118"/>
      <c r="P945" s="116">
        <v>1.0</v>
      </c>
      <c r="Q945" s="118"/>
      <c r="R945" s="109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115">
        <v>473.0</v>
      </c>
      <c r="B946" s="99" t="s">
        <v>1861</v>
      </c>
      <c r="C946" s="116" t="s">
        <v>108</v>
      </c>
      <c r="D946" s="119">
        <v>33384.0</v>
      </c>
      <c r="E946" s="99" t="s">
        <v>1170</v>
      </c>
      <c r="F946" s="99" t="s">
        <v>1171</v>
      </c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09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115">
        <v>474.0</v>
      </c>
      <c r="B947" s="99" t="s">
        <v>169</v>
      </c>
      <c r="C947" s="116" t="s">
        <v>108</v>
      </c>
      <c r="D947" s="119">
        <v>35899.0</v>
      </c>
      <c r="E947" s="99" t="s">
        <v>1862</v>
      </c>
      <c r="F947" s="99" t="s">
        <v>1863</v>
      </c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09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115">
        <v>475.0</v>
      </c>
      <c r="B948" s="99" t="s">
        <v>790</v>
      </c>
      <c r="C948" s="116" t="s">
        <v>108</v>
      </c>
      <c r="D948" s="119">
        <v>32269.0</v>
      </c>
      <c r="E948" s="108"/>
      <c r="F948" s="10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09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115">
        <v>476.0</v>
      </c>
      <c r="B949" s="99" t="s">
        <v>1864</v>
      </c>
      <c r="C949" s="116" t="s">
        <v>108</v>
      </c>
      <c r="D949" s="119">
        <v>31291.0</v>
      </c>
      <c r="E949" s="108"/>
      <c r="F949" s="10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09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115">
        <v>477.0</v>
      </c>
      <c r="B950" s="99" t="s">
        <v>1865</v>
      </c>
      <c r="C950" s="116" t="s">
        <v>108</v>
      </c>
      <c r="D950" s="117">
        <v>31726.0</v>
      </c>
      <c r="E950" s="99" t="s">
        <v>1762</v>
      </c>
      <c r="F950" s="99" t="s">
        <v>1420</v>
      </c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09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115">
        <v>478.0</v>
      </c>
      <c r="B951" s="99" t="s">
        <v>781</v>
      </c>
      <c r="C951" s="116" t="s">
        <v>108</v>
      </c>
      <c r="D951" s="119">
        <v>35471.0</v>
      </c>
      <c r="E951" s="99" t="s">
        <v>1341</v>
      </c>
      <c r="F951" s="99" t="s">
        <v>1342</v>
      </c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09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115">
        <v>479.0</v>
      </c>
      <c r="B952" s="99" t="s">
        <v>1866</v>
      </c>
      <c r="C952" s="116" t="s">
        <v>108</v>
      </c>
      <c r="D952" s="119">
        <v>32603.0</v>
      </c>
      <c r="E952" s="108"/>
      <c r="F952" s="108"/>
      <c r="G952" s="118"/>
      <c r="H952" s="118"/>
      <c r="I952" s="118"/>
      <c r="J952" s="118"/>
      <c r="K952" s="118"/>
      <c r="L952" s="118"/>
      <c r="M952" s="118"/>
      <c r="N952" s="118"/>
      <c r="O952" s="116">
        <v>1.0</v>
      </c>
      <c r="P952" s="118"/>
      <c r="Q952" s="116">
        <v>1.0</v>
      </c>
      <c r="R952" s="109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115">
        <v>480.0</v>
      </c>
      <c r="B953" s="99" t="s">
        <v>409</v>
      </c>
      <c r="C953" s="116" t="s">
        <v>108</v>
      </c>
      <c r="D953" s="119">
        <v>34138.0</v>
      </c>
      <c r="E953" s="108"/>
      <c r="F953" s="99" t="s">
        <v>1867</v>
      </c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09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115">
        <v>481.0</v>
      </c>
      <c r="B954" s="99" t="s">
        <v>1839</v>
      </c>
      <c r="C954" s="116" t="s">
        <v>1868</v>
      </c>
      <c r="D954" s="119">
        <v>35071.0</v>
      </c>
      <c r="E954" s="108"/>
      <c r="F954" s="108"/>
      <c r="G954" s="118"/>
      <c r="H954" s="118"/>
      <c r="I954" s="118"/>
      <c r="J954" s="118"/>
      <c r="K954" s="118"/>
      <c r="L954" s="116">
        <v>1.0</v>
      </c>
      <c r="M954" s="118"/>
      <c r="N954" s="116">
        <v>1.0</v>
      </c>
      <c r="O954" s="116">
        <v>1.0</v>
      </c>
      <c r="P954" s="118"/>
      <c r="Q954" s="116">
        <v>1.0</v>
      </c>
      <c r="R954" s="109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115">
        <v>482.0</v>
      </c>
      <c r="B955" s="99" t="s">
        <v>304</v>
      </c>
      <c r="C955" s="116" t="s">
        <v>108</v>
      </c>
      <c r="D955" s="119">
        <v>36342.0</v>
      </c>
      <c r="E955" s="108"/>
      <c r="F955" s="108"/>
      <c r="G955" s="118"/>
      <c r="H955" s="118"/>
      <c r="I955" s="118"/>
      <c r="J955" s="116">
        <v>1.0</v>
      </c>
      <c r="K955" s="116">
        <v>1.0</v>
      </c>
      <c r="L955" s="118"/>
      <c r="M955" s="118"/>
      <c r="N955" s="118"/>
      <c r="O955" s="116">
        <v>1.0</v>
      </c>
      <c r="P955" s="116">
        <v>1.0</v>
      </c>
      <c r="Q955" s="116">
        <v>1.0</v>
      </c>
      <c r="R955" s="109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115">
        <v>483.0</v>
      </c>
      <c r="B956" s="99" t="s">
        <v>1869</v>
      </c>
      <c r="C956" s="116" t="s">
        <v>108</v>
      </c>
      <c r="D956" s="119">
        <v>36372.0</v>
      </c>
      <c r="E956" s="99" t="s">
        <v>1749</v>
      </c>
      <c r="F956" s="99" t="s">
        <v>1750</v>
      </c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09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115">
        <v>484.0</v>
      </c>
      <c r="B957" s="99" t="s">
        <v>1870</v>
      </c>
      <c r="C957" s="116" t="s">
        <v>108</v>
      </c>
      <c r="D957" s="119">
        <v>38133.0</v>
      </c>
      <c r="E957" s="99" t="s">
        <v>1871</v>
      </c>
      <c r="F957" s="99" t="s">
        <v>1872</v>
      </c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09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115">
        <v>485.0</v>
      </c>
      <c r="B958" s="99" t="s">
        <v>1771</v>
      </c>
      <c r="C958" s="116" t="s">
        <v>108</v>
      </c>
      <c r="D958" s="117">
        <v>26962.0</v>
      </c>
      <c r="E958" s="105" t="s">
        <v>1493</v>
      </c>
      <c r="F958" s="105" t="s">
        <v>1494</v>
      </c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09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115">
        <v>486.0</v>
      </c>
      <c r="B959" s="99" t="s">
        <v>1394</v>
      </c>
      <c r="C959" s="116" t="s">
        <v>108</v>
      </c>
      <c r="D959" s="153">
        <v>26278.0</v>
      </c>
      <c r="E959" s="108"/>
      <c r="F959" s="108"/>
      <c r="G959" s="154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09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115">
        <v>487.0</v>
      </c>
      <c r="B960" s="99" t="s">
        <v>567</v>
      </c>
      <c r="C960" s="116" t="s">
        <v>108</v>
      </c>
      <c r="D960" s="119">
        <v>28978.0</v>
      </c>
      <c r="E960" s="147" t="s">
        <v>1493</v>
      </c>
      <c r="F960" s="147" t="s">
        <v>1494</v>
      </c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09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115">
        <v>488.0</v>
      </c>
      <c r="B961" s="99" t="s">
        <v>1377</v>
      </c>
      <c r="C961" s="116" t="s">
        <v>108</v>
      </c>
      <c r="D961" s="119">
        <v>27135.0</v>
      </c>
      <c r="E961" s="99" t="s">
        <v>1873</v>
      </c>
      <c r="F961" s="99" t="s">
        <v>1462</v>
      </c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09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115">
        <v>489.0</v>
      </c>
      <c r="B962" s="99" t="s">
        <v>1374</v>
      </c>
      <c r="C962" s="116" t="s">
        <v>108</v>
      </c>
      <c r="D962" s="119">
        <v>24726.0</v>
      </c>
      <c r="E962" s="108"/>
      <c r="F962" s="99" t="s">
        <v>1469</v>
      </c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09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115">
        <v>490.0</v>
      </c>
      <c r="B963" s="99" t="s">
        <v>576</v>
      </c>
      <c r="C963" s="116" t="s">
        <v>108</v>
      </c>
      <c r="D963" s="119">
        <v>27987.0</v>
      </c>
      <c r="E963" s="108"/>
      <c r="F963" s="10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09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115">
        <v>491.0</v>
      </c>
      <c r="B964" s="99" t="s">
        <v>1403</v>
      </c>
      <c r="C964" s="116" t="s">
        <v>108</v>
      </c>
      <c r="D964" s="119">
        <v>25601.0</v>
      </c>
      <c r="E964" s="108"/>
      <c r="F964" s="10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09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115">
        <v>492.0</v>
      </c>
      <c r="B965" s="99" t="s">
        <v>606</v>
      </c>
      <c r="C965" s="116" t="s">
        <v>108</v>
      </c>
      <c r="D965" s="119">
        <v>26569.0</v>
      </c>
      <c r="E965" s="99" t="s">
        <v>1772</v>
      </c>
      <c r="F965" s="99" t="s">
        <v>1518</v>
      </c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09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115">
        <v>493.0</v>
      </c>
      <c r="B966" s="99" t="s">
        <v>1723</v>
      </c>
      <c r="C966" s="116" t="s">
        <v>108</v>
      </c>
      <c r="D966" s="119">
        <v>25423.0</v>
      </c>
      <c r="E966" s="99" t="s">
        <v>1813</v>
      </c>
      <c r="F966" s="99" t="s">
        <v>1610</v>
      </c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09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115">
        <v>494.0</v>
      </c>
      <c r="B967" s="99" t="s">
        <v>585</v>
      </c>
      <c r="C967" s="116" t="s">
        <v>108</v>
      </c>
      <c r="D967" s="119">
        <v>28502.0</v>
      </c>
      <c r="E967" s="99" t="s">
        <v>1874</v>
      </c>
      <c r="F967" s="99" t="s">
        <v>1438</v>
      </c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09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115">
        <v>495.0</v>
      </c>
      <c r="B968" s="99" t="s">
        <v>1209</v>
      </c>
      <c r="C968" s="116" t="s">
        <v>108</v>
      </c>
      <c r="D968" s="119">
        <v>25787.0</v>
      </c>
      <c r="E968" s="99" t="s">
        <v>1236</v>
      </c>
      <c r="F968" s="99" t="s">
        <v>1501</v>
      </c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09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115">
        <v>496.0</v>
      </c>
      <c r="B969" s="99" t="s">
        <v>314</v>
      </c>
      <c r="C969" s="116" t="s">
        <v>108</v>
      </c>
      <c r="D969" s="119">
        <v>28954.0</v>
      </c>
      <c r="E969" s="108"/>
      <c r="F969" s="10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09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115">
        <v>497.0</v>
      </c>
      <c r="B970" s="99" t="s">
        <v>1263</v>
      </c>
      <c r="C970" s="116" t="s">
        <v>108</v>
      </c>
      <c r="D970" s="119">
        <v>28233.0</v>
      </c>
      <c r="E970" s="108"/>
      <c r="F970" s="10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09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115">
        <v>498.0</v>
      </c>
      <c r="B971" s="99" t="s">
        <v>1875</v>
      </c>
      <c r="C971" s="116" t="s">
        <v>108</v>
      </c>
      <c r="D971" s="119">
        <v>26330.0</v>
      </c>
      <c r="E971" s="99" t="s">
        <v>1150</v>
      </c>
      <c r="F971" s="10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09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115">
        <v>499.0</v>
      </c>
      <c r="B972" s="99" t="s">
        <v>681</v>
      </c>
      <c r="C972" s="116" t="s">
        <v>108</v>
      </c>
      <c r="D972" s="117">
        <v>26645.0</v>
      </c>
      <c r="E972" s="99" t="s">
        <v>1876</v>
      </c>
      <c r="F972" s="99" t="s">
        <v>1877</v>
      </c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09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115">
        <v>500.0</v>
      </c>
      <c r="B973" s="99" t="s">
        <v>1353</v>
      </c>
      <c r="C973" s="116" t="s">
        <v>108</v>
      </c>
      <c r="D973" s="119">
        <v>24560.0</v>
      </c>
      <c r="E973" s="99" t="s">
        <v>1772</v>
      </c>
      <c r="F973" s="99" t="s">
        <v>1518</v>
      </c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09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115">
        <v>501.0</v>
      </c>
      <c r="B974" s="99" t="s">
        <v>1367</v>
      </c>
      <c r="C974" s="116" t="s">
        <v>108</v>
      </c>
      <c r="D974" s="117">
        <v>27727.0</v>
      </c>
      <c r="E974" s="99" t="s">
        <v>1554</v>
      </c>
      <c r="F974" s="99" t="s">
        <v>1878</v>
      </c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09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115">
        <v>502.0</v>
      </c>
      <c r="B975" s="99" t="s">
        <v>703</v>
      </c>
      <c r="C975" s="116" t="s">
        <v>108</v>
      </c>
      <c r="D975" s="119">
        <v>28995.0</v>
      </c>
      <c r="E975" s="108"/>
      <c r="F975" s="10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09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115">
        <v>503.0</v>
      </c>
      <c r="B976" s="99" t="s">
        <v>670</v>
      </c>
      <c r="C976" s="116" t="s">
        <v>108</v>
      </c>
      <c r="D976" s="119">
        <v>28001.0</v>
      </c>
      <c r="E976" s="99" t="s">
        <v>1879</v>
      </c>
      <c r="F976" s="99" t="s">
        <v>1880</v>
      </c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09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115">
        <v>504.0</v>
      </c>
      <c r="B977" s="99" t="s">
        <v>1408</v>
      </c>
      <c r="C977" s="116" t="s">
        <v>108</v>
      </c>
      <c r="D977" s="117">
        <v>25857.0</v>
      </c>
      <c r="E977" s="108"/>
      <c r="F977" s="10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09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115">
        <v>505.0</v>
      </c>
      <c r="B978" s="99" t="s">
        <v>1150</v>
      </c>
      <c r="C978" s="116" t="s">
        <v>108</v>
      </c>
      <c r="D978" s="117">
        <v>25123.0</v>
      </c>
      <c r="E978" s="108"/>
      <c r="F978" s="10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09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115">
        <v>506.0</v>
      </c>
      <c r="B979" s="99" t="s">
        <v>656</v>
      </c>
      <c r="C979" s="116" t="s">
        <v>108</v>
      </c>
      <c r="D979" s="119">
        <v>24569.0</v>
      </c>
      <c r="E979" s="99" t="s">
        <v>1881</v>
      </c>
      <c r="F979" s="99" t="s">
        <v>1882</v>
      </c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09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115">
        <v>507.0</v>
      </c>
      <c r="B980" s="99" t="s">
        <v>1369</v>
      </c>
      <c r="C980" s="116" t="s">
        <v>108</v>
      </c>
      <c r="D980" s="119">
        <v>26551.0</v>
      </c>
      <c r="E980" s="99" t="s">
        <v>1209</v>
      </c>
      <c r="F980" s="99" t="s">
        <v>1227</v>
      </c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09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115">
        <v>508.0</v>
      </c>
      <c r="B981" s="99" t="s">
        <v>636</v>
      </c>
      <c r="C981" s="116" t="s">
        <v>108</v>
      </c>
      <c r="D981" s="119">
        <v>27299.0</v>
      </c>
      <c r="E981" s="99" t="s">
        <v>1883</v>
      </c>
      <c r="F981" s="99" t="s">
        <v>1624</v>
      </c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09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115">
        <v>509.0</v>
      </c>
      <c r="B982" s="99" t="s">
        <v>640</v>
      </c>
      <c r="C982" s="116" t="s">
        <v>108</v>
      </c>
      <c r="D982" s="119">
        <v>27988.0</v>
      </c>
      <c r="E982" s="99" t="s">
        <v>1600</v>
      </c>
      <c r="F982" s="99" t="s">
        <v>1636</v>
      </c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09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115">
        <v>510.0</v>
      </c>
      <c r="B983" s="99" t="s">
        <v>684</v>
      </c>
      <c r="C983" s="116" t="s">
        <v>108</v>
      </c>
      <c r="D983" s="119">
        <v>28569.0</v>
      </c>
      <c r="E983" s="99" t="s">
        <v>1363</v>
      </c>
      <c r="F983" s="99" t="s">
        <v>1364</v>
      </c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09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115">
        <v>511.0</v>
      </c>
      <c r="B984" s="99" t="s">
        <v>1848</v>
      </c>
      <c r="C984" s="116" t="s">
        <v>108</v>
      </c>
      <c r="D984" s="119">
        <v>28257.0</v>
      </c>
      <c r="E984" s="99" t="s">
        <v>1411</v>
      </c>
      <c r="F984" s="99" t="s">
        <v>1518</v>
      </c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09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115">
        <v>512.0</v>
      </c>
      <c r="B985" s="99" t="s">
        <v>688</v>
      </c>
      <c r="C985" s="116" t="s">
        <v>108</v>
      </c>
      <c r="D985" s="119">
        <v>28659.0</v>
      </c>
      <c r="E985" s="99" t="s">
        <v>1884</v>
      </c>
      <c r="F985" s="99" t="s">
        <v>1885</v>
      </c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09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115">
        <v>513.0</v>
      </c>
      <c r="B986" s="99" t="s">
        <v>1174</v>
      </c>
      <c r="C986" s="116" t="s">
        <v>108</v>
      </c>
      <c r="D986" s="119">
        <v>26520.0</v>
      </c>
      <c r="E986" s="99" t="s">
        <v>1886</v>
      </c>
      <c r="F986" s="99" t="s">
        <v>1887</v>
      </c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09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115">
        <v>514.0</v>
      </c>
      <c r="B987" s="99" t="s">
        <v>643</v>
      </c>
      <c r="C987" s="116" t="s">
        <v>108</v>
      </c>
      <c r="D987" s="119">
        <v>28903.0</v>
      </c>
      <c r="E987" s="99" t="s">
        <v>1888</v>
      </c>
      <c r="F987" s="99" t="s">
        <v>1889</v>
      </c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09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115">
        <v>515.0</v>
      </c>
      <c r="B988" s="99" t="s">
        <v>1890</v>
      </c>
      <c r="C988" s="116" t="s">
        <v>108</v>
      </c>
      <c r="D988" s="119">
        <v>25770.0</v>
      </c>
      <c r="E988" s="99" t="s">
        <v>1891</v>
      </c>
      <c r="F988" s="99" t="s">
        <v>1892</v>
      </c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09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115">
        <v>516.0</v>
      </c>
      <c r="B989" s="99" t="s">
        <v>1893</v>
      </c>
      <c r="C989" s="116" t="s">
        <v>108</v>
      </c>
      <c r="D989" s="119">
        <v>28643.0</v>
      </c>
      <c r="E989" s="99" t="s">
        <v>1894</v>
      </c>
      <c r="F989" s="99" t="s">
        <v>1895</v>
      </c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09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115">
        <v>517.0</v>
      </c>
      <c r="B990" s="99" t="s">
        <v>1333</v>
      </c>
      <c r="C990" s="116" t="s">
        <v>108</v>
      </c>
      <c r="D990" s="119">
        <v>24978.0</v>
      </c>
      <c r="E990" s="99" t="s">
        <v>1497</v>
      </c>
      <c r="F990" s="99" t="s">
        <v>1498</v>
      </c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09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115">
        <v>518.0</v>
      </c>
      <c r="B991" s="99" t="s">
        <v>733</v>
      </c>
      <c r="C991" s="116" t="s">
        <v>108</v>
      </c>
      <c r="D991" s="117">
        <v>27683.0</v>
      </c>
      <c r="E991" s="99" t="s">
        <v>1896</v>
      </c>
      <c r="F991" s="99" t="s">
        <v>1566</v>
      </c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09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115">
        <v>519.0</v>
      </c>
      <c r="B992" s="99" t="s">
        <v>1897</v>
      </c>
      <c r="C992" s="116" t="s">
        <v>108</v>
      </c>
      <c r="D992" s="119">
        <v>28329.0</v>
      </c>
      <c r="E992" s="108"/>
      <c r="F992" s="10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09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115">
        <v>520.0</v>
      </c>
      <c r="B993" s="99" t="s">
        <v>742</v>
      </c>
      <c r="C993" s="116" t="s">
        <v>108</v>
      </c>
      <c r="D993" s="119">
        <v>27621.0</v>
      </c>
      <c r="E993" s="99" t="s">
        <v>1898</v>
      </c>
      <c r="F993" s="99" t="s">
        <v>1623</v>
      </c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09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115">
        <v>521.0</v>
      </c>
      <c r="B994" s="99" t="s">
        <v>1231</v>
      </c>
      <c r="C994" s="116" t="s">
        <v>108</v>
      </c>
      <c r="D994" s="119">
        <v>24736.0</v>
      </c>
      <c r="E994" s="99" t="s">
        <v>1898</v>
      </c>
      <c r="F994" s="99" t="s">
        <v>1623</v>
      </c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09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115">
        <v>522.0</v>
      </c>
      <c r="B995" s="99" t="s">
        <v>609</v>
      </c>
      <c r="C995" s="116" t="s">
        <v>108</v>
      </c>
      <c r="D995" s="117">
        <v>29142.0</v>
      </c>
      <c r="E995" s="108"/>
      <c r="F995" s="10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09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115">
        <v>523.0</v>
      </c>
      <c r="B996" s="99" t="s">
        <v>620</v>
      </c>
      <c r="C996" s="116" t="s">
        <v>108</v>
      </c>
      <c r="D996" s="119">
        <v>28374.0</v>
      </c>
      <c r="E996" s="99" t="s">
        <v>1539</v>
      </c>
      <c r="F996" s="99" t="s">
        <v>1899</v>
      </c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09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115">
        <v>524.0</v>
      </c>
      <c r="B997" s="99" t="s">
        <v>703</v>
      </c>
      <c r="C997" s="116" t="s">
        <v>108</v>
      </c>
      <c r="D997" s="119">
        <v>26044.0</v>
      </c>
      <c r="E997" s="99" t="s">
        <v>1900</v>
      </c>
      <c r="F997" s="99" t="s">
        <v>1901</v>
      </c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09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115">
        <v>525.0</v>
      </c>
      <c r="B998" s="99" t="s">
        <v>425</v>
      </c>
      <c r="C998" s="116" t="s">
        <v>108</v>
      </c>
      <c r="D998" s="119">
        <v>27578.0</v>
      </c>
      <c r="E998" s="99" t="s">
        <v>1657</v>
      </c>
      <c r="F998" s="99" t="s">
        <v>1498</v>
      </c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09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115">
        <v>526.0</v>
      </c>
      <c r="B999" s="99" t="s">
        <v>697</v>
      </c>
      <c r="C999" s="116" t="s">
        <v>108</v>
      </c>
      <c r="D999" s="119">
        <v>27408.0</v>
      </c>
      <c r="E999" s="99" t="s">
        <v>1902</v>
      </c>
      <c r="F999" s="99" t="s">
        <v>1618</v>
      </c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09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115">
        <v>527.0</v>
      </c>
      <c r="B1000" s="99" t="s">
        <v>1323</v>
      </c>
      <c r="C1000" s="116" t="s">
        <v>108</v>
      </c>
      <c r="D1000" s="119">
        <v>24262.0</v>
      </c>
      <c r="E1000" s="99" t="s">
        <v>1903</v>
      </c>
      <c r="F1000" s="99" t="s">
        <v>1904</v>
      </c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09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115">
        <v>528.0</v>
      </c>
      <c r="B1001" s="99" t="s">
        <v>1168</v>
      </c>
      <c r="C1001" s="116" t="s">
        <v>108</v>
      </c>
      <c r="D1001" s="119">
        <v>25004.0</v>
      </c>
      <c r="E1001" s="99" t="s">
        <v>1884</v>
      </c>
      <c r="F1001" s="99" t="s">
        <v>1885</v>
      </c>
      <c r="G1001" s="118"/>
      <c r="H1001" s="118"/>
      <c r="I1001" s="118"/>
      <c r="J1001" s="118"/>
      <c r="K1001" s="118"/>
      <c r="L1001" s="118"/>
      <c r="M1001" s="118"/>
      <c r="N1001" s="118"/>
      <c r="O1001" s="118"/>
      <c r="P1001" s="118"/>
      <c r="Q1001" s="118"/>
      <c r="R1001" s="109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115">
        <v>529.0</v>
      </c>
      <c r="B1002" s="99" t="s">
        <v>1905</v>
      </c>
      <c r="C1002" s="116" t="s">
        <v>108</v>
      </c>
      <c r="D1002" s="119">
        <v>26902.0</v>
      </c>
      <c r="E1002" s="99" t="s">
        <v>1898</v>
      </c>
      <c r="F1002" s="99" t="s">
        <v>1623</v>
      </c>
      <c r="G1002" s="118"/>
      <c r="H1002" s="118"/>
      <c r="I1002" s="118"/>
      <c r="J1002" s="118"/>
      <c r="K1002" s="118"/>
      <c r="L1002" s="118"/>
      <c r="M1002" s="118"/>
      <c r="N1002" s="118"/>
      <c r="O1002" s="118"/>
      <c r="P1002" s="118"/>
      <c r="Q1002" s="118"/>
      <c r="R1002" s="109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115">
        <v>530.0</v>
      </c>
      <c r="B1003" s="99" t="s">
        <v>1906</v>
      </c>
      <c r="C1003" s="116" t="s">
        <v>108</v>
      </c>
      <c r="D1003" s="117">
        <v>25552.0</v>
      </c>
      <c r="E1003" s="99" t="s">
        <v>1160</v>
      </c>
      <c r="F1003" s="99" t="s">
        <v>1161</v>
      </c>
      <c r="G1003" s="118"/>
      <c r="H1003" s="118"/>
      <c r="I1003" s="118"/>
      <c r="J1003" s="118"/>
      <c r="K1003" s="118"/>
      <c r="L1003" s="118"/>
      <c r="M1003" s="118"/>
      <c r="N1003" s="118"/>
      <c r="O1003" s="118"/>
      <c r="P1003" s="118"/>
      <c r="Q1003" s="118"/>
      <c r="R1003" s="109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115">
        <v>531.0</v>
      </c>
      <c r="B1004" s="99" t="s">
        <v>1871</v>
      </c>
      <c r="C1004" s="116" t="s">
        <v>108</v>
      </c>
      <c r="D1004" s="117">
        <v>27677.0</v>
      </c>
      <c r="E1004" s="99" t="s">
        <v>1523</v>
      </c>
      <c r="F1004" s="99" t="s">
        <v>1907</v>
      </c>
      <c r="G1004" s="118"/>
      <c r="H1004" s="118"/>
      <c r="I1004" s="118"/>
      <c r="J1004" s="118"/>
      <c r="K1004" s="118"/>
      <c r="L1004" s="118"/>
      <c r="M1004" s="118"/>
      <c r="N1004" s="118"/>
      <c r="O1004" s="118"/>
      <c r="P1004" s="118"/>
      <c r="Q1004" s="118"/>
      <c r="R1004" s="109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115">
        <v>532.0</v>
      </c>
      <c r="B1005" s="99" t="s">
        <v>1769</v>
      </c>
      <c r="C1005" s="116" t="s">
        <v>108</v>
      </c>
      <c r="D1005" s="119">
        <v>29087.0</v>
      </c>
      <c r="E1005" s="99" t="s">
        <v>1605</v>
      </c>
      <c r="F1005" s="99" t="s">
        <v>1908</v>
      </c>
      <c r="G1005" s="118"/>
      <c r="H1005" s="118"/>
      <c r="I1005" s="118"/>
      <c r="J1005" s="118"/>
      <c r="K1005" s="118"/>
      <c r="L1005" s="118"/>
      <c r="M1005" s="118"/>
      <c r="N1005" s="118"/>
      <c r="O1005" s="118"/>
      <c r="P1005" s="118"/>
      <c r="Q1005" s="118"/>
      <c r="R1005" s="109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115">
        <v>533.0</v>
      </c>
      <c r="B1006" s="99" t="s">
        <v>730</v>
      </c>
      <c r="C1006" s="116" t="s">
        <v>108</v>
      </c>
      <c r="D1006" s="119">
        <v>28000.0</v>
      </c>
      <c r="E1006" s="99" t="s">
        <v>1443</v>
      </c>
      <c r="F1006" s="99" t="s">
        <v>1444</v>
      </c>
      <c r="G1006" s="118"/>
      <c r="H1006" s="118"/>
      <c r="I1006" s="118"/>
      <c r="J1006" s="118"/>
      <c r="K1006" s="118"/>
      <c r="L1006" s="118"/>
      <c r="M1006" s="118"/>
      <c r="N1006" s="118"/>
      <c r="O1006" s="118"/>
      <c r="P1006" s="118"/>
      <c r="Q1006" s="118"/>
      <c r="R1006" s="109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115">
        <v>534.0</v>
      </c>
      <c r="B1007" s="99" t="s">
        <v>1502</v>
      </c>
      <c r="C1007" s="116" t="s">
        <v>108</v>
      </c>
      <c r="D1007" s="119">
        <v>26096.0</v>
      </c>
      <c r="E1007" s="99" t="s">
        <v>1874</v>
      </c>
      <c r="F1007" s="99" t="s">
        <v>1438</v>
      </c>
      <c r="G1007" s="118"/>
      <c r="H1007" s="118"/>
      <c r="I1007" s="118"/>
      <c r="J1007" s="118"/>
      <c r="K1007" s="118"/>
      <c r="L1007" s="118"/>
      <c r="M1007" s="118"/>
      <c r="N1007" s="118"/>
      <c r="O1007" s="118"/>
      <c r="P1007" s="118"/>
      <c r="Q1007" s="118"/>
      <c r="R1007" s="109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115">
        <v>535.0</v>
      </c>
      <c r="B1008" s="99" t="s">
        <v>1245</v>
      </c>
      <c r="C1008" s="116" t="s">
        <v>108</v>
      </c>
      <c r="D1008" s="119">
        <v>25424.0</v>
      </c>
      <c r="E1008" s="99" t="s">
        <v>1909</v>
      </c>
      <c r="F1008" s="99" t="s">
        <v>1910</v>
      </c>
      <c r="G1008" s="118"/>
      <c r="H1008" s="118"/>
      <c r="I1008" s="118"/>
      <c r="J1008" s="118"/>
      <c r="K1008" s="118"/>
      <c r="L1008" s="118"/>
      <c r="M1008" s="118"/>
      <c r="N1008" s="118"/>
      <c r="O1008" s="118"/>
      <c r="P1008" s="118"/>
      <c r="Q1008" s="118"/>
      <c r="R1008" s="109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115">
        <v>536.0</v>
      </c>
      <c r="B1009" s="99" t="s">
        <v>1433</v>
      </c>
      <c r="C1009" s="116" t="s">
        <v>108</v>
      </c>
      <c r="D1009" s="119">
        <v>24332.0</v>
      </c>
      <c r="E1009" s="99" t="s">
        <v>1911</v>
      </c>
      <c r="F1009" s="99" t="s">
        <v>1912</v>
      </c>
      <c r="G1009" s="118"/>
      <c r="H1009" s="118"/>
      <c r="I1009" s="118"/>
      <c r="J1009" s="118"/>
      <c r="K1009" s="118"/>
      <c r="L1009" s="118"/>
      <c r="M1009" s="118"/>
      <c r="N1009" s="118"/>
      <c r="O1009" s="118"/>
      <c r="P1009" s="118"/>
      <c r="Q1009" s="118"/>
      <c r="R1009" s="109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115">
        <v>537.0</v>
      </c>
      <c r="B1010" s="99" t="s">
        <v>1257</v>
      </c>
      <c r="C1010" s="116" t="s">
        <v>108</v>
      </c>
      <c r="D1010" s="119">
        <v>26461.0</v>
      </c>
      <c r="E1010" s="99" t="s">
        <v>1320</v>
      </c>
      <c r="F1010" s="99" t="s">
        <v>1575</v>
      </c>
      <c r="G1010" s="118"/>
      <c r="H1010" s="118"/>
      <c r="I1010" s="118"/>
      <c r="J1010" s="118"/>
      <c r="K1010" s="118"/>
      <c r="L1010" s="118"/>
      <c r="M1010" s="118"/>
      <c r="N1010" s="118"/>
      <c r="O1010" s="118"/>
      <c r="P1010" s="118"/>
      <c r="Q1010" s="118"/>
      <c r="R1010" s="109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115">
        <v>538.0</v>
      </c>
      <c r="B1011" s="99" t="s">
        <v>1762</v>
      </c>
      <c r="C1011" s="116" t="s">
        <v>108</v>
      </c>
      <c r="D1011" s="119">
        <v>28586.0</v>
      </c>
      <c r="E1011" s="99" t="s">
        <v>1898</v>
      </c>
      <c r="F1011" s="99" t="s">
        <v>1412</v>
      </c>
      <c r="G1011" s="118"/>
      <c r="H1011" s="118"/>
      <c r="I1011" s="118"/>
      <c r="J1011" s="118"/>
      <c r="K1011" s="118"/>
      <c r="L1011" s="118"/>
      <c r="M1011" s="118"/>
      <c r="N1011" s="118"/>
      <c r="O1011" s="118"/>
      <c r="P1011" s="118"/>
      <c r="Q1011" s="118"/>
      <c r="R1011" s="109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115">
        <v>539.0</v>
      </c>
      <c r="B1012" s="99" t="s">
        <v>1913</v>
      </c>
      <c r="C1012" s="116" t="s">
        <v>108</v>
      </c>
      <c r="D1012" s="119">
        <v>26308.0</v>
      </c>
      <c r="E1012" s="99" t="s">
        <v>1553</v>
      </c>
      <c r="F1012" s="99" t="s">
        <v>1914</v>
      </c>
      <c r="G1012" s="118"/>
      <c r="H1012" s="118"/>
      <c r="I1012" s="118"/>
      <c r="J1012" s="118"/>
      <c r="K1012" s="118"/>
      <c r="L1012" s="118"/>
      <c r="M1012" s="118"/>
      <c r="N1012" s="118"/>
      <c r="O1012" s="118"/>
      <c r="P1012" s="118"/>
      <c r="Q1012" s="118"/>
      <c r="R1012" s="109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115">
        <v>540.0</v>
      </c>
      <c r="B1013" s="99" t="s">
        <v>1283</v>
      </c>
      <c r="C1013" s="116" t="s">
        <v>108</v>
      </c>
      <c r="D1013" s="119">
        <v>25954.0</v>
      </c>
      <c r="E1013" s="99" t="s">
        <v>1915</v>
      </c>
      <c r="F1013" s="99" t="s">
        <v>1506</v>
      </c>
      <c r="G1013" s="118"/>
      <c r="H1013" s="118"/>
      <c r="I1013" s="118"/>
      <c r="J1013" s="118"/>
      <c r="K1013" s="118"/>
      <c r="L1013" s="118"/>
      <c r="M1013" s="118"/>
      <c r="N1013" s="118"/>
      <c r="O1013" s="118"/>
      <c r="P1013" s="118"/>
      <c r="Q1013" s="118"/>
      <c r="R1013" s="109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115">
        <v>541.0</v>
      </c>
      <c r="B1014" s="99" t="s">
        <v>1916</v>
      </c>
      <c r="C1014" s="116" t="s">
        <v>108</v>
      </c>
      <c r="D1014" s="119">
        <v>28656.0</v>
      </c>
      <c r="E1014" s="99" t="s">
        <v>1917</v>
      </c>
      <c r="F1014" s="99" t="s">
        <v>1918</v>
      </c>
      <c r="G1014" s="118"/>
      <c r="H1014" s="118"/>
      <c r="I1014" s="118"/>
      <c r="J1014" s="118"/>
      <c r="K1014" s="118"/>
      <c r="L1014" s="118"/>
      <c r="M1014" s="118"/>
      <c r="N1014" s="118"/>
      <c r="O1014" s="118"/>
      <c r="P1014" s="118"/>
      <c r="Q1014" s="118"/>
      <c r="R1014" s="109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115">
        <v>542.0</v>
      </c>
      <c r="B1015" s="99" t="s">
        <v>1273</v>
      </c>
      <c r="C1015" s="116" t="s">
        <v>108</v>
      </c>
      <c r="D1015" s="119">
        <v>25026.0</v>
      </c>
      <c r="E1015" s="99" t="s">
        <v>1919</v>
      </c>
      <c r="F1015" s="99" t="s">
        <v>1920</v>
      </c>
      <c r="G1015" s="118"/>
      <c r="H1015" s="118"/>
      <c r="I1015" s="118"/>
      <c r="J1015" s="118"/>
      <c r="K1015" s="118"/>
      <c r="L1015" s="118"/>
      <c r="M1015" s="118"/>
      <c r="N1015" s="118"/>
      <c r="O1015" s="118"/>
      <c r="P1015" s="118"/>
      <c r="Q1015" s="118"/>
      <c r="R1015" s="109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115">
        <v>543.0</v>
      </c>
      <c r="B1016" s="99" t="s">
        <v>1301</v>
      </c>
      <c r="C1016" s="116" t="s">
        <v>108</v>
      </c>
      <c r="D1016" s="119">
        <v>25076.0</v>
      </c>
      <c r="E1016" s="99" t="s">
        <v>1921</v>
      </c>
      <c r="F1016" s="99" t="s">
        <v>1922</v>
      </c>
      <c r="G1016" s="118"/>
      <c r="H1016" s="118"/>
      <c r="I1016" s="118"/>
      <c r="J1016" s="118"/>
      <c r="K1016" s="118"/>
      <c r="L1016" s="118"/>
      <c r="M1016" s="118"/>
      <c r="N1016" s="118"/>
      <c r="O1016" s="118"/>
      <c r="P1016" s="118"/>
      <c r="Q1016" s="118"/>
      <c r="R1016" s="109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115">
        <v>544.0</v>
      </c>
      <c r="B1017" s="99" t="s">
        <v>1923</v>
      </c>
      <c r="C1017" s="116" t="s">
        <v>108</v>
      </c>
      <c r="D1017" s="119">
        <v>27902.0</v>
      </c>
      <c r="E1017" s="99" t="s">
        <v>1530</v>
      </c>
      <c r="F1017" s="99" t="s">
        <v>1531</v>
      </c>
      <c r="G1017" s="118"/>
      <c r="H1017" s="118"/>
      <c r="I1017" s="118"/>
      <c r="J1017" s="118"/>
      <c r="K1017" s="118"/>
      <c r="L1017" s="118"/>
      <c r="M1017" s="118"/>
      <c r="N1017" s="118"/>
      <c r="O1017" s="118"/>
      <c r="P1017" s="118"/>
      <c r="Q1017" s="118"/>
      <c r="R1017" s="109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115">
        <v>545.0</v>
      </c>
      <c r="B1018" s="99" t="s">
        <v>795</v>
      </c>
      <c r="C1018" s="116" t="s">
        <v>108</v>
      </c>
      <c r="D1018" s="119">
        <v>29107.0</v>
      </c>
      <c r="E1018" s="99" t="s">
        <v>1924</v>
      </c>
      <c r="F1018" s="99" t="s">
        <v>1925</v>
      </c>
      <c r="G1018" s="118"/>
      <c r="H1018" s="118"/>
      <c r="I1018" s="118"/>
      <c r="J1018" s="118"/>
      <c r="K1018" s="118"/>
      <c r="L1018" s="118"/>
      <c r="M1018" s="118"/>
      <c r="N1018" s="118"/>
      <c r="O1018" s="118"/>
      <c r="P1018" s="118"/>
      <c r="Q1018" s="118"/>
      <c r="R1018" s="109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115">
        <v>546.0</v>
      </c>
      <c r="B1019" s="99" t="s">
        <v>1183</v>
      </c>
      <c r="C1019" s="116" t="s">
        <v>108</v>
      </c>
      <c r="D1019" s="119">
        <v>25604.0</v>
      </c>
      <c r="E1019" s="99" t="s">
        <v>1926</v>
      </c>
      <c r="F1019" s="99" t="s">
        <v>1927</v>
      </c>
      <c r="G1019" s="118"/>
      <c r="H1019" s="118"/>
      <c r="I1019" s="118"/>
      <c r="J1019" s="118"/>
      <c r="K1019" s="118"/>
      <c r="L1019" s="118"/>
      <c r="M1019" s="118"/>
      <c r="N1019" s="118"/>
      <c r="O1019" s="118"/>
      <c r="P1019" s="118"/>
      <c r="Q1019" s="118"/>
      <c r="R1019" s="109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115">
        <v>547.0</v>
      </c>
      <c r="B1020" s="99" t="s">
        <v>1928</v>
      </c>
      <c r="C1020" s="116" t="s">
        <v>108</v>
      </c>
      <c r="D1020" s="119">
        <v>25471.0</v>
      </c>
      <c r="E1020" s="99" t="s">
        <v>1929</v>
      </c>
      <c r="F1020" s="99" t="s">
        <v>1930</v>
      </c>
      <c r="G1020" s="118"/>
      <c r="H1020" s="118"/>
      <c r="I1020" s="118"/>
      <c r="J1020" s="118"/>
      <c r="K1020" s="118"/>
      <c r="L1020" s="118"/>
      <c r="M1020" s="118"/>
      <c r="N1020" s="118"/>
      <c r="O1020" s="118"/>
      <c r="P1020" s="118"/>
      <c r="Q1020" s="118"/>
      <c r="R1020" s="109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115">
        <v>548.0</v>
      </c>
      <c r="B1021" s="99" t="s">
        <v>1702</v>
      </c>
      <c r="C1021" s="116" t="s">
        <v>108</v>
      </c>
      <c r="D1021" s="119">
        <v>28911.0</v>
      </c>
      <c r="E1021" s="99" t="s">
        <v>1931</v>
      </c>
      <c r="F1021" s="99" t="s">
        <v>1932</v>
      </c>
      <c r="G1021" s="118"/>
      <c r="H1021" s="118"/>
      <c r="I1021" s="118"/>
      <c r="J1021" s="118"/>
      <c r="K1021" s="118"/>
      <c r="L1021" s="118"/>
      <c r="M1021" s="118"/>
      <c r="N1021" s="118"/>
      <c r="O1021" s="118"/>
      <c r="P1021" s="118"/>
      <c r="Q1021" s="118"/>
      <c r="R1021" s="109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115">
        <v>549.0</v>
      </c>
      <c r="B1022" s="99" t="s">
        <v>1196</v>
      </c>
      <c r="C1022" s="116" t="s">
        <v>108</v>
      </c>
      <c r="D1022" s="119">
        <v>26873.0</v>
      </c>
      <c r="E1022" s="99" t="s">
        <v>1534</v>
      </c>
      <c r="F1022" s="99" t="s">
        <v>1386</v>
      </c>
      <c r="G1022" s="118"/>
      <c r="H1022" s="118"/>
      <c r="I1022" s="118"/>
      <c r="J1022" s="118"/>
      <c r="K1022" s="118"/>
      <c r="L1022" s="118"/>
      <c r="M1022" s="118"/>
      <c r="N1022" s="118"/>
      <c r="O1022" s="118"/>
      <c r="P1022" s="118"/>
      <c r="Q1022" s="118"/>
      <c r="R1022" s="109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115">
        <v>550.0</v>
      </c>
      <c r="B1023" s="99" t="s">
        <v>804</v>
      </c>
      <c r="C1023" s="116" t="s">
        <v>108</v>
      </c>
      <c r="D1023" s="119">
        <v>28987.0</v>
      </c>
      <c r="E1023" s="99" t="s">
        <v>1209</v>
      </c>
      <c r="F1023" s="99" t="s">
        <v>1933</v>
      </c>
      <c r="G1023" s="118"/>
      <c r="H1023" s="118"/>
      <c r="I1023" s="118"/>
      <c r="J1023" s="118"/>
      <c r="K1023" s="118"/>
      <c r="L1023" s="118"/>
      <c r="M1023" s="118"/>
      <c r="N1023" s="118"/>
      <c r="O1023" s="118"/>
      <c r="P1023" s="118"/>
      <c r="Q1023" s="118"/>
      <c r="R1023" s="109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115">
        <v>551.0</v>
      </c>
      <c r="B1024" s="99" t="s">
        <v>1293</v>
      </c>
      <c r="C1024" s="116" t="s">
        <v>108</v>
      </c>
      <c r="D1024" s="119">
        <v>25070.0</v>
      </c>
      <c r="E1024" s="99" t="s">
        <v>1366</v>
      </c>
      <c r="F1024" s="99" t="s">
        <v>1934</v>
      </c>
      <c r="G1024" s="118"/>
      <c r="H1024" s="118"/>
      <c r="I1024" s="118"/>
      <c r="J1024" s="118"/>
      <c r="K1024" s="118"/>
      <c r="L1024" s="118"/>
      <c r="M1024" s="118"/>
      <c r="N1024" s="118"/>
      <c r="O1024" s="118"/>
      <c r="P1024" s="118"/>
      <c r="Q1024" s="118"/>
      <c r="R1024" s="109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115">
        <v>552.0</v>
      </c>
      <c r="B1025" s="99" t="s">
        <v>364</v>
      </c>
      <c r="C1025" s="116" t="s">
        <v>108</v>
      </c>
      <c r="D1025" s="119">
        <v>24169.0</v>
      </c>
      <c r="E1025" s="99" t="s">
        <v>1935</v>
      </c>
      <c r="F1025" s="99" t="s">
        <v>1936</v>
      </c>
      <c r="G1025" s="118"/>
      <c r="H1025" s="118"/>
      <c r="I1025" s="118"/>
      <c r="J1025" s="118"/>
      <c r="K1025" s="118"/>
      <c r="L1025" s="118"/>
      <c r="M1025" s="118"/>
      <c r="N1025" s="118"/>
      <c r="O1025" s="118"/>
      <c r="P1025" s="118"/>
      <c r="Q1025" s="118"/>
      <c r="R1025" s="109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115">
        <v>553.0</v>
      </c>
      <c r="B1026" s="99" t="s">
        <v>1937</v>
      </c>
      <c r="C1026" s="116" t="s">
        <v>108</v>
      </c>
      <c r="D1026" s="119">
        <v>26637.0</v>
      </c>
      <c r="E1026" s="99" t="s">
        <v>1938</v>
      </c>
      <c r="F1026" s="99" t="s">
        <v>1712</v>
      </c>
      <c r="G1026" s="118"/>
      <c r="H1026" s="118"/>
      <c r="I1026" s="118"/>
      <c r="J1026" s="118"/>
      <c r="K1026" s="118"/>
      <c r="L1026" s="118"/>
      <c r="M1026" s="118"/>
      <c r="N1026" s="118"/>
      <c r="O1026" s="118"/>
      <c r="P1026" s="118"/>
      <c r="Q1026" s="118"/>
      <c r="R1026" s="109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115">
        <v>554.0</v>
      </c>
      <c r="B1027" s="99" t="s">
        <v>787</v>
      </c>
      <c r="C1027" s="116" t="s">
        <v>108</v>
      </c>
      <c r="D1027" s="119">
        <v>29075.0</v>
      </c>
      <c r="E1027" s="99" t="s">
        <v>1939</v>
      </c>
      <c r="F1027" s="99" t="s">
        <v>1525</v>
      </c>
      <c r="G1027" s="118"/>
      <c r="H1027" s="118"/>
      <c r="I1027" s="118"/>
      <c r="J1027" s="118"/>
      <c r="K1027" s="118"/>
      <c r="L1027" s="118"/>
      <c r="M1027" s="118"/>
      <c r="N1027" s="118"/>
      <c r="O1027" s="118"/>
      <c r="P1027" s="118"/>
      <c r="Q1027" s="118"/>
      <c r="R1027" s="109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115">
        <v>555.0</v>
      </c>
      <c r="B1028" s="99" t="s">
        <v>1940</v>
      </c>
      <c r="C1028" s="116" t="s">
        <v>108</v>
      </c>
      <c r="D1028" s="117">
        <v>24451.0</v>
      </c>
      <c r="E1028" s="99" t="s">
        <v>1941</v>
      </c>
      <c r="F1028" s="99" t="s">
        <v>1942</v>
      </c>
      <c r="G1028" s="118"/>
      <c r="H1028" s="118"/>
      <c r="I1028" s="118"/>
      <c r="J1028" s="118"/>
      <c r="K1028" s="118"/>
      <c r="L1028" s="118"/>
      <c r="M1028" s="118"/>
      <c r="N1028" s="118"/>
      <c r="O1028" s="118"/>
      <c r="P1028" s="118"/>
      <c r="Q1028" s="118"/>
      <c r="R1028" s="109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115">
        <v>556.0</v>
      </c>
      <c r="B1029" s="99" t="s">
        <v>1206</v>
      </c>
      <c r="C1029" s="116" t="s">
        <v>108</v>
      </c>
      <c r="D1029" s="117">
        <v>25184.0</v>
      </c>
      <c r="E1029" s="99" t="s">
        <v>1943</v>
      </c>
      <c r="F1029" s="99" t="s">
        <v>1944</v>
      </c>
      <c r="G1029" s="118"/>
      <c r="H1029" s="118"/>
      <c r="I1029" s="118"/>
      <c r="J1029" s="118"/>
      <c r="K1029" s="118"/>
      <c r="L1029" s="118"/>
      <c r="M1029" s="118"/>
      <c r="N1029" s="118"/>
      <c r="O1029" s="118"/>
      <c r="P1029" s="118"/>
      <c r="Q1029" s="118"/>
      <c r="R1029" s="109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115">
        <v>557.0</v>
      </c>
      <c r="B1030" s="99" t="s">
        <v>1945</v>
      </c>
      <c r="C1030" s="116" t="s">
        <v>108</v>
      </c>
      <c r="D1030" s="119">
        <v>27190.0</v>
      </c>
      <c r="E1030" s="99" t="s">
        <v>1445</v>
      </c>
      <c r="F1030" s="99" t="s">
        <v>1192</v>
      </c>
      <c r="G1030" s="118"/>
      <c r="H1030" s="118"/>
      <c r="I1030" s="118"/>
      <c r="J1030" s="118"/>
      <c r="K1030" s="118"/>
      <c r="L1030" s="118"/>
      <c r="M1030" s="118"/>
      <c r="N1030" s="118"/>
      <c r="O1030" s="118"/>
      <c r="P1030" s="118"/>
      <c r="Q1030" s="118"/>
      <c r="R1030" s="109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115">
        <v>558.0</v>
      </c>
      <c r="B1031" s="99" t="s">
        <v>1718</v>
      </c>
      <c r="C1031" s="116" t="s">
        <v>108</v>
      </c>
      <c r="D1031" s="119">
        <v>25348.0</v>
      </c>
      <c r="E1031" s="99" t="s">
        <v>1194</v>
      </c>
      <c r="F1031" s="99" t="s">
        <v>755</v>
      </c>
      <c r="G1031" s="118"/>
      <c r="H1031" s="118"/>
      <c r="I1031" s="118"/>
      <c r="J1031" s="118"/>
      <c r="K1031" s="118"/>
      <c r="L1031" s="118"/>
      <c r="M1031" s="118"/>
      <c r="N1031" s="118"/>
      <c r="O1031" s="118"/>
      <c r="P1031" s="118"/>
      <c r="Q1031" s="118"/>
      <c r="R1031" s="109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115">
        <v>559.0</v>
      </c>
      <c r="B1032" s="99" t="s">
        <v>778</v>
      </c>
      <c r="C1032" s="116" t="s">
        <v>108</v>
      </c>
      <c r="D1032" s="119">
        <v>27990.0</v>
      </c>
      <c r="E1032" s="99" t="s">
        <v>1946</v>
      </c>
      <c r="F1032" s="99" t="s">
        <v>1947</v>
      </c>
      <c r="G1032" s="118"/>
      <c r="H1032" s="118"/>
      <c r="I1032" s="118"/>
      <c r="J1032" s="118"/>
      <c r="K1032" s="118"/>
      <c r="L1032" s="118"/>
      <c r="M1032" s="118"/>
      <c r="N1032" s="118"/>
      <c r="O1032" s="118"/>
      <c r="P1032" s="118"/>
      <c r="Q1032" s="118"/>
      <c r="R1032" s="109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115">
        <v>560.0</v>
      </c>
      <c r="B1033" s="99" t="s">
        <v>1948</v>
      </c>
      <c r="C1033" s="116" t="s">
        <v>108</v>
      </c>
      <c r="D1033" s="119">
        <v>24628.0</v>
      </c>
      <c r="E1033" s="99" t="s">
        <v>1949</v>
      </c>
      <c r="F1033" s="99" t="s">
        <v>1950</v>
      </c>
      <c r="G1033" s="118"/>
      <c r="H1033" s="118"/>
      <c r="I1033" s="118"/>
      <c r="J1033" s="118"/>
      <c r="K1033" s="118"/>
      <c r="L1033" s="118"/>
      <c r="M1033" s="118"/>
      <c r="N1033" s="118"/>
      <c r="O1033" s="118"/>
      <c r="P1033" s="118"/>
      <c r="Q1033" s="118"/>
      <c r="R1033" s="109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115">
        <v>561.0</v>
      </c>
      <c r="B1034" s="99" t="s">
        <v>1723</v>
      </c>
      <c r="C1034" s="116" t="s">
        <v>108</v>
      </c>
      <c r="D1034" s="119">
        <v>27534.0</v>
      </c>
      <c r="E1034" s="99" t="s">
        <v>1194</v>
      </c>
      <c r="F1034" s="99" t="s">
        <v>755</v>
      </c>
      <c r="G1034" s="118"/>
      <c r="H1034" s="118"/>
      <c r="I1034" s="118"/>
      <c r="J1034" s="118"/>
      <c r="K1034" s="118"/>
      <c r="L1034" s="118"/>
      <c r="M1034" s="118"/>
      <c r="N1034" s="118"/>
      <c r="O1034" s="118"/>
      <c r="P1034" s="118"/>
      <c r="Q1034" s="118"/>
      <c r="R1034" s="109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115">
        <v>562.0</v>
      </c>
      <c r="B1035" s="99" t="s">
        <v>754</v>
      </c>
      <c r="C1035" s="116" t="s">
        <v>108</v>
      </c>
      <c r="D1035" s="119">
        <v>25479.0</v>
      </c>
      <c r="E1035" s="99" t="s">
        <v>1951</v>
      </c>
      <c r="F1035" s="99" t="s">
        <v>1952</v>
      </c>
      <c r="G1035" s="118"/>
      <c r="H1035" s="118"/>
      <c r="I1035" s="118"/>
      <c r="J1035" s="118"/>
      <c r="K1035" s="118"/>
      <c r="L1035" s="118"/>
      <c r="M1035" s="118"/>
      <c r="N1035" s="118"/>
      <c r="O1035" s="118"/>
      <c r="P1035" s="118"/>
      <c r="Q1035" s="118"/>
      <c r="R1035" s="109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115">
        <v>563.0</v>
      </c>
      <c r="B1036" s="99" t="s">
        <v>1728</v>
      </c>
      <c r="C1036" s="116" t="s">
        <v>108</v>
      </c>
      <c r="D1036" s="117">
        <v>25158.0</v>
      </c>
      <c r="E1036" s="99" t="s">
        <v>1170</v>
      </c>
      <c r="F1036" s="99" t="s">
        <v>1953</v>
      </c>
      <c r="G1036" s="118"/>
      <c r="H1036" s="118"/>
      <c r="I1036" s="118"/>
      <c r="J1036" s="118"/>
      <c r="K1036" s="118"/>
      <c r="L1036" s="118"/>
      <c r="M1036" s="118"/>
      <c r="N1036" s="118"/>
      <c r="O1036" s="118"/>
      <c r="P1036" s="118"/>
      <c r="Q1036" s="118"/>
      <c r="R1036" s="109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115">
        <v>564.0</v>
      </c>
      <c r="B1037" s="99" t="s">
        <v>814</v>
      </c>
      <c r="C1037" s="116" t="s">
        <v>108</v>
      </c>
      <c r="D1037" s="119">
        <v>28578.0</v>
      </c>
      <c r="E1037" s="99" t="s">
        <v>1954</v>
      </c>
      <c r="F1037" s="99" t="s">
        <v>1955</v>
      </c>
      <c r="G1037" s="118"/>
      <c r="H1037" s="118"/>
      <c r="I1037" s="118"/>
      <c r="J1037" s="118"/>
      <c r="K1037" s="118"/>
      <c r="L1037" s="118"/>
      <c r="M1037" s="118"/>
      <c r="N1037" s="118"/>
      <c r="O1037" s="118"/>
      <c r="P1037" s="118"/>
      <c r="Q1037" s="118"/>
      <c r="R1037" s="109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115">
        <v>565.0</v>
      </c>
      <c r="B1038" s="99" t="s">
        <v>1956</v>
      </c>
      <c r="C1038" s="116" t="s">
        <v>108</v>
      </c>
      <c r="D1038" s="119">
        <v>25792.0</v>
      </c>
      <c r="E1038" s="108"/>
      <c r="F1038" s="108"/>
      <c r="G1038" s="118"/>
      <c r="H1038" s="118"/>
      <c r="I1038" s="118"/>
      <c r="J1038" s="118"/>
      <c r="K1038" s="118"/>
      <c r="L1038" s="118"/>
      <c r="M1038" s="118"/>
      <c r="N1038" s="118"/>
      <c r="O1038" s="118"/>
      <c r="P1038" s="118"/>
      <c r="Q1038" s="118"/>
      <c r="R1038" s="109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115">
        <v>566.0</v>
      </c>
      <c r="B1039" s="99" t="s">
        <v>1957</v>
      </c>
      <c r="C1039" s="116" t="s">
        <v>108</v>
      </c>
      <c r="D1039" s="119">
        <v>27466.0</v>
      </c>
      <c r="E1039" s="99" t="s">
        <v>1958</v>
      </c>
      <c r="F1039" s="99" t="s">
        <v>1959</v>
      </c>
      <c r="G1039" s="118"/>
      <c r="H1039" s="118"/>
      <c r="I1039" s="118"/>
      <c r="J1039" s="118"/>
      <c r="K1039" s="118"/>
      <c r="L1039" s="118"/>
      <c r="M1039" s="118"/>
      <c r="N1039" s="118"/>
      <c r="O1039" s="118"/>
      <c r="P1039" s="118"/>
      <c r="Q1039" s="118"/>
      <c r="R1039" s="109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115">
        <v>567.0</v>
      </c>
      <c r="B1040" s="99" t="s">
        <v>1960</v>
      </c>
      <c r="C1040" s="116" t="s">
        <v>108</v>
      </c>
      <c r="D1040" s="119">
        <v>25310.0</v>
      </c>
      <c r="E1040" s="99" t="s">
        <v>1469</v>
      </c>
      <c r="F1040" s="108"/>
      <c r="G1040" s="118"/>
      <c r="H1040" s="118"/>
      <c r="I1040" s="118"/>
      <c r="J1040" s="118"/>
      <c r="K1040" s="118"/>
      <c r="L1040" s="118"/>
      <c r="M1040" s="118"/>
      <c r="N1040" s="118"/>
      <c r="O1040" s="118"/>
      <c r="P1040" s="118"/>
      <c r="Q1040" s="118"/>
      <c r="R1040" s="109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115">
        <v>568.0</v>
      </c>
      <c r="B1041" s="99" t="s">
        <v>751</v>
      </c>
      <c r="C1041" s="116" t="s">
        <v>108</v>
      </c>
      <c r="D1041" s="119">
        <v>30908.0</v>
      </c>
      <c r="E1041" s="99" t="s">
        <v>1874</v>
      </c>
      <c r="F1041" s="99" t="s">
        <v>1961</v>
      </c>
      <c r="G1041" s="118"/>
      <c r="H1041" s="118"/>
      <c r="I1041" s="118"/>
      <c r="J1041" s="118"/>
      <c r="K1041" s="118"/>
      <c r="L1041" s="118"/>
      <c r="M1041" s="118"/>
      <c r="N1041" s="118"/>
      <c r="O1041" s="118"/>
      <c r="P1041" s="118"/>
      <c r="Q1041" s="118"/>
      <c r="R1041" s="109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115">
        <v>569.0</v>
      </c>
      <c r="B1042" s="99" t="s">
        <v>1339</v>
      </c>
      <c r="C1042" s="116" t="s">
        <v>108</v>
      </c>
      <c r="D1042" s="119">
        <v>27130.0</v>
      </c>
      <c r="E1042" s="108"/>
      <c r="F1042" s="108"/>
      <c r="G1042" s="118"/>
      <c r="H1042" s="118"/>
      <c r="I1042" s="118"/>
      <c r="J1042" s="118"/>
      <c r="K1042" s="118"/>
      <c r="L1042" s="118"/>
      <c r="M1042" s="118"/>
      <c r="N1042" s="118"/>
      <c r="O1042" s="118"/>
      <c r="P1042" s="118"/>
      <c r="Q1042" s="118"/>
      <c r="R1042" s="109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115">
        <v>570.0</v>
      </c>
      <c r="B1043" s="99" t="s">
        <v>1962</v>
      </c>
      <c r="C1043" s="116" t="s">
        <v>108</v>
      </c>
      <c r="D1043" s="119">
        <v>27707.0</v>
      </c>
      <c r="E1043" s="99" t="s">
        <v>1219</v>
      </c>
      <c r="F1043" s="99" t="s">
        <v>1963</v>
      </c>
      <c r="G1043" s="118"/>
      <c r="H1043" s="118"/>
      <c r="I1043" s="118"/>
      <c r="J1043" s="118"/>
      <c r="K1043" s="118"/>
      <c r="L1043" s="118"/>
      <c r="M1043" s="118"/>
      <c r="N1043" s="118"/>
      <c r="O1043" s="118"/>
      <c r="P1043" s="118"/>
      <c r="Q1043" s="118"/>
      <c r="R1043" s="109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115">
        <v>571.0</v>
      </c>
      <c r="B1044" s="99" t="s">
        <v>593</v>
      </c>
      <c r="C1044" s="116" t="s">
        <v>108</v>
      </c>
      <c r="D1044" s="119">
        <v>30625.0</v>
      </c>
      <c r="E1044" s="99" t="s">
        <v>1236</v>
      </c>
      <c r="F1044" s="99" t="s">
        <v>1237</v>
      </c>
      <c r="G1044" s="118"/>
      <c r="H1044" s="118"/>
      <c r="I1044" s="118"/>
      <c r="J1044" s="118"/>
      <c r="K1044" s="118"/>
      <c r="L1044" s="118"/>
      <c r="M1044" s="118"/>
      <c r="N1044" s="118"/>
      <c r="O1044" s="118"/>
      <c r="P1044" s="118"/>
      <c r="Q1044" s="118"/>
      <c r="R1044" s="109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115">
        <v>572.0</v>
      </c>
      <c r="B1045" s="99" t="s">
        <v>1964</v>
      </c>
      <c r="C1045" s="116" t="s">
        <v>108</v>
      </c>
      <c r="D1045" s="119">
        <v>24179.0</v>
      </c>
      <c r="E1045" s="108"/>
      <c r="F1045" s="108"/>
      <c r="G1045" s="118"/>
      <c r="H1045" s="118"/>
      <c r="I1045" s="118"/>
      <c r="J1045" s="118"/>
      <c r="K1045" s="118"/>
      <c r="L1045" s="118"/>
      <c r="M1045" s="118"/>
      <c r="N1045" s="118"/>
      <c r="O1045" s="118"/>
      <c r="P1045" s="118"/>
      <c r="Q1045" s="118"/>
      <c r="R1045" s="109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115">
        <v>573.0</v>
      </c>
      <c r="B1046" s="99" t="s">
        <v>1965</v>
      </c>
      <c r="C1046" s="116" t="s">
        <v>108</v>
      </c>
      <c r="D1046" s="119">
        <v>16506.0</v>
      </c>
      <c r="E1046" s="108"/>
      <c r="F1046" s="108"/>
      <c r="G1046" s="116">
        <v>1.0</v>
      </c>
      <c r="H1046" s="116">
        <v>1.0</v>
      </c>
      <c r="I1046" s="116">
        <v>1.0</v>
      </c>
      <c r="J1046" s="118"/>
      <c r="K1046" s="118"/>
      <c r="L1046" s="118"/>
      <c r="M1046" s="118"/>
      <c r="N1046" s="118"/>
      <c r="O1046" s="118"/>
      <c r="P1046" s="118"/>
      <c r="Q1046" s="118"/>
      <c r="R1046" s="109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115">
        <v>574.0</v>
      </c>
      <c r="B1047" s="99" t="s">
        <v>1396</v>
      </c>
      <c r="C1047" s="116" t="s">
        <v>108</v>
      </c>
      <c r="D1047" s="119">
        <v>20340.0</v>
      </c>
      <c r="E1047" s="108"/>
      <c r="F1047" s="99" t="s">
        <v>1966</v>
      </c>
      <c r="G1047" s="118"/>
      <c r="H1047" s="118"/>
      <c r="I1047" s="116">
        <v>1.0</v>
      </c>
      <c r="J1047" s="116">
        <v>1.0</v>
      </c>
      <c r="K1047" s="116">
        <v>1.0</v>
      </c>
      <c r="L1047" s="116">
        <v>1.0</v>
      </c>
      <c r="M1047" s="116">
        <v>1.0</v>
      </c>
      <c r="N1047" s="116">
        <v>1.0</v>
      </c>
      <c r="O1047" s="116">
        <v>1.0</v>
      </c>
      <c r="P1047" s="116">
        <v>1.0</v>
      </c>
      <c r="Q1047" s="116">
        <v>1.0</v>
      </c>
      <c r="R1047" s="109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115">
        <v>575.0</v>
      </c>
      <c r="B1048" s="99" t="s">
        <v>1310</v>
      </c>
      <c r="C1048" s="116" t="s">
        <v>108</v>
      </c>
      <c r="D1048" s="119">
        <v>23082.0</v>
      </c>
      <c r="E1048" s="99" t="s">
        <v>1903</v>
      </c>
      <c r="F1048" s="99" t="s">
        <v>1967</v>
      </c>
      <c r="G1048" s="118"/>
      <c r="H1048" s="118"/>
      <c r="I1048" s="118"/>
      <c r="J1048" s="118"/>
      <c r="K1048" s="118"/>
      <c r="L1048" s="116">
        <v>1.0</v>
      </c>
      <c r="M1048" s="116">
        <v>1.0</v>
      </c>
      <c r="N1048" s="116">
        <v>1.0</v>
      </c>
      <c r="O1048" s="116">
        <v>1.0</v>
      </c>
      <c r="P1048" s="118"/>
      <c r="Q1048" s="116">
        <v>1.0</v>
      </c>
      <c r="R1048" s="109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115">
        <v>576.0</v>
      </c>
      <c r="B1049" s="99" t="s">
        <v>1968</v>
      </c>
      <c r="C1049" s="116" t="s">
        <v>108</v>
      </c>
      <c r="D1049" s="119">
        <v>19078.0</v>
      </c>
      <c r="E1049" s="99" t="s">
        <v>1884</v>
      </c>
      <c r="F1049" s="99" t="s">
        <v>1969</v>
      </c>
      <c r="G1049" s="118"/>
      <c r="H1049" s="118"/>
      <c r="I1049" s="118"/>
      <c r="J1049" s="118"/>
      <c r="K1049" s="116">
        <v>1.0</v>
      </c>
      <c r="L1049" s="116">
        <v>1.0</v>
      </c>
      <c r="M1049" s="116">
        <v>1.0</v>
      </c>
      <c r="N1049" s="118"/>
      <c r="O1049" s="118"/>
      <c r="P1049" s="118"/>
      <c r="Q1049" s="116">
        <v>1.0</v>
      </c>
      <c r="R1049" s="109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115">
        <v>577.0</v>
      </c>
      <c r="B1050" s="99" t="s">
        <v>1399</v>
      </c>
      <c r="C1050" s="116" t="s">
        <v>108</v>
      </c>
      <c r="D1050" s="119">
        <v>22105.0</v>
      </c>
      <c r="E1050" s="108"/>
      <c r="F1050" s="108"/>
      <c r="G1050" s="116">
        <v>1.0</v>
      </c>
      <c r="H1050" s="116">
        <v>1.0</v>
      </c>
      <c r="I1050" s="116">
        <v>1.0</v>
      </c>
      <c r="J1050" s="116">
        <v>1.0</v>
      </c>
      <c r="K1050" s="116">
        <v>1.0</v>
      </c>
      <c r="L1050" s="116">
        <v>1.0</v>
      </c>
      <c r="M1050" s="116">
        <v>1.0</v>
      </c>
      <c r="N1050" s="116">
        <v>1.0</v>
      </c>
      <c r="O1050" s="116">
        <v>1.0</v>
      </c>
      <c r="P1050" s="116">
        <v>1.0</v>
      </c>
      <c r="Q1050" s="116">
        <v>1.0</v>
      </c>
      <c r="R1050" s="109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115">
        <v>578.0</v>
      </c>
      <c r="B1051" s="99" t="s">
        <v>1970</v>
      </c>
      <c r="C1051" s="116" t="s">
        <v>108</v>
      </c>
      <c r="D1051" s="117">
        <v>16760.0</v>
      </c>
      <c r="E1051" s="99" t="s">
        <v>1971</v>
      </c>
      <c r="F1051" s="99" t="s">
        <v>1972</v>
      </c>
      <c r="G1051" s="116">
        <v>1.0</v>
      </c>
      <c r="H1051" s="116">
        <v>1.0</v>
      </c>
      <c r="I1051" s="116">
        <v>1.0</v>
      </c>
      <c r="J1051" s="116">
        <v>1.0</v>
      </c>
      <c r="K1051" s="116">
        <v>1.0</v>
      </c>
      <c r="L1051" s="116">
        <v>1.0</v>
      </c>
      <c r="M1051" s="116">
        <v>1.0</v>
      </c>
      <c r="N1051" s="116">
        <v>1.0</v>
      </c>
      <c r="O1051" s="116">
        <v>1.0</v>
      </c>
      <c r="P1051" s="116">
        <v>1.0</v>
      </c>
      <c r="Q1051" s="116">
        <v>1.0</v>
      </c>
      <c r="R1051" s="109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115">
        <v>579.0</v>
      </c>
      <c r="B1052" s="99" t="s">
        <v>1356</v>
      </c>
      <c r="C1052" s="116" t="s">
        <v>108</v>
      </c>
      <c r="D1052" s="119">
        <v>23924.0</v>
      </c>
      <c r="E1052" s="99" t="s">
        <v>1884</v>
      </c>
      <c r="F1052" s="99" t="s">
        <v>1969</v>
      </c>
      <c r="G1052" s="118"/>
      <c r="H1052" s="116">
        <v>1.0</v>
      </c>
      <c r="I1052" s="116">
        <v>1.0</v>
      </c>
      <c r="J1052" s="118"/>
      <c r="K1052" s="118"/>
      <c r="L1052" s="118"/>
      <c r="M1052" s="116">
        <v>1.0</v>
      </c>
      <c r="N1052" s="116">
        <v>1.0</v>
      </c>
      <c r="O1052" s="118"/>
      <c r="P1052" s="118"/>
      <c r="Q1052" s="118"/>
      <c r="R1052" s="109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115">
        <v>580.0</v>
      </c>
      <c r="B1053" s="99" t="s">
        <v>1347</v>
      </c>
      <c r="C1053" s="116" t="s">
        <v>108</v>
      </c>
      <c r="D1053" s="119">
        <v>23915.0</v>
      </c>
      <c r="E1053" s="108"/>
      <c r="F1053" s="108"/>
      <c r="G1053" s="118"/>
      <c r="H1053" s="118"/>
      <c r="I1053" s="116">
        <v>1.0</v>
      </c>
      <c r="J1053" s="118"/>
      <c r="K1053" s="116">
        <v>1.0</v>
      </c>
      <c r="L1053" s="118"/>
      <c r="M1053" s="116">
        <v>1.0</v>
      </c>
      <c r="N1053" s="118"/>
      <c r="O1053" s="116">
        <v>1.0</v>
      </c>
      <c r="P1053" s="116">
        <v>1.0</v>
      </c>
      <c r="Q1053" s="116">
        <v>1.0</v>
      </c>
      <c r="R1053" s="109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115">
        <v>581.0</v>
      </c>
      <c r="B1054" s="99" t="s">
        <v>1242</v>
      </c>
      <c r="C1054" s="116" t="s">
        <v>108</v>
      </c>
      <c r="D1054" s="117">
        <v>21503.0</v>
      </c>
      <c r="E1054" s="99" t="s">
        <v>1973</v>
      </c>
      <c r="F1054" s="99" t="s">
        <v>1974</v>
      </c>
      <c r="G1054" s="118"/>
      <c r="H1054" s="118"/>
      <c r="I1054" s="118"/>
      <c r="J1054" s="118"/>
      <c r="K1054" s="118"/>
      <c r="L1054" s="118"/>
      <c r="M1054" s="118"/>
      <c r="N1054" s="118"/>
      <c r="O1054" s="118"/>
      <c r="P1054" s="118"/>
      <c r="Q1054" s="118"/>
      <c r="R1054" s="109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115">
        <v>582.0</v>
      </c>
      <c r="B1055" s="99" t="s">
        <v>1236</v>
      </c>
      <c r="C1055" s="116" t="s">
        <v>108</v>
      </c>
      <c r="D1055" s="119">
        <v>22984.0</v>
      </c>
      <c r="E1055" s="108"/>
      <c r="F1055" s="108"/>
      <c r="G1055" s="116">
        <v>1.0</v>
      </c>
      <c r="H1055" s="116">
        <v>1.0</v>
      </c>
      <c r="I1055" s="116">
        <v>1.0</v>
      </c>
      <c r="J1055" s="116">
        <v>1.0</v>
      </c>
      <c r="K1055" s="118"/>
      <c r="L1055" s="118"/>
      <c r="M1055" s="116">
        <v>1.0</v>
      </c>
      <c r="N1055" s="118"/>
      <c r="O1055" s="116">
        <v>1.0</v>
      </c>
      <c r="P1055" s="118"/>
      <c r="Q1055" s="116">
        <v>1.0</v>
      </c>
      <c r="R1055" s="109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115">
        <v>583.0</v>
      </c>
      <c r="B1056" s="99" t="s">
        <v>1813</v>
      </c>
      <c r="C1056" s="116" t="s">
        <v>108</v>
      </c>
      <c r="D1056" s="119">
        <v>15809.0</v>
      </c>
      <c r="E1056" s="108"/>
      <c r="F1056" s="108"/>
      <c r="G1056" s="116">
        <v>1.0</v>
      </c>
      <c r="H1056" s="116">
        <v>1.0</v>
      </c>
      <c r="I1056" s="116">
        <v>1.0</v>
      </c>
      <c r="J1056" s="116">
        <v>1.0</v>
      </c>
      <c r="K1056" s="116">
        <v>1.0</v>
      </c>
      <c r="L1056" s="116">
        <v>1.0</v>
      </c>
      <c r="M1056" s="116">
        <v>1.0</v>
      </c>
      <c r="N1056" s="116">
        <v>1.0</v>
      </c>
      <c r="O1056" s="116">
        <v>1.0</v>
      </c>
      <c r="P1056" s="116">
        <v>1.0</v>
      </c>
      <c r="Q1056" s="116">
        <v>1.0</v>
      </c>
      <c r="R1056" s="109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115">
        <v>584.0</v>
      </c>
      <c r="B1057" s="99" t="s">
        <v>1975</v>
      </c>
      <c r="C1057" s="116" t="s">
        <v>108</v>
      </c>
      <c r="D1057" s="119">
        <v>22198.0</v>
      </c>
      <c r="E1057" s="108"/>
      <c r="F1057" s="108"/>
      <c r="G1057" s="118"/>
      <c r="H1057" s="118"/>
      <c r="I1057" s="118"/>
      <c r="J1057" s="118"/>
      <c r="K1057" s="118"/>
      <c r="L1057" s="118"/>
      <c r="M1057" s="118"/>
      <c r="N1057" s="118"/>
      <c r="O1057" s="118"/>
      <c r="P1057" s="118"/>
      <c r="Q1057" s="118"/>
      <c r="R1057" s="109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115">
        <v>585.0</v>
      </c>
      <c r="B1058" s="99" t="s">
        <v>1976</v>
      </c>
      <c r="C1058" s="116" t="s">
        <v>108</v>
      </c>
      <c r="D1058" s="119">
        <v>15776.0</v>
      </c>
      <c r="E1058" s="108"/>
      <c r="F1058" s="108"/>
      <c r="G1058" s="118"/>
      <c r="H1058" s="118"/>
      <c r="I1058" s="118"/>
      <c r="J1058" s="118"/>
      <c r="K1058" s="118"/>
      <c r="L1058" s="118"/>
      <c r="M1058" s="118"/>
      <c r="N1058" s="118"/>
      <c r="O1058" s="118"/>
      <c r="P1058" s="118"/>
      <c r="Q1058" s="118"/>
      <c r="R1058" s="109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115">
        <v>586.0</v>
      </c>
      <c r="B1059" s="99" t="s">
        <v>1280</v>
      </c>
      <c r="C1059" s="116" t="s">
        <v>108</v>
      </c>
      <c r="D1059" s="119">
        <v>22141.0</v>
      </c>
      <c r="E1059" s="108"/>
      <c r="F1059" s="108"/>
      <c r="G1059" s="118"/>
      <c r="H1059" s="118"/>
      <c r="I1059" s="118"/>
      <c r="J1059" s="118"/>
      <c r="K1059" s="118"/>
      <c r="L1059" s="118"/>
      <c r="M1059" s="118"/>
      <c r="N1059" s="118"/>
      <c r="O1059" s="118"/>
      <c r="P1059" s="118"/>
      <c r="Q1059" s="118"/>
      <c r="R1059" s="109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115">
        <v>587.0</v>
      </c>
      <c r="B1060" s="99" t="s">
        <v>1816</v>
      </c>
      <c r="C1060" s="116" t="s">
        <v>108</v>
      </c>
      <c r="D1060" s="119">
        <v>22828.0</v>
      </c>
      <c r="E1060" s="99" t="s">
        <v>1921</v>
      </c>
      <c r="F1060" s="99" t="s">
        <v>1922</v>
      </c>
      <c r="G1060" s="118"/>
      <c r="H1060" s="118"/>
      <c r="I1060" s="118"/>
      <c r="J1060" s="118"/>
      <c r="K1060" s="118"/>
      <c r="L1060" s="118"/>
      <c r="M1060" s="118"/>
      <c r="N1060" s="118"/>
      <c r="O1060" s="118"/>
      <c r="P1060" s="118"/>
      <c r="Q1060" s="118"/>
      <c r="R1060" s="109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115">
        <v>588.0</v>
      </c>
      <c r="B1061" s="99" t="s">
        <v>1977</v>
      </c>
      <c r="C1061" s="116" t="s">
        <v>108</v>
      </c>
      <c r="D1061" s="119">
        <v>19756.0</v>
      </c>
      <c r="E1061" s="108"/>
      <c r="F1061" s="108"/>
      <c r="G1061" s="118"/>
      <c r="H1061" s="118"/>
      <c r="I1061" s="118"/>
      <c r="J1061" s="118"/>
      <c r="K1061" s="118"/>
      <c r="L1061" s="118"/>
      <c r="M1061" s="118"/>
      <c r="N1061" s="118"/>
      <c r="O1061" s="118"/>
      <c r="P1061" s="118"/>
      <c r="Q1061" s="118"/>
      <c r="R1061" s="109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115">
        <v>589.0</v>
      </c>
      <c r="B1062" s="99" t="s">
        <v>1628</v>
      </c>
      <c r="C1062" s="116" t="s">
        <v>108</v>
      </c>
      <c r="D1062" s="119">
        <v>23504.0</v>
      </c>
      <c r="E1062" s="108"/>
      <c r="F1062" s="108"/>
      <c r="G1062" s="116">
        <v>1.0</v>
      </c>
      <c r="H1062" s="118"/>
      <c r="I1062" s="116">
        <v>1.0</v>
      </c>
      <c r="J1062" s="116">
        <v>1.0</v>
      </c>
      <c r="K1062" s="116">
        <v>1.0</v>
      </c>
      <c r="L1062" s="116">
        <v>1.0</v>
      </c>
      <c r="M1062" s="116">
        <v>1.0</v>
      </c>
      <c r="N1062" s="116">
        <v>1.0</v>
      </c>
      <c r="O1062" s="116">
        <v>1.0</v>
      </c>
      <c r="P1062" s="116">
        <v>1.0</v>
      </c>
      <c r="Q1062" s="116">
        <v>1.0</v>
      </c>
      <c r="R1062" s="109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115">
        <v>590.0</v>
      </c>
      <c r="B1063" s="99" t="s">
        <v>1363</v>
      </c>
      <c r="C1063" s="116" t="s">
        <v>108</v>
      </c>
      <c r="D1063" s="117">
        <v>18628.0</v>
      </c>
      <c r="E1063" s="99" t="s">
        <v>1921</v>
      </c>
      <c r="F1063" s="99" t="s">
        <v>1922</v>
      </c>
      <c r="G1063" s="116">
        <v>1.0</v>
      </c>
      <c r="H1063" s="116">
        <v>1.0</v>
      </c>
      <c r="I1063" s="116">
        <v>1.0</v>
      </c>
      <c r="J1063" s="116">
        <v>1.0</v>
      </c>
      <c r="K1063" s="116">
        <v>1.0</v>
      </c>
      <c r="L1063" s="116">
        <v>1.0</v>
      </c>
      <c r="M1063" s="116">
        <v>1.0</v>
      </c>
      <c r="N1063" s="116">
        <v>1.0</v>
      </c>
      <c r="O1063" s="116">
        <v>1.0</v>
      </c>
      <c r="P1063" s="116">
        <v>1.0</v>
      </c>
      <c r="Q1063" s="116">
        <v>1.0</v>
      </c>
      <c r="R1063" s="109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115">
        <v>591.0</v>
      </c>
      <c r="B1064" s="99" t="s">
        <v>1978</v>
      </c>
      <c r="C1064" s="116" t="s">
        <v>108</v>
      </c>
      <c r="D1064" s="119">
        <v>21016.0</v>
      </c>
      <c r="E1064" s="108"/>
      <c r="F1064" s="108"/>
      <c r="G1064" s="116">
        <v>1.0</v>
      </c>
      <c r="H1064" s="116">
        <v>1.0</v>
      </c>
      <c r="I1064" s="116">
        <v>1.0</v>
      </c>
      <c r="J1064" s="116">
        <v>1.0</v>
      </c>
      <c r="K1064" s="116">
        <v>1.0</v>
      </c>
      <c r="L1064" s="116">
        <v>1.0</v>
      </c>
      <c r="M1064" s="116">
        <v>1.0</v>
      </c>
      <c r="N1064" s="116">
        <v>1.0</v>
      </c>
      <c r="O1064" s="116">
        <v>1.0</v>
      </c>
      <c r="P1064" s="116">
        <v>1.0</v>
      </c>
      <c r="Q1064" s="116">
        <v>1.0</v>
      </c>
      <c r="R1064" s="109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115">
        <v>592.0</v>
      </c>
      <c r="B1065" s="99" t="s">
        <v>1979</v>
      </c>
      <c r="C1065" s="116" t="s">
        <v>108</v>
      </c>
      <c r="D1065" s="119">
        <v>22360.0</v>
      </c>
      <c r="E1065" s="99" t="s">
        <v>1884</v>
      </c>
      <c r="F1065" s="99" t="s">
        <v>1969</v>
      </c>
      <c r="G1065" s="118"/>
      <c r="H1065" s="116">
        <v>1.0</v>
      </c>
      <c r="I1065" s="118"/>
      <c r="J1065" s="118"/>
      <c r="K1065" s="118"/>
      <c r="L1065" s="116">
        <v>1.0</v>
      </c>
      <c r="M1065" s="116">
        <v>1.0</v>
      </c>
      <c r="N1065" s="118"/>
      <c r="O1065" s="118"/>
      <c r="P1065" s="118"/>
      <c r="Q1065" s="118"/>
      <c r="R1065" s="109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115">
        <v>593.0</v>
      </c>
      <c r="B1066" s="99" t="s">
        <v>1504</v>
      </c>
      <c r="C1066" s="116" t="s">
        <v>108</v>
      </c>
      <c r="D1066" s="119">
        <v>14793.0</v>
      </c>
      <c r="E1066" s="108"/>
      <c r="F1066" s="108"/>
      <c r="G1066" s="118"/>
      <c r="H1066" s="118"/>
      <c r="I1066" s="118"/>
      <c r="J1066" s="118"/>
      <c r="K1066" s="118"/>
      <c r="L1066" s="118"/>
      <c r="M1066" s="118"/>
      <c r="N1066" s="118"/>
      <c r="O1066" s="118"/>
      <c r="P1066" s="118"/>
      <c r="Q1066" s="118"/>
      <c r="R1066" s="109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115">
        <v>594.0</v>
      </c>
      <c r="B1067" s="99" t="s">
        <v>1980</v>
      </c>
      <c r="C1067" s="116" t="s">
        <v>108</v>
      </c>
      <c r="D1067" s="119">
        <v>22551.0</v>
      </c>
      <c r="E1067" s="99" t="s">
        <v>1981</v>
      </c>
      <c r="F1067" s="99" t="s">
        <v>1982</v>
      </c>
      <c r="G1067" s="118"/>
      <c r="H1067" s="118"/>
      <c r="I1067" s="118"/>
      <c r="J1067" s="118"/>
      <c r="K1067" s="118"/>
      <c r="L1067" s="118"/>
      <c r="M1067" s="118"/>
      <c r="N1067" s="118"/>
      <c r="O1067" s="118"/>
      <c r="P1067" s="118"/>
      <c r="Q1067" s="118"/>
      <c r="R1067" s="109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115">
        <v>595.0</v>
      </c>
      <c r="B1068" s="99" t="s">
        <v>1983</v>
      </c>
      <c r="C1068" s="116" t="s">
        <v>108</v>
      </c>
      <c r="D1068" s="117">
        <v>22204.0</v>
      </c>
      <c r="E1068" s="108"/>
      <c r="F1068" s="108"/>
      <c r="G1068" s="116">
        <v>1.0</v>
      </c>
      <c r="H1068" s="118"/>
      <c r="I1068" s="118"/>
      <c r="J1068" s="116">
        <v>1.0</v>
      </c>
      <c r="K1068" s="118"/>
      <c r="L1068" s="116">
        <v>1.0</v>
      </c>
      <c r="M1068" s="118"/>
      <c r="N1068" s="118"/>
      <c r="O1068" s="118"/>
      <c r="P1068" s="118"/>
      <c r="Q1068" s="116">
        <v>1.0</v>
      </c>
      <c r="R1068" s="109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115">
        <v>596.0</v>
      </c>
      <c r="B1069" s="99" t="s">
        <v>1600</v>
      </c>
      <c r="C1069" s="116" t="s">
        <v>108</v>
      </c>
      <c r="D1069" s="117">
        <v>20801.0</v>
      </c>
      <c r="E1069" s="108"/>
      <c r="F1069" s="108"/>
      <c r="G1069" s="118"/>
      <c r="H1069" s="118"/>
      <c r="I1069" s="118"/>
      <c r="J1069" s="118"/>
      <c r="K1069" s="118"/>
      <c r="L1069" s="118"/>
      <c r="M1069" s="118"/>
      <c r="N1069" s="118"/>
      <c r="O1069" s="118"/>
      <c r="P1069" s="118"/>
      <c r="Q1069" s="118"/>
      <c r="R1069" s="109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115">
        <v>597.0</v>
      </c>
      <c r="B1070" s="99" t="s">
        <v>1406</v>
      </c>
      <c r="C1070" s="116" t="s">
        <v>108</v>
      </c>
      <c r="D1070" s="119">
        <v>23255.0</v>
      </c>
      <c r="E1070" s="99" t="s">
        <v>1520</v>
      </c>
      <c r="F1070" s="99" t="s">
        <v>1521</v>
      </c>
      <c r="G1070" s="116">
        <v>1.0</v>
      </c>
      <c r="H1070" s="116">
        <v>1.0</v>
      </c>
      <c r="I1070" s="116">
        <v>1.0</v>
      </c>
      <c r="J1070" s="118"/>
      <c r="K1070" s="118"/>
      <c r="L1070" s="116">
        <v>1.0</v>
      </c>
      <c r="M1070" s="116">
        <v>1.0</v>
      </c>
      <c r="N1070" s="116">
        <v>1.0</v>
      </c>
      <c r="O1070" s="116">
        <v>1.0</v>
      </c>
      <c r="P1070" s="116">
        <v>1.0</v>
      </c>
      <c r="Q1070" s="116">
        <v>1.0</v>
      </c>
      <c r="R1070" s="109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115">
        <v>598.0</v>
      </c>
      <c r="B1071" s="99" t="s">
        <v>1984</v>
      </c>
      <c r="C1071" s="116" t="s">
        <v>108</v>
      </c>
      <c r="D1071" s="119">
        <v>23876.0</v>
      </c>
      <c r="E1071" s="108"/>
      <c r="F1071" s="108"/>
      <c r="G1071" s="118"/>
      <c r="H1071" s="118"/>
      <c r="I1071" s="118"/>
      <c r="J1071" s="118"/>
      <c r="K1071" s="118"/>
      <c r="L1071" s="118"/>
      <c r="M1071" s="118"/>
      <c r="N1071" s="118"/>
      <c r="O1071" s="118"/>
      <c r="P1071" s="118"/>
      <c r="Q1071" s="118"/>
      <c r="R1071" s="109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115">
        <v>599.0</v>
      </c>
      <c r="B1072" s="99" t="s">
        <v>1985</v>
      </c>
      <c r="C1072" s="116" t="s">
        <v>108</v>
      </c>
      <c r="D1072" s="117">
        <v>17085.0</v>
      </c>
      <c r="E1072" s="99" t="s">
        <v>1986</v>
      </c>
      <c r="F1072" s="99" t="s">
        <v>1987</v>
      </c>
      <c r="G1072" s="116">
        <v>1.0</v>
      </c>
      <c r="H1072" s="116">
        <v>1.0</v>
      </c>
      <c r="I1072" s="116">
        <v>1.0</v>
      </c>
      <c r="J1072" s="116">
        <v>1.0</v>
      </c>
      <c r="K1072" s="116">
        <v>1.0</v>
      </c>
      <c r="L1072" s="116">
        <v>1.0</v>
      </c>
      <c r="M1072" s="116">
        <v>1.0</v>
      </c>
      <c r="N1072" s="116">
        <v>1.0</v>
      </c>
      <c r="O1072" s="116">
        <v>1.0</v>
      </c>
      <c r="P1072" s="116">
        <v>1.0</v>
      </c>
      <c r="Q1072" s="116">
        <v>1.0</v>
      </c>
      <c r="R1072" s="109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115">
        <v>600.0</v>
      </c>
      <c r="B1073" s="99" t="s">
        <v>1523</v>
      </c>
      <c r="C1073" s="116" t="s">
        <v>108</v>
      </c>
      <c r="D1073" s="119">
        <v>22039.0</v>
      </c>
      <c r="E1073" s="99" t="s">
        <v>1463</v>
      </c>
      <c r="F1073" s="99" t="s">
        <v>1988</v>
      </c>
      <c r="G1073" s="118"/>
      <c r="H1073" s="118"/>
      <c r="I1073" s="118"/>
      <c r="J1073" s="118"/>
      <c r="K1073" s="118"/>
      <c r="L1073" s="118"/>
      <c r="M1073" s="118"/>
      <c r="N1073" s="118"/>
      <c r="O1073" s="118"/>
      <c r="P1073" s="118"/>
      <c r="Q1073" s="118"/>
      <c r="R1073" s="109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115">
        <v>601.0</v>
      </c>
      <c r="B1074" s="99" t="s">
        <v>1170</v>
      </c>
      <c r="C1074" s="116" t="s">
        <v>108</v>
      </c>
      <c r="D1074" s="117">
        <v>22568.0</v>
      </c>
      <c r="E1074" s="99" t="s">
        <v>1884</v>
      </c>
      <c r="F1074" s="99" t="s">
        <v>1885</v>
      </c>
      <c r="G1074" s="116">
        <v>1.0</v>
      </c>
      <c r="H1074" s="116">
        <v>1.0</v>
      </c>
      <c r="I1074" s="116">
        <v>1.0</v>
      </c>
      <c r="J1074" s="118"/>
      <c r="K1074" s="118"/>
      <c r="L1074" s="116">
        <v>1.0</v>
      </c>
      <c r="M1074" s="116">
        <v>1.0</v>
      </c>
      <c r="N1074" s="116">
        <v>1.0</v>
      </c>
      <c r="O1074" s="118"/>
      <c r="P1074" s="118"/>
      <c r="Q1074" s="116">
        <v>1.0</v>
      </c>
      <c r="R1074" s="109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115">
        <v>602.0</v>
      </c>
      <c r="B1075" s="99" t="s">
        <v>1989</v>
      </c>
      <c r="C1075" s="116" t="s">
        <v>108</v>
      </c>
      <c r="D1075" s="119">
        <v>17779.0</v>
      </c>
      <c r="E1075" s="99" t="s">
        <v>1884</v>
      </c>
      <c r="F1075" s="99" t="s">
        <v>1885</v>
      </c>
      <c r="G1075" s="118"/>
      <c r="H1075" s="118"/>
      <c r="I1075" s="118"/>
      <c r="J1075" s="118"/>
      <c r="K1075" s="118"/>
      <c r="L1075" s="118"/>
      <c r="M1075" s="118"/>
      <c r="N1075" s="118"/>
      <c r="O1075" s="118"/>
      <c r="P1075" s="118"/>
      <c r="Q1075" s="118"/>
      <c r="R1075" s="109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115">
        <v>603.0</v>
      </c>
      <c r="B1076" s="99" t="s">
        <v>1234</v>
      </c>
      <c r="C1076" s="116" t="s">
        <v>108</v>
      </c>
      <c r="D1076" s="117">
        <v>23742.0</v>
      </c>
      <c r="E1076" s="99" t="s">
        <v>1310</v>
      </c>
      <c r="F1076" s="99" t="s">
        <v>1990</v>
      </c>
      <c r="G1076" s="118"/>
      <c r="H1076" s="118"/>
      <c r="I1076" s="118"/>
      <c r="J1076" s="116">
        <v>1.0</v>
      </c>
      <c r="K1076" s="116">
        <v>1.0</v>
      </c>
      <c r="L1076" s="116">
        <v>1.0</v>
      </c>
      <c r="M1076" s="116">
        <v>1.0</v>
      </c>
      <c r="N1076" s="116">
        <v>1.0</v>
      </c>
      <c r="O1076" s="118"/>
      <c r="P1076" s="116">
        <v>1.0</v>
      </c>
      <c r="Q1076" s="116">
        <v>1.0</v>
      </c>
      <c r="R1076" s="109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115">
        <v>604.0</v>
      </c>
      <c r="B1077" s="99" t="s">
        <v>1884</v>
      </c>
      <c r="C1077" s="116" t="s">
        <v>108</v>
      </c>
      <c r="D1077" s="119">
        <v>11969.0</v>
      </c>
      <c r="E1077" s="99" t="s">
        <v>1991</v>
      </c>
      <c r="F1077" s="99" t="s">
        <v>1992</v>
      </c>
      <c r="G1077" s="116">
        <v>1.0</v>
      </c>
      <c r="H1077" s="116">
        <v>1.0</v>
      </c>
      <c r="I1077" s="116">
        <v>1.0</v>
      </c>
      <c r="J1077" s="116">
        <v>1.0</v>
      </c>
      <c r="K1077" s="116">
        <v>1.0</v>
      </c>
      <c r="L1077" s="116">
        <v>1.0</v>
      </c>
      <c r="M1077" s="116">
        <v>1.0</v>
      </c>
      <c r="N1077" s="116">
        <v>1.0</v>
      </c>
      <c r="O1077" s="116">
        <v>1.0</v>
      </c>
      <c r="P1077" s="118"/>
      <c r="Q1077" s="118"/>
      <c r="R1077" s="109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115">
        <v>605.0</v>
      </c>
      <c r="B1078" s="99" t="s">
        <v>1328</v>
      </c>
      <c r="C1078" s="116" t="s">
        <v>108</v>
      </c>
      <c r="D1078" s="119">
        <v>23436.0</v>
      </c>
      <c r="E1078" s="108"/>
      <c r="F1078" s="99" t="s">
        <v>1993</v>
      </c>
      <c r="G1078" s="116">
        <v>1.0</v>
      </c>
      <c r="H1078" s="116">
        <v>1.0</v>
      </c>
      <c r="I1078" s="118"/>
      <c r="J1078" s="116">
        <v>1.0</v>
      </c>
      <c r="K1078" s="118"/>
      <c r="L1078" s="118"/>
      <c r="M1078" s="116">
        <v>1.0</v>
      </c>
      <c r="N1078" s="116">
        <v>1.0</v>
      </c>
      <c r="O1078" s="116">
        <v>1.0</v>
      </c>
      <c r="P1078" s="118"/>
      <c r="Q1078" s="118"/>
      <c r="R1078" s="109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115">
        <v>606.0</v>
      </c>
      <c r="B1079" s="99" t="s">
        <v>1535</v>
      </c>
      <c r="C1079" s="116" t="s">
        <v>108</v>
      </c>
      <c r="D1079" s="119">
        <v>17779.0</v>
      </c>
      <c r="E1079" s="108"/>
      <c r="F1079" s="108"/>
      <c r="G1079" s="118"/>
      <c r="H1079" s="118"/>
      <c r="I1079" s="118"/>
      <c r="J1079" s="118"/>
      <c r="K1079" s="118"/>
      <c r="L1079" s="118"/>
      <c r="M1079" s="116">
        <v>1.0</v>
      </c>
      <c r="N1079" s="116">
        <v>1.0</v>
      </c>
      <c r="O1079" s="118"/>
      <c r="P1079" s="118"/>
      <c r="Q1079" s="116">
        <v>1.0</v>
      </c>
      <c r="R1079" s="109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115">
        <v>607.0</v>
      </c>
      <c r="B1080" s="99" t="s">
        <v>1168</v>
      </c>
      <c r="C1080" s="116" t="s">
        <v>108</v>
      </c>
      <c r="D1080" s="119">
        <v>19910.0</v>
      </c>
      <c r="E1080" s="99" t="s">
        <v>1576</v>
      </c>
      <c r="F1080" s="99" t="s">
        <v>1994</v>
      </c>
      <c r="G1080" s="118"/>
      <c r="H1080" s="118"/>
      <c r="I1080" s="118"/>
      <c r="J1080" s="118"/>
      <c r="K1080" s="118"/>
      <c r="L1080" s="118"/>
      <c r="M1080" s="118"/>
      <c r="N1080" s="118"/>
      <c r="O1080" s="118"/>
      <c r="P1080" s="118"/>
      <c r="Q1080" s="118"/>
      <c r="R1080" s="109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115">
        <v>608.0</v>
      </c>
      <c r="B1081" s="99" t="s">
        <v>1320</v>
      </c>
      <c r="C1081" s="116" t="s">
        <v>108</v>
      </c>
      <c r="D1081" s="117">
        <v>20433.0</v>
      </c>
      <c r="E1081" s="99" t="s">
        <v>1278</v>
      </c>
      <c r="F1081" s="99" t="s">
        <v>1995</v>
      </c>
      <c r="G1081" s="118"/>
      <c r="H1081" s="118"/>
      <c r="I1081" s="118"/>
      <c r="J1081" s="118"/>
      <c r="K1081" s="118"/>
      <c r="L1081" s="118"/>
      <c r="M1081" s="118"/>
      <c r="N1081" s="118"/>
      <c r="O1081" s="118"/>
      <c r="P1081" s="118"/>
      <c r="Q1081" s="118"/>
      <c r="R1081" s="109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115">
        <v>609.0</v>
      </c>
      <c r="B1082" s="99" t="s">
        <v>1996</v>
      </c>
      <c r="C1082" s="116" t="s">
        <v>108</v>
      </c>
      <c r="D1082" s="119">
        <v>23934.0</v>
      </c>
      <c r="E1082" s="99" t="s">
        <v>585</v>
      </c>
      <c r="F1082" s="99" t="s">
        <v>1161</v>
      </c>
      <c r="G1082" s="116">
        <v>1.0</v>
      </c>
      <c r="H1082" s="116">
        <v>1.0</v>
      </c>
      <c r="I1082" s="116">
        <v>1.0</v>
      </c>
      <c r="J1082" s="116">
        <v>1.0</v>
      </c>
      <c r="K1082" s="118"/>
      <c r="L1082" s="118"/>
      <c r="M1082" s="116">
        <v>1.0</v>
      </c>
      <c r="N1082" s="116">
        <v>1.0</v>
      </c>
      <c r="O1082" s="118"/>
      <c r="P1082" s="118"/>
      <c r="Q1082" s="118"/>
      <c r="R1082" s="109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115">
        <v>610.0</v>
      </c>
      <c r="B1083" s="99" t="s">
        <v>1451</v>
      </c>
      <c r="C1083" s="116" t="s">
        <v>108</v>
      </c>
      <c r="D1083" s="119">
        <v>20657.0</v>
      </c>
      <c r="E1083" s="99" t="s">
        <v>1981</v>
      </c>
      <c r="F1083" s="99" t="s">
        <v>1997</v>
      </c>
      <c r="G1083" s="116">
        <v>1.0</v>
      </c>
      <c r="H1083" s="116">
        <v>1.0</v>
      </c>
      <c r="I1083" s="116">
        <v>1.0</v>
      </c>
      <c r="J1083" s="116">
        <v>1.0</v>
      </c>
      <c r="K1083" s="116">
        <v>1.0</v>
      </c>
      <c r="L1083" s="116">
        <v>1.0</v>
      </c>
      <c r="M1083" s="116">
        <v>1.0</v>
      </c>
      <c r="N1083" s="116">
        <v>1.0</v>
      </c>
      <c r="O1083" s="116">
        <v>1.0</v>
      </c>
      <c r="P1083" s="116">
        <v>1.0</v>
      </c>
      <c r="Q1083" s="116">
        <v>1.0</v>
      </c>
      <c r="R1083" s="100">
        <v>1.0</v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115">
        <v>611.0</v>
      </c>
      <c r="B1084" s="99" t="s">
        <v>1251</v>
      </c>
      <c r="C1084" s="116" t="s">
        <v>108</v>
      </c>
      <c r="D1084" s="119">
        <v>23504.0</v>
      </c>
      <c r="E1084" s="99" t="s">
        <v>1270</v>
      </c>
      <c r="F1084" s="99" t="s">
        <v>1998</v>
      </c>
      <c r="G1084" s="118"/>
      <c r="H1084" s="118"/>
      <c r="I1084" s="118"/>
      <c r="J1084" s="118"/>
      <c r="K1084" s="118"/>
      <c r="L1084" s="118"/>
      <c r="M1084" s="118"/>
      <c r="N1084" s="118"/>
      <c r="O1084" s="118"/>
      <c r="P1084" s="118"/>
      <c r="Q1084" s="118"/>
      <c r="R1084" s="109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115">
        <v>612.0</v>
      </c>
      <c r="B1085" s="99" t="s">
        <v>1873</v>
      </c>
      <c r="C1085" s="116" t="s">
        <v>108</v>
      </c>
      <c r="D1085" s="119">
        <v>20315.0</v>
      </c>
      <c r="E1085" s="99" t="s">
        <v>1921</v>
      </c>
      <c r="F1085" s="99" t="s">
        <v>1922</v>
      </c>
      <c r="G1085" s="118"/>
      <c r="H1085" s="118"/>
      <c r="I1085" s="118"/>
      <c r="J1085" s="118"/>
      <c r="K1085" s="118"/>
      <c r="L1085" s="118"/>
      <c r="M1085" s="118"/>
      <c r="N1085" s="118"/>
      <c r="O1085" s="118"/>
      <c r="P1085" s="118"/>
      <c r="Q1085" s="118"/>
      <c r="R1085" s="109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115">
        <v>613.0</v>
      </c>
      <c r="B1086" s="99" t="s">
        <v>1492</v>
      </c>
      <c r="C1086" s="116" t="s">
        <v>108</v>
      </c>
      <c r="D1086" s="119">
        <v>21227.0</v>
      </c>
      <c r="E1086" s="99" t="s">
        <v>1459</v>
      </c>
      <c r="F1086" s="99" t="s">
        <v>1999</v>
      </c>
      <c r="G1086" s="118"/>
      <c r="H1086" s="118"/>
      <c r="I1086" s="118"/>
      <c r="J1086" s="118"/>
      <c r="K1086" s="118"/>
      <c r="L1086" s="118"/>
      <c r="M1086" s="118"/>
      <c r="N1086" s="118"/>
      <c r="O1086" s="118"/>
      <c r="P1086" s="118"/>
      <c r="Q1086" s="118"/>
      <c r="R1086" s="109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115">
        <v>614.0</v>
      </c>
      <c r="B1087" s="99" t="s">
        <v>1902</v>
      </c>
      <c r="C1087" s="116" t="s">
        <v>108</v>
      </c>
      <c r="D1087" s="119">
        <v>20273.0</v>
      </c>
      <c r="E1087" s="99" t="s">
        <v>2000</v>
      </c>
      <c r="F1087" s="99" t="s">
        <v>1582</v>
      </c>
      <c r="G1087" s="118"/>
      <c r="H1087" s="118"/>
      <c r="I1087" s="118"/>
      <c r="J1087" s="118"/>
      <c r="K1087" s="118"/>
      <c r="L1087" s="118"/>
      <c r="M1087" s="118"/>
      <c r="N1087" s="118"/>
      <c r="O1087" s="118"/>
      <c r="P1087" s="118"/>
      <c r="Q1087" s="118"/>
      <c r="R1087" s="109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115">
        <v>615.0</v>
      </c>
      <c r="B1088" s="99" t="s">
        <v>1152</v>
      </c>
      <c r="C1088" s="116" t="s">
        <v>108</v>
      </c>
      <c r="D1088" s="117">
        <v>21864.0</v>
      </c>
      <c r="E1088" s="99" t="s">
        <v>1677</v>
      </c>
      <c r="F1088" s="99" t="s">
        <v>2001</v>
      </c>
      <c r="G1088" s="118"/>
      <c r="H1088" s="118"/>
      <c r="I1088" s="118"/>
      <c r="J1088" s="118"/>
      <c r="K1088" s="118"/>
      <c r="L1088" s="118"/>
      <c r="M1088" s="118"/>
      <c r="N1088" s="118"/>
      <c r="O1088" s="118"/>
      <c r="P1088" s="118"/>
      <c r="Q1088" s="118"/>
      <c r="R1088" s="109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115">
        <v>616.0</v>
      </c>
      <c r="B1089" s="99" t="s">
        <v>1194</v>
      </c>
      <c r="C1089" s="116" t="s">
        <v>108</v>
      </c>
      <c r="D1089" s="117">
        <v>20089.0</v>
      </c>
      <c r="E1089" s="99" t="s">
        <v>1445</v>
      </c>
      <c r="F1089" s="99" t="s">
        <v>1227</v>
      </c>
      <c r="G1089" s="118"/>
      <c r="H1089" s="118"/>
      <c r="I1089" s="118"/>
      <c r="J1089" s="118"/>
      <c r="K1089" s="118"/>
      <c r="L1089" s="118"/>
      <c r="M1089" s="118"/>
      <c r="N1089" s="118"/>
      <c r="O1089" s="118"/>
      <c r="P1089" s="118"/>
      <c r="Q1089" s="118"/>
      <c r="R1089" s="109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115">
        <v>617.0</v>
      </c>
      <c r="B1090" s="99" t="s">
        <v>1186</v>
      </c>
      <c r="C1090" s="116" t="s">
        <v>108</v>
      </c>
      <c r="D1090" s="117">
        <v>22975.0</v>
      </c>
      <c r="E1090" s="99" t="s">
        <v>2002</v>
      </c>
      <c r="F1090" s="99" t="s">
        <v>1612</v>
      </c>
      <c r="G1090" s="118"/>
      <c r="H1090" s="118"/>
      <c r="I1090" s="118"/>
      <c r="J1090" s="118"/>
      <c r="K1090" s="118"/>
      <c r="L1090" s="118"/>
      <c r="M1090" s="118"/>
      <c r="N1090" s="118"/>
      <c r="O1090" s="118"/>
      <c r="P1090" s="118"/>
      <c r="Q1090" s="118"/>
      <c r="R1090" s="109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115">
        <v>618.0</v>
      </c>
      <c r="B1091" s="99" t="s">
        <v>2003</v>
      </c>
      <c r="C1091" s="116" t="s">
        <v>108</v>
      </c>
      <c r="D1091" s="117">
        <v>15626.0</v>
      </c>
      <c r="E1091" s="99" t="s">
        <v>1581</v>
      </c>
      <c r="F1091" s="99" t="s">
        <v>2004</v>
      </c>
      <c r="G1091" s="118"/>
      <c r="H1091" s="116">
        <v>1.0</v>
      </c>
      <c r="I1091" s="116">
        <v>1.0</v>
      </c>
      <c r="J1091" s="118"/>
      <c r="K1091" s="118"/>
      <c r="L1091" s="116">
        <v>1.0</v>
      </c>
      <c r="M1091" s="116">
        <v>1.0</v>
      </c>
      <c r="N1091" s="118"/>
      <c r="O1091" s="118"/>
      <c r="P1091" s="118"/>
      <c r="Q1091" s="116">
        <v>1.0</v>
      </c>
      <c r="R1091" s="109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115">
        <v>619.0</v>
      </c>
      <c r="B1092" s="99" t="s">
        <v>1219</v>
      </c>
      <c r="C1092" s="116" t="s">
        <v>108</v>
      </c>
      <c r="D1092" s="119">
        <v>22015.0</v>
      </c>
      <c r="E1092" s="99" t="s">
        <v>1605</v>
      </c>
      <c r="F1092" s="99" t="s">
        <v>1606</v>
      </c>
      <c r="G1092" s="118"/>
      <c r="H1092" s="118"/>
      <c r="I1092" s="118"/>
      <c r="J1092" s="118"/>
      <c r="K1092" s="118"/>
      <c r="L1092" s="118"/>
      <c r="M1092" s="118"/>
      <c r="N1092" s="118"/>
      <c r="O1092" s="118"/>
      <c r="P1092" s="116">
        <v>1.0</v>
      </c>
      <c r="Q1092" s="118"/>
      <c r="R1092" s="109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115">
        <v>620.0</v>
      </c>
      <c r="B1093" s="99" t="s">
        <v>2005</v>
      </c>
      <c r="C1093" s="116" t="s">
        <v>108</v>
      </c>
      <c r="D1093" s="119">
        <v>19948.0</v>
      </c>
      <c r="E1093" s="99" t="s">
        <v>1168</v>
      </c>
      <c r="F1093" s="99" t="s">
        <v>2006</v>
      </c>
      <c r="G1093" s="118"/>
      <c r="H1093" s="118"/>
      <c r="I1093" s="118"/>
      <c r="J1093" s="118"/>
      <c r="K1093" s="118"/>
      <c r="L1093" s="118"/>
      <c r="M1093" s="118"/>
      <c r="N1093" s="118"/>
      <c r="O1093" s="118"/>
      <c r="P1093" s="118"/>
      <c r="Q1093" s="116">
        <v>1.0</v>
      </c>
      <c r="R1093" s="109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115">
        <v>621.0</v>
      </c>
      <c r="B1094" s="99" t="s">
        <v>2007</v>
      </c>
      <c r="C1094" s="116" t="s">
        <v>108</v>
      </c>
      <c r="D1094" s="119">
        <v>15721.0</v>
      </c>
      <c r="E1094" s="99" t="s">
        <v>1535</v>
      </c>
      <c r="F1094" s="99" t="s">
        <v>2008</v>
      </c>
      <c r="G1094" s="118"/>
      <c r="H1094" s="118"/>
      <c r="I1094" s="118"/>
      <c r="J1094" s="118"/>
      <c r="K1094" s="118"/>
      <c r="L1094" s="118"/>
      <c r="M1094" s="118"/>
      <c r="N1094" s="118"/>
      <c r="O1094" s="118"/>
      <c r="P1094" s="118"/>
      <c r="Q1094" s="118"/>
      <c r="R1094" s="109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115">
        <v>622.0</v>
      </c>
      <c r="B1095" s="99" t="s">
        <v>1935</v>
      </c>
      <c r="C1095" s="116" t="s">
        <v>108</v>
      </c>
      <c r="D1095" s="119">
        <v>15549.0</v>
      </c>
      <c r="E1095" s="99" t="s">
        <v>1535</v>
      </c>
      <c r="F1095" s="99" t="s">
        <v>2009</v>
      </c>
      <c r="G1095" s="118"/>
      <c r="H1095" s="118"/>
      <c r="I1095" s="118"/>
      <c r="J1095" s="118"/>
      <c r="K1095" s="118"/>
      <c r="L1095" s="118"/>
      <c r="M1095" s="118"/>
      <c r="N1095" s="118"/>
      <c r="O1095" s="118"/>
      <c r="P1095" s="118"/>
      <c r="Q1095" s="118"/>
      <c r="R1095" s="109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115">
        <v>623.0</v>
      </c>
      <c r="B1096" s="99" t="s">
        <v>1711</v>
      </c>
      <c r="C1096" s="116" t="s">
        <v>108</v>
      </c>
      <c r="D1096" s="119">
        <v>22108.0</v>
      </c>
      <c r="E1096" s="99" t="s">
        <v>2010</v>
      </c>
      <c r="F1096" s="99" t="s">
        <v>2011</v>
      </c>
      <c r="G1096" s="118"/>
      <c r="H1096" s="118"/>
      <c r="I1096" s="118"/>
      <c r="J1096" s="118"/>
      <c r="K1096" s="118"/>
      <c r="L1096" s="118"/>
      <c r="M1096" s="118"/>
      <c r="N1096" s="118"/>
      <c r="O1096" s="118"/>
      <c r="P1096" s="118"/>
      <c r="Q1096" s="118"/>
      <c r="R1096" s="109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115">
        <v>624.0</v>
      </c>
      <c r="B1097" s="99" t="s">
        <v>1341</v>
      </c>
      <c r="C1097" s="116" t="s">
        <v>108</v>
      </c>
      <c r="D1097" s="117">
        <v>24091.0</v>
      </c>
      <c r="E1097" s="99" t="s">
        <v>2012</v>
      </c>
      <c r="F1097" s="99" t="s">
        <v>2013</v>
      </c>
      <c r="G1097" s="118"/>
      <c r="H1097" s="118"/>
      <c r="I1097" s="116">
        <v>1.0</v>
      </c>
      <c r="J1097" s="118"/>
      <c r="K1097" s="116">
        <v>1.0</v>
      </c>
      <c r="L1097" s="118"/>
      <c r="M1097" s="116">
        <v>1.0</v>
      </c>
      <c r="N1097" s="118"/>
      <c r="O1097" s="116">
        <v>1.0</v>
      </c>
      <c r="P1097" s="118"/>
      <c r="Q1097" s="118"/>
      <c r="R1097" s="109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115">
        <v>625.0</v>
      </c>
      <c r="B1098" s="99" t="s">
        <v>2014</v>
      </c>
      <c r="C1098" s="116" t="s">
        <v>108</v>
      </c>
      <c r="D1098" s="119">
        <v>22810.0</v>
      </c>
      <c r="E1098" s="99" t="s">
        <v>1535</v>
      </c>
      <c r="F1098" s="99" t="s">
        <v>2008</v>
      </c>
      <c r="G1098" s="118"/>
      <c r="H1098" s="118"/>
      <c r="I1098" s="118"/>
      <c r="J1098" s="118"/>
      <c r="K1098" s="118"/>
      <c r="L1098" s="118"/>
      <c r="M1098" s="118"/>
      <c r="N1098" s="118"/>
      <c r="O1098" s="118"/>
      <c r="P1098" s="118"/>
      <c r="Q1098" s="118"/>
      <c r="R1098" s="109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115">
        <v>626.0</v>
      </c>
      <c r="B1099" s="99" t="s">
        <v>2015</v>
      </c>
      <c r="C1099" s="116" t="s">
        <v>108</v>
      </c>
      <c r="D1099" s="119">
        <v>21698.0</v>
      </c>
      <c r="E1099" s="99" t="s">
        <v>2016</v>
      </c>
      <c r="F1099" s="99" t="s">
        <v>1378</v>
      </c>
      <c r="G1099" s="118"/>
      <c r="H1099" s="118"/>
      <c r="I1099" s="118"/>
      <c r="J1099" s="118"/>
      <c r="K1099" s="118"/>
      <c r="L1099" s="118"/>
      <c r="M1099" s="118"/>
      <c r="N1099" s="118"/>
      <c r="O1099" s="118"/>
      <c r="P1099" s="118"/>
      <c r="Q1099" s="118"/>
      <c r="R1099" s="109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115">
        <v>627.0</v>
      </c>
      <c r="B1100" s="99" t="s">
        <v>1533</v>
      </c>
      <c r="C1100" s="116" t="s">
        <v>108</v>
      </c>
      <c r="D1100" s="119">
        <v>14431.0</v>
      </c>
      <c r="E1100" s="108"/>
      <c r="F1100" s="108"/>
      <c r="G1100" s="118"/>
      <c r="H1100" s="118"/>
      <c r="I1100" s="118"/>
      <c r="J1100" s="118"/>
      <c r="K1100" s="118"/>
      <c r="L1100" s="118"/>
      <c r="M1100" s="118"/>
      <c r="N1100" s="118"/>
      <c r="O1100" s="118"/>
      <c r="P1100" s="118"/>
      <c r="Q1100" s="118"/>
      <c r="R1100" s="109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115">
        <v>628.0</v>
      </c>
      <c r="B1101" s="99" t="s">
        <v>1298</v>
      </c>
      <c r="C1101" s="116" t="s">
        <v>108</v>
      </c>
      <c r="D1101" s="117">
        <v>19675.0</v>
      </c>
      <c r="E1101" s="99" t="s">
        <v>1553</v>
      </c>
      <c r="F1101" s="99" t="s">
        <v>2017</v>
      </c>
      <c r="G1101" s="118"/>
      <c r="H1101" s="118"/>
      <c r="I1101" s="118"/>
      <c r="J1101" s="118"/>
      <c r="K1101" s="118"/>
      <c r="L1101" s="118"/>
      <c r="M1101" s="118"/>
      <c r="N1101" s="118"/>
      <c r="O1101" s="118"/>
      <c r="P1101" s="118"/>
      <c r="Q1101" s="118"/>
      <c r="R1101" s="109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115">
        <v>629.0</v>
      </c>
      <c r="B1102" s="99" t="s">
        <v>2018</v>
      </c>
      <c r="C1102" s="116" t="s">
        <v>108</v>
      </c>
      <c r="D1102" s="119">
        <v>20345.0</v>
      </c>
      <c r="E1102" s="99" t="s">
        <v>1537</v>
      </c>
      <c r="F1102" s="99" t="s">
        <v>2019</v>
      </c>
      <c r="G1102" s="118"/>
      <c r="H1102" s="116">
        <v>1.0</v>
      </c>
      <c r="I1102" s="116">
        <v>1.0</v>
      </c>
      <c r="J1102" s="116">
        <v>1.0</v>
      </c>
      <c r="K1102" s="118"/>
      <c r="L1102" s="116">
        <v>1.0</v>
      </c>
      <c r="M1102" s="116">
        <v>1.0</v>
      </c>
      <c r="N1102" s="118"/>
      <c r="O1102" s="118"/>
      <c r="P1102" s="116">
        <v>1.0</v>
      </c>
      <c r="Q1102" s="118"/>
      <c r="R1102" s="109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115">
        <v>630.0</v>
      </c>
      <c r="B1103" s="99" t="s">
        <v>1248</v>
      </c>
      <c r="C1103" s="116" t="s">
        <v>108</v>
      </c>
      <c r="D1103" s="119">
        <v>18465.0</v>
      </c>
      <c r="E1103" s="108"/>
      <c r="F1103" s="108"/>
      <c r="G1103" s="118"/>
      <c r="H1103" s="118"/>
      <c r="I1103" s="118"/>
      <c r="J1103" s="118"/>
      <c r="K1103" s="118"/>
      <c r="L1103" s="118"/>
      <c r="M1103" s="118"/>
      <c r="N1103" s="116">
        <v>1.0</v>
      </c>
      <c r="O1103" s="118"/>
      <c r="P1103" s="116">
        <v>1.0</v>
      </c>
      <c r="Q1103" s="116">
        <v>1.0</v>
      </c>
      <c r="R1103" s="109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115">
        <v>631.0</v>
      </c>
      <c r="B1104" s="99" t="s">
        <v>1209</v>
      </c>
      <c r="C1104" s="116" t="s">
        <v>108</v>
      </c>
      <c r="D1104" s="117">
        <v>20769.0</v>
      </c>
      <c r="E1104" s="99" t="s">
        <v>1605</v>
      </c>
      <c r="F1104" s="99" t="s">
        <v>2020</v>
      </c>
      <c r="G1104" s="118"/>
      <c r="H1104" s="116">
        <v>1.0</v>
      </c>
      <c r="I1104" s="118"/>
      <c r="J1104" s="116">
        <v>1.0</v>
      </c>
      <c r="K1104" s="118"/>
      <c r="L1104" s="116">
        <v>1.0</v>
      </c>
      <c r="M1104" s="118"/>
      <c r="N1104" s="118"/>
      <c r="O1104" s="118"/>
      <c r="P1104" s="118"/>
      <c r="Q1104" s="116">
        <v>1.0</v>
      </c>
      <c r="R1104" s="109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115">
        <v>632.0</v>
      </c>
      <c r="B1105" s="99" t="s">
        <v>1263</v>
      </c>
      <c r="C1105" s="116" t="s">
        <v>108</v>
      </c>
      <c r="D1105" s="117">
        <v>21834.0</v>
      </c>
      <c r="E1105" s="108"/>
      <c r="F1105" s="99" t="s">
        <v>2021</v>
      </c>
      <c r="G1105" s="118"/>
      <c r="H1105" s="118"/>
      <c r="I1105" s="118"/>
      <c r="J1105" s="118"/>
      <c r="K1105" s="118"/>
      <c r="L1105" s="118"/>
      <c r="M1105" s="118"/>
      <c r="N1105" s="118"/>
      <c r="O1105" s="118"/>
      <c r="P1105" s="118"/>
      <c r="Q1105" s="118"/>
      <c r="R1105" s="109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115">
        <v>633.0</v>
      </c>
      <c r="B1106" s="99" t="s">
        <v>1191</v>
      </c>
      <c r="C1106" s="116" t="s">
        <v>108</v>
      </c>
      <c r="D1106" s="119">
        <v>16693.0</v>
      </c>
      <c r="E1106" s="108"/>
      <c r="F1106" s="108"/>
      <c r="G1106" s="118"/>
      <c r="H1106" s="118"/>
      <c r="I1106" s="118"/>
      <c r="J1106" s="118"/>
      <c r="K1106" s="118"/>
      <c r="L1106" s="118"/>
      <c r="M1106" s="118"/>
      <c r="N1106" s="118"/>
      <c r="O1106" s="118"/>
      <c r="P1106" s="118"/>
      <c r="Q1106" s="118"/>
      <c r="R1106" s="109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115">
        <v>634.0</v>
      </c>
      <c r="B1107" s="99" t="s">
        <v>1385</v>
      </c>
      <c r="C1107" s="116" t="s">
        <v>108</v>
      </c>
      <c r="D1107" s="119">
        <v>22109.0</v>
      </c>
      <c r="E1107" s="99" t="s">
        <v>2022</v>
      </c>
      <c r="F1107" s="99" t="s">
        <v>2023</v>
      </c>
      <c r="G1107" s="118"/>
      <c r="H1107" s="116">
        <v>1.0</v>
      </c>
      <c r="I1107" s="118"/>
      <c r="J1107" s="118"/>
      <c r="K1107" s="116">
        <v>1.0</v>
      </c>
      <c r="L1107" s="116">
        <v>1.0</v>
      </c>
      <c r="M1107" s="116">
        <v>1.0</v>
      </c>
      <c r="N1107" s="118"/>
      <c r="O1107" s="118"/>
      <c r="P1107" s="118"/>
      <c r="Q1107" s="118"/>
      <c r="R1107" s="109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115">
        <v>635.0</v>
      </c>
      <c r="B1108" s="99" t="s">
        <v>1278</v>
      </c>
      <c r="C1108" s="116" t="s">
        <v>108</v>
      </c>
      <c r="D1108" s="119">
        <v>19486.0</v>
      </c>
      <c r="E1108" s="99" t="s">
        <v>2024</v>
      </c>
      <c r="F1108" s="99" t="s">
        <v>2025</v>
      </c>
      <c r="G1108" s="116">
        <v>1.0</v>
      </c>
      <c r="H1108" s="116">
        <v>1.0</v>
      </c>
      <c r="I1108" s="118"/>
      <c r="J1108" s="118"/>
      <c r="K1108" s="116">
        <v>1.0</v>
      </c>
      <c r="L1108" s="116">
        <v>1.0</v>
      </c>
      <c r="M1108" s="118"/>
      <c r="N1108" s="118"/>
      <c r="O1108" s="118"/>
      <c r="P1108" s="118"/>
      <c r="Q1108" s="118"/>
      <c r="R1108" s="109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115">
        <v>636.0</v>
      </c>
      <c r="B1109" s="99" t="s">
        <v>1150</v>
      </c>
      <c r="C1109" s="116" t="s">
        <v>108</v>
      </c>
      <c r="D1109" s="119">
        <v>14771.0</v>
      </c>
      <c r="E1109" s="99" t="s">
        <v>2026</v>
      </c>
      <c r="F1109" s="99" t="s">
        <v>2027</v>
      </c>
      <c r="G1109" s="118"/>
      <c r="H1109" s="116">
        <v>1.0</v>
      </c>
      <c r="I1109" s="118"/>
      <c r="J1109" s="118"/>
      <c r="K1109" s="116">
        <v>1.0</v>
      </c>
      <c r="L1109" s="118"/>
      <c r="M1109" s="116">
        <v>1.0</v>
      </c>
      <c r="N1109" s="118"/>
      <c r="O1109" s="116">
        <v>1.0</v>
      </c>
      <c r="P1109" s="116">
        <v>1.0</v>
      </c>
      <c r="Q1109" s="116">
        <v>1.0</v>
      </c>
      <c r="R1109" s="109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115">
        <v>637.0</v>
      </c>
      <c r="B1110" s="99" t="s">
        <v>1154</v>
      </c>
      <c r="C1110" s="116" t="s">
        <v>108</v>
      </c>
      <c r="D1110" s="119">
        <v>20177.0</v>
      </c>
      <c r="E1110" s="99" t="s">
        <v>2028</v>
      </c>
      <c r="F1110" s="99" t="s">
        <v>2029</v>
      </c>
      <c r="G1110" s="116">
        <v>1.0</v>
      </c>
      <c r="H1110" s="116">
        <v>1.0</v>
      </c>
      <c r="I1110" s="116">
        <v>1.0</v>
      </c>
      <c r="J1110" s="116">
        <v>1.0</v>
      </c>
      <c r="K1110" s="116">
        <v>1.0</v>
      </c>
      <c r="L1110" s="116">
        <v>1.0</v>
      </c>
      <c r="M1110" s="116">
        <v>1.0</v>
      </c>
      <c r="N1110" s="116">
        <v>1.0</v>
      </c>
      <c r="O1110" s="116">
        <v>1.0</v>
      </c>
      <c r="P1110" s="116">
        <v>1.0</v>
      </c>
      <c r="Q1110" s="118"/>
      <c r="R1110" s="109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115">
        <v>638.0</v>
      </c>
      <c r="B1111" s="99" t="s">
        <v>1657</v>
      </c>
      <c r="C1111" s="116" t="s">
        <v>108</v>
      </c>
      <c r="D1111" s="119">
        <v>16984.0</v>
      </c>
      <c r="E1111" s="99" t="s">
        <v>2026</v>
      </c>
      <c r="F1111" s="99" t="s">
        <v>2030</v>
      </c>
      <c r="G1111" s="118"/>
      <c r="H1111" s="118"/>
      <c r="I1111" s="116">
        <v>1.0</v>
      </c>
      <c r="J1111" s="118"/>
      <c r="K1111" s="116">
        <v>1.0</v>
      </c>
      <c r="L1111" s="116">
        <v>1.0</v>
      </c>
      <c r="M1111" s="118"/>
      <c r="N1111" s="118"/>
      <c r="O1111" s="118"/>
      <c r="P1111" s="118"/>
      <c r="Q1111" s="118"/>
      <c r="R1111" s="109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115">
        <v>639.0</v>
      </c>
      <c r="B1112" s="99" t="s">
        <v>2007</v>
      </c>
      <c r="C1112" s="116" t="s">
        <v>108</v>
      </c>
      <c r="D1112" s="119">
        <v>15721.0</v>
      </c>
      <c r="E1112" s="99" t="s">
        <v>1234</v>
      </c>
      <c r="F1112" s="99" t="s">
        <v>2031</v>
      </c>
      <c r="G1112" s="118"/>
      <c r="H1112" s="118"/>
      <c r="I1112" s="118"/>
      <c r="J1112" s="118"/>
      <c r="K1112" s="118"/>
      <c r="L1112" s="118"/>
      <c r="M1112" s="118"/>
      <c r="N1112" s="118"/>
      <c r="O1112" s="118"/>
      <c r="P1112" s="118"/>
      <c r="Q1112" s="118"/>
      <c r="R1112" s="109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2"/>
      <c r="B1113" s="2"/>
      <c r="C1113" s="2"/>
      <c r="D1113" s="2"/>
      <c r="E1113" s="2"/>
      <c r="F1113" s="2"/>
      <c r="G1113" s="2">
        <f t="shared" ref="G1113:R1113" si="5">SUM(G474:G1112)</f>
        <v>41</v>
      </c>
      <c r="H1113" s="2">
        <f t="shared" si="5"/>
        <v>48</v>
      </c>
      <c r="I1113" s="2">
        <f t="shared" si="5"/>
        <v>46</v>
      </c>
      <c r="J1113" s="2">
        <f t="shared" si="5"/>
        <v>42</v>
      </c>
      <c r="K1113" s="2">
        <f t="shared" si="5"/>
        <v>45</v>
      </c>
      <c r="L1113" s="2">
        <f t="shared" si="5"/>
        <v>51</v>
      </c>
      <c r="M1113" s="2">
        <f t="shared" si="5"/>
        <v>53</v>
      </c>
      <c r="N1113" s="2">
        <f t="shared" si="5"/>
        <v>45</v>
      </c>
      <c r="O1113" s="2">
        <f t="shared" si="5"/>
        <v>47</v>
      </c>
      <c r="P1113" s="2">
        <f t="shared" si="5"/>
        <v>46</v>
      </c>
      <c r="Q1113" s="2">
        <f t="shared" si="5"/>
        <v>52</v>
      </c>
      <c r="R1113" s="2">
        <f t="shared" si="5"/>
        <v>1</v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A470:C470"/>
    <mergeCell ref="A471:A472"/>
    <mergeCell ref="B471:B472"/>
    <mergeCell ref="C471:C472"/>
    <mergeCell ref="D471:D472"/>
    <mergeCell ref="E471:F471"/>
    <mergeCell ref="G471:R471"/>
    <mergeCell ref="B4:B8"/>
    <mergeCell ref="C7:D7"/>
    <mergeCell ref="A24:C24"/>
    <mergeCell ref="A28:D28"/>
    <mergeCell ref="A29:A30"/>
    <mergeCell ref="B29:D29"/>
    <mergeCell ref="A79:C79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80:A81"/>
    <mergeCell ref="B80:B81"/>
    <mergeCell ref="C80:C81"/>
    <mergeCell ref="D80:D81"/>
    <mergeCell ref="E80:F80"/>
    <mergeCell ref="G80:R80"/>
    <mergeCell ref="A220:C220"/>
    <mergeCell ref="A221:A222"/>
    <mergeCell ref="B221:B222"/>
    <mergeCell ref="C221:C222"/>
    <mergeCell ref="D221:D222"/>
    <mergeCell ref="E221:F221"/>
    <mergeCell ref="G221:R2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2032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155" t="s">
        <v>3</v>
      </c>
      <c r="B4" s="155" t="s">
        <v>84</v>
      </c>
      <c r="C4" s="156" t="s">
        <v>2033</v>
      </c>
      <c r="D4" s="30"/>
      <c r="E4" s="8"/>
      <c r="F4" s="157" t="s">
        <v>2034</v>
      </c>
      <c r="G4" s="156" t="s">
        <v>2035</v>
      </c>
      <c r="H4" s="30"/>
      <c r="I4" s="30"/>
      <c r="J4" s="30"/>
      <c r="K4" s="30"/>
      <c r="L4" s="30"/>
      <c r="M4" s="30"/>
      <c r="N4" s="8"/>
      <c r="O4" s="156" t="s">
        <v>2036</v>
      </c>
      <c r="P4" s="30"/>
      <c r="Q4" s="30"/>
      <c r="R4" s="30"/>
      <c r="S4" s="30"/>
      <c r="T4" s="30"/>
      <c r="U4" s="30"/>
      <c r="V4" s="30"/>
      <c r="W4" s="30"/>
      <c r="X4" s="30"/>
      <c r="Y4" s="30"/>
      <c r="Z4" s="8"/>
      <c r="AA4" s="158" t="s">
        <v>2037</v>
      </c>
      <c r="AB4" s="159" t="s">
        <v>2038</v>
      </c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160" t="s">
        <v>2039</v>
      </c>
      <c r="BA4" s="30"/>
      <c r="BB4" s="30"/>
      <c r="BC4" s="8"/>
      <c r="BD4" s="155" t="s">
        <v>2040</v>
      </c>
    </row>
    <row r="5">
      <c r="A5" s="66"/>
      <c r="B5" s="66"/>
      <c r="C5" s="161" t="s">
        <v>36</v>
      </c>
      <c r="D5" s="161" t="s">
        <v>2041</v>
      </c>
      <c r="E5" s="161" t="s">
        <v>2042</v>
      </c>
      <c r="F5" s="66"/>
      <c r="G5" s="161" t="s">
        <v>2043</v>
      </c>
      <c r="H5" s="161" t="s">
        <v>2044</v>
      </c>
      <c r="I5" s="161" t="s">
        <v>2045</v>
      </c>
      <c r="J5" s="161" t="s">
        <v>2046</v>
      </c>
      <c r="K5" s="161" t="s">
        <v>2047</v>
      </c>
      <c r="L5" s="161" t="s">
        <v>2048</v>
      </c>
      <c r="M5" s="161" t="s">
        <v>2049</v>
      </c>
      <c r="N5" s="161" t="s">
        <v>2050</v>
      </c>
      <c r="O5" s="162" t="s">
        <v>2051</v>
      </c>
      <c r="P5" s="62"/>
      <c r="Q5" s="162" t="s">
        <v>2052</v>
      </c>
      <c r="R5" s="62"/>
      <c r="S5" s="162" t="s">
        <v>2053</v>
      </c>
      <c r="T5" s="62"/>
      <c r="U5" s="162" t="s">
        <v>2054</v>
      </c>
      <c r="V5" s="62"/>
      <c r="W5" s="162" t="s">
        <v>2055</v>
      </c>
      <c r="X5" s="62"/>
      <c r="Y5" s="162" t="s">
        <v>2056</v>
      </c>
      <c r="Z5" s="62"/>
      <c r="AA5" s="66"/>
      <c r="AB5" s="162" t="s">
        <v>2057</v>
      </c>
      <c r="AC5" s="62"/>
      <c r="AD5" s="162" t="s">
        <v>2058</v>
      </c>
      <c r="AE5" s="61"/>
      <c r="AF5" s="61"/>
      <c r="AG5" s="61"/>
      <c r="AH5" s="61"/>
      <c r="AI5" s="62"/>
      <c r="AJ5" s="162" t="s">
        <v>2059</v>
      </c>
      <c r="AK5" s="61"/>
      <c r="AL5" s="61"/>
      <c r="AM5" s="61"/>
      <c r="AN5" s="61"/>
      <c r="AO5" s="61"/>
      <c r="AP5" s="61"/>
      <c r="AQ5" s="62"/>
      <c r="AR5" s="162" t="s">
        <v>2060</v>
      </c>
      <c r="AS5" s="62"/>
      <c r="AT5" s="162" t="s">
        <v>2061</v>
      </c>
      <c r="AU5" s="61"/>
      <c r="AV5" s="61"/>
      <c r="AW5" s="61"/>
      <c r="AX5" s="61"/>
      <c r="AY5" s="62"/>
      <c r="AZ5" s="162" t="s">
        <v>36</v>
      </c>
      <c r="BA5" s="62"/>
      <c r="BB5" s="162" t="s">
        <v>2062</v>
      </c>
      <c r="BC5" s="62"/>
      <c r="BD5" s="66"/>
    </row>
    <row r="6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58"/>
      <c r="P6" s="64"/>
      <c r="Q6" s="58"/>
      <c r="R6" s="64"/>
      <c r="S6" s="58"/>
      <c r="T6" s="64"/>
      <c r="U6" s="58"/>
      <c r="V6" s="64"/>
      <c r="W6" s="58"/>
      <c r="X6" s="64"/>
      <c r="Y6" s="58"/>
      <c r="Z6" s="64"/>
      <c r="AA6" s="66"/>
      <c r="AB6" s="58"/>
      <c r="AC6" s="64"/>
      <c r="AD6" s="67"/>
      <c r="AE6" s="68"/>
      <c r="AF6" s="68"/>
      <c r="AG6" s="68"/>
      <c r="AH6" s="68"/>
      <c r="AI6" s="69"/>
      <c r="AJ6" s="67"/>
      <c r="AK6" s="68"/>
      <c r="AL6" s="68"/>
      <c r="AM6" s="68"/>
      <c r="AN6" s="68"/>
      <c r="AO6" s="68"/>
      <c r="AP6" s="68"/>
      <c r="AQ6" s="69"/>
      <c r="AR6" s="58"/>
      <c r="AS6" s="64"/>
      <c r="AT6" s="67"/>
      <c r="AU6" s="68"/>
      <c r="AV6" s="68"/>
      <c r="AW6" s="68"/>
      <c r="AX6" s="68"/>
      <c r="AY6" s="69"/>
      <c r="AZ6" s="58"/>
      <c r="BA6" s="64"/>
      <c r="BB6" s="58"/>
      <c r="BC6" s="64"/>
      <c r="BD6" s="66"/>
    </row>
    <row r="7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58"/>
      <c r="P7" s="64"/>
      <c r="Q7" s="58"/>
      <c r="R7" s="64"/>
      <c r="S7" s="58"/>
      <c r="T7" s="64"/>
      <c r="U7" s="58"/>
      <c r="V7" s="64"/>
      <c r="W7" s="58"/>
      <c r="X7" s="64"/>
      <c r="Y7" s="58"/>
      <c r="Z7" s="64"/>
      <c r="AA7" s="66"/>
      <c r="AB7" s="58"/>
      <c r="AC7" s="64"/>
      <c r="AD7" s="162" t="s">
        <v>2063</v>
      </c>
      <c r="AE7" s="62"/>
      <c r="AF7" s="162" t="s">
        <v>2064</v>
      </c>
      <c r="AG7" s="62"/>
      <c r="AH7" s="162" t="s">
        <v>2065</v>
      </c>
      <c r="AI7" s="62"/>
      <c r="AJ7" s="162" t="s">
        <v>2063</v>
      </c>
      <c r="AK7" s="62"/>
      <c r="AL7" s="162" t="s">
        <v>2064</v>
      </c>
      <c r="AM7" s="62"/>
      <c r="AN7" s="162" t="s">
        <v>2065</v>
      </c>
      <c r="AO7" s="62"/>
      <c r="AP7" s="162" t="s">
        <v>2066</v>
      </c>
      <c r="AQ7" s="62"/>
      <c r="AR7" s="58"/>
      <c r="AS7" s="64"/>
      <c r="AT7" s="162" t="s">
        <v>2063</v>
      </c>
      <c r="AU7" s="62"/>
      <c r="AV7" s="162" t="s">
        <v>2064</v>
      </c>
      <c r="AW7" s="62"/>
      <c r="AX7" s="162" t="s">
        <v>2065</v>
      </c>
      <c r="AY7" s="62"/>
      <c r="AZ7" s="58"/>
      <c r="BA7" s="64"/>
      <c r="BB7" s="58"/>
      <c r="BC7" s="64"/>
      <c r="BD7" s="66"/>
    </row>
    <row r="8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58"/>
      <c r="P8" s="64"/>
      <c r="Q8" s="67"/>
      <c r="R8" s="69"/>
      <c r="S8" s="67"/>
      <c r="T8" s="69"/>
      <c r="U8" s="67"/>
      <c r="V8" s="69"/>
      <c r="W8" s="67"/>
      <c r="X8" s="69"/>
      <c r="Y8" s="67"/>
      <c r="Z8" s="69"/>
      <c r="AA8" s="10"/>
      <c r="AB8" s="67"/>
      <c r="AC8" s="69"/>
      <c r="AD8" s="67"/>
      <c r="AE8" s="69"/>
      <c r="AF8" s="67"/>
      <c r="AG8" s="69"/>
      <c r="AH8" s="67"/>
      <c r="AI8" s="69"/>
      <c r="AJ8" s="67"/>
      <c r="AK8" s="69"/>
      <c r="AL8" s="67"/>
      <c r="AM8" s="69"/>
      <c r="AN8" s="67"/>
      <c r="AO8" s="69"/>
      <c r="AP8" s="67"/>
      <c r="AQ8" s="69"/>
      <c r="AR8" s="67"/>
      <c r="AS8" s="69"/>
      <c r="AT8" s="67"/>
      <c r="AU8" s="69"/>
      <c r="AV8" s="67"/>
      <c r="AW8" s="69"/>
      <c r="AX8" s="67"/>
      <c r="AY8" s="69"/>
      <c r="AZ8" s="67"/>
      <c r="BA8" s="69"/>
      <c r="BB8" s="67"/>
      <c r="BC8" s="69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63" t="s">
        <v>107</v>
      </c>
      <c r="P9" s="163" t="s">
        <v>108</v>
      </c>
      <c r="Q9" s="164" t="s">
        <v>107</v>
      </c>
      <c r="R9" s="164" t="s">
        <v>108</v>
      </c>
      <c r="S9" s="164" t="s">
        <v>107</v>
      </c>
      <c r="T9" s="164" t="s">
        <v>108</v>
      </c>
      <c r="U9" s="164" t="s">
        <v>107</v>
      </c>
      <c r="V9" s="164" t="s">
        <v>108</v>
      </c>
      <c r="W9" s="164" t="s">
        <v>107</v>
      </c>
      <c r="X9" s="164" t="s">
        <v>108</v>
      </c>
      <c r="Y9" s="164" t="s">
        <v>107</v>
      </c>
      <c r="Z9" s="164" t="s">
        <v>108</v>
      </c>
      <c r="AA9" s="26"/>
      <c r="AB9" s="164" t="s">
        <v>107</v>
      </c>
      <c r="AC9" s="164" t="s">
        <v>108</v>
      </c>
      <c r="AD9" s="164" t="s">
        <v>107</v>
      </c>
      <c r="AE9" s="164" t="s">
        <v>108</v>
      </c>
      <c r="AF9" s="164" t="s">
        <v>107</v>
      </c>
      <c r="AG9" s="164" t="s">
        <v>108</v>
      </c>
      <c r="AH9" s="164" t="s">
        <v>107</v>
      </c>
      <c r="AI9" s="164" t="s">
        <v>108</v>
      </c>
      <c r="AJ9" s="164" t="s">
        <v>107</v>
      </c>
      <c r="AK9" s="164" t="s">
        <v>108</v>
      </c>
      <c r="AL9" s="164" t="s">
        <v>107</v>
      </c>
      <c r="AM9" s="164" t="s">
        <v>108</v>
      </c>
      <c r="AN9" s="164" t="s">
        <v>107</v>
      </c>
      <c r="AO9" s="164" t="s">
        <v>108</v>
      </c>
      <c r="AP9" s="164" t="s">
        <v>107</v>
      </c>
      <c r="AQ9" s="164" t="s">
        <v>108</v>
      </c>
      <c r="AR9" s="164" t="s">
        <v>107</v>
      </c>
      <c r="AS9" s="164" t="s">
        <v>108</v>
      </c>
      <c r="AT9" s="164" t="s">
        <v>107</v>
      </c>
      <c r="AU9" s="164" t="s">
        <v>108</v>
      </c>
      <c r="AV9" s="164" t="s">
        <v>107</v>
      </c>
      <c r="AW9" s="164" t="s">
        <v>108</v>
      </c>
      <c r="AX9" s="164" t="s">
        <v>107</v>
      </c>
      <c r="AY9" s="164" t="s">
        <v>108</v>
      </c>
      <c r="AZ9" s="164" t="s">
        <v>107</v>
      </c>
      <c r="BA9" s="164" t="s">
        <v>108</v>
      </c>
      <c r="BB9" s="164" t="s">
        <v>107</v>
      </c>
      <c r="BC9" s="164" t="s">
        <v>108</v>
      </c>
      <c r="BD9" s="26"/>
    </row>
    <row r="10">
      <c r="A10" s="74">
        <v>1.0</v>
      </c>
      <c r="B10" s="75">
        <v>2.0</v>
      </c>
      <c r="C10" s="75">
        <v>3.0</v>
      </c>
      <c r="D10" s="75">
        <v>4.0</v>
      </c>
      <c r="E10" s="75">
        <v>5.0</v>
      </c>
      <c r="F10" s="75">
        <v>6.0</v>
      </c>
      <c r="G10" s="75">
        <v>7.0</v>
      </c>
      <c r="H10" s="75">
        <v>8.0</v>
      </c>
      <c r="I10" s="75">
        <v>9.0</v>
      </c>
      <c r="J10" s="75">
        <v>10.0</v>
      </c>
      <c r="K10" s="75">
        <v>11.0</v>
      </c>
      <c r="L10" s="75">
        <v>12.0</v>
      </c>
      <c r="M10" s="75">
        <v>13.0</v>
      </c>
      <c r="N10" s="75">
        <v>14.0</v>
      </c>
      <c r="O10" s="75">
        <v>15.0</v>
      </c>
      <c r="P10" s="75">
        <v>16.0</v>
      </c>
      <c r="Q10" s="75">
        <v>17.0</v>
      </c>
      <c r="R10" s="75">
        <v>18.0</v>
      </c>
      <c r="S10" s="75">
        <v>19.0</v>
      </c>
      <c r="T10" s="75">
        <v>20.0</v>
      </c>
      <c r="U10" s="75">
        <v>21.0</v>
      </c>
      <c r="V10" s="75">
        <v>22.0</v>
      </c>
      <c r="W10" s="75">
        <v>23.0</v>
      </c>
      <c r="X10" s="75">
        <v>24.0</v>
      </c>
      <c r="Y10" s="75">
        <v>25.0</v>
      </c>
      <c r="Z10" s="75">
        <v>26.0</v>
      </c>
      <c r="AA10" s="75">
        <v>27.0</v>
      </c>
      <c r="AB10" s="75">
        <v>28.0</v>
      </c>
      <c r="AC10" s="75">
        <v>29.0</v>
      </c>
      <c r="AD10" s="75">
        <v>30.0</v>
      </c>
      <c r="AE10" s="75">
        <v>31.0</v>
      </c>
      <c r="AF10" s="75">
        <v>32.0</v>
      </c>
      <c r="AG10" s="75">
        <v>33.0</v>
      </c>
      <c r="AH10" s="75">
        <v>34.0</v>
      </c>
      <c r="AI10" s="75">
        <v>35.0</v>
      </c>
      <c r="AJ10" s="75">
        <v>36.0</v>
      </c>
      <c r="AK10" s="75">
        <v>37.0</v>
      </c>
      <c r="AL10" s="75">
        <v>38.0</v>
      </c>
      <c r="AM10" s="75">
        <v>39.0</v>
      </c>
      <c r="AN10" s="75">
        <v>40.0</v>
      </c>
      <c r="AO10" s="75">
        <v>41.0</v>
      </c>
      <c r="AP10" s="75">
        <v>42.0</v>
      </c>
      <c r="AQ10" s="75">
        <v>43.0</v>
      </c>
      <c r="AR10" s="75">
        <v>44.0</v>
      </c>
      <c r="AS10" s="75">
        <v>45.0</v>
      </c>
      <c r="AT10" s="75">
        <v>46.0</v>
      </c>
      <c r="AU10" s="75">
        <v>47.0</v>
      </c>
      <c r="AV10" s="75">
        <v>48.0</v>
      </c>
      <c r="AW10" s="75">
        <v>49.0</v>
      </c>
      <c r="AX10" s="75">
        <v>50.0</v>
      </c>
      <c r="AY10" s="75">
        <v>51.0</v>
      </c>
      <c r="AZ10" s="75">
        <v>52.0</v>
      </c>
      <c r="BA10" s="75">
        <v>53.0</v>
      </c>
      <c r="BB10" s="75">
        <v>54.0</v>
      </c>
      <c r="BC10" s="75">
        <v>55.0</v>
      </c>
      <c r="BD10" s="75">
        <v>56.0</v>
      </c>
    </row>
    <row r="11">
      <c r="A11" s="165">
        <v>1.0</v>
      </c>
      <c r="B11" s="166" t="s">
        <v>109</v>
      </c>
      <c r="C11" s="167"/>
      <c r="D11" s="167"/>
      <c r="E11" s="167"/>
      <c r="F11" s="167"/>
      <c r="G11" s="168"/>
      <c r="H11" s="168"/>
      <c r="I11" s="168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26"/>
    </row>
    <row r="12">
      <c r="A12" s="165">
        <v>2.0</v>
      </c>
      <c r="B12" s="166" t="s">
        <v>110</v>
      </c>
      <c r="C12" s="167"/>
      <c r="D12" s="167"/>
      <c r="E12" s="167"/>
      <c r="F12" s="167"/>
      <c r="G12" s="168"/>
      <c r="H12" s="168"/>
      <c r="I12" s="168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26"/>
    </row>
    <row r="13">
      <c r="A13" s="165">
        <v>3.0</v>
      </c>
      <c r="B13" s="166" t="s">
        <v>111</v>
      </c>
      <c r="C13" s="167"/>
      <c r="D13" s="167"/>
      <c r="E13" s="167"/>
      <c r="F13" s="168"/>
      <c r="G13" s="168"/>
      <c r="H13" s="168"/>
      <c r="I13" s="168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9"/>
      <c r="AC13" s="169"/>
      <c r="AD13" s="169"/>
      <c r="AE13" s="169"/>
      <c r="AF13" s="169"/>
      <c r="AG13" s="169"/>
      <c r="AH13" s="169"/>
      <c r="AI13" s="169"/>
      <c r="AJ13" s="169"/>
      <c r="AK13" s="169"/>
      <c r="AL13" s="169"/>
      <c r="AM13" s="169"/>
      <c r="AN13" s="169"/>
      <c r="AO13" s="169"/>
      <c r="AP13" s="169"/>
      <c r="AQ13" s="169"/>
      <c r="AR13" s="169"/>
      <c r="AS13" s="169"/>
      <c r="AT13" s="169"/>
      <c r="AU13" s="169"/>
      <c r="AV13" s="169"/>
      <c r="AW13" s="169"/>
      <c r="AX13" s="169"/>
      <c r="AY13" s="169"/>
      <c r="AZ13" s="169"/>
      <c r="BA13" s="169"/>
      <c r="BB13" s="169"/>
      <c r="BC13" s="169"/>
      <c r="BD13" s="26"/>
    </row>
    <row r="14">
      <c r="A14" s="165">
        <v>4.0</v>
      </c>
      <c r="B14" s="166" t="s">
        <v>112</v>
      </c>
      <c r="C14" s="167"/>
      <c r="D14" s="167"/>
      <c r="E14" s="167"/>
      <c r="F14" s="168"/>
      <c r="G14" s="168"/>
      <c r="H14" s="168"/>
      <c r="I14" s="168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69"/>
      <c r="AT14" s="169"/>
      <c r="AU14" s="169"/>
      <c r="AV14" s="169"/>
      <c r="AW14" s="169"/>
      <c r="AX14" s="169"/>
      <c r="AY14" s="169"/>
      <c r="AZ14" s="169"/>
      <c r="BA14" s="169"/>
      <c r="BB14" s="169"/>
      <c r="BC14" s="169"/>
      <c r="BD14" s="26"/>
    </row>
    <row r="15">
      <c r="A15" s="165">
        <v>5.0</v>
      </c>
      <c r="B15" s="166" t="s">
        <v>113</v>
      </c>
      <c r="C15" s="167"/>
      <c r="D15" s="167"/>
      <c r="E15" s="167"/>
      <c r="F15" s="168"/>
      <c r="G15" s="167"/>
      <c r="H15" s="168"/>
      <c r="I15" s="168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C15" s="169"/>
      <c r="BD15" s="26"/>
    </row>
    <row r="16">
      <c r="A16" s="165">
        <v>6.0</v>
      </c>
      <c r="B16" s="166" t="s">
        <v>114</v>
      </c>
      <c r="C16" s="167"/>
      <c r="D16" s="167"/>
      <c r="E16" s="167"/>
      <c r="F16" s="168"/>
      <c r="G16" s="167"/>
      <c r="H16" s="168"/>
      <c r="I16" s="168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26"/>
    </row>
    <row r="17">
      <c r="A17" s="165">
        <v>7.0</v>
      </c>
      <c r="B17" s="166" t="s">
        <v>115</v>
      </c>
      <c r="C17" s="167"/>
      <c r="D17" s="167"/>
      <c r="E17" s="167"/>
      <c r="F17" s="168"/>
      <c r="G17" s="168"/>
      <c r="H17" s="168"/>
      <c r="I17" s="168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67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  <c r="BC17" s="169"/>
      <c r="BD17" s="26"/>
    </row>
    <row r="18">
      <c r="A18" s="165">
        <v>8.0</v>
      </c>
      <c r="B18" s="166" t="s">
        <v>116</v>
      </c>
      <c r="C18" s="169"/>
      <c r="D18" s="169"/>
      <c r="E18" s="169"/>
      <c r="F18" s="168"/>
      <c r="G18" s="168"/>
      <c r="H18" s="168"/>
      <c r="I18" s="168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69"/>
      <c r="AI18" s="169"/>
      <c r="AJ18" s="169"/>
      <c r="AK18" s="169"/>
      <c r="AL18" s="169"/>
      <c r="AM18" s="169"/>
      <c r="AN18" s="169"/>
      <c r="AO18" s="169"/>
      <c r="AP18" s="169"/>
      <c r="AQ18" s="169"/>
      <c r="AR18" s="169"/>
      <c r="AS18" s="169"/>
      <c r="AT18" s="169"/>
      <c r="AU18" s="169"/>
      <c r="AV18" s="169"/>
      <c r="AW18" s="169"/>
      <c r="AX18" s="169"/>
      <c r="AY18" s="169"/>
      <c r="AZ18" s="169"/>
      <c r="BA18" s="169"/>
      <c r="BB18" s="169"/>
      <c r="BC18" s="169"/>
      <c r="BD18" s="26"/>
    </row>
    <row r="19">
      <c r="A19" s="165">
        <v>9.0</v>
      </c>
      <c r="B19" s="166" t="s">
        <v>117</v>
      </c>
      <c r="C19" s="167"/>
      <c r="D19" s="167"/>
      <c r="E19" s="167"/>
      <c r="F19" s="168"/>
      <c r="G19" s="168"/>
      <c r="H19" s="168"/>
      <c r="I19" s="168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9"/>
      <c r="AK19" s="169"/>
      <c r="AL19" s="169"/>
      <c r="AM19" s="169"/>
      <c r="AN19" s="167"/>
      <c r="AO19" s="169"/>
      <c r="AP19" s="169"/>
      <c r="AQ19" s="169"/>
      <c r="AR19" s="169"/>
      <c r="AS19" s="167"/>
      <c r="AT19" s="167"/>
      <c r="AU19" s="167"/>
      <c r="AV19" s="167"/>
      <c r="AW19" s="167"/>
      <c r="AX19" s="167"/>
      <c r="AY19" s="167"/>
      <c r="AZ19" s="167"/>
      <c r="BA19" s="167"/>
      <c r="BB19" s="167"/>
      <c r="BC19" s="167"/>
      <c r="BD19" s="26"/>
    </row>
    <row r="20">
      <c r="A20" s="165">
        <v>10.0</v>
      </c>
      <c r="B20" s="166" t="s">
        <v>118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</row>
    <row r="21">
      <c r="A21" s="165">
        <v>11.0</v>
      </c>
      <c r="B21" s="166" t="s">
        <v>119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</row>
    <row r="22">
      <c r="A22" s="165">
        <v>12.0</v>
      </c>
      <c r="B22" s="166" t="s">
        <v>120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36</v>
      </c>
      <c r="C24" s="85">
        <f t="shared" ref="C24:BD24" si="1">SUM(C11:C22)</f>
        <v>0</v>
      </c>
      <c r="D24" s="85">
        <f t="shared" si="1"/>
        <v>0</v>
      </c>
      <c r="E24" s="85">
        <f t="shared" si="1"/>
        <v>0</v>
      </c>
      <c r="F24" s="85">
        <f t="shared" si="1"/>
        <v>0</v>
      </c>
      <c r="G24" s="85">
        <f t="shared" si="1"/>
        <v>0</v>
      </c>
      <c r="H24" s="85">
        <f t="shared" si="1"/>
        <v>0</v>
      </c>
      <c r="I24" s="85">
        <f t="shared" si="1"/>
        <v>0</v>
      </c>
      <c r="J24" s="85">
        <f t="shared" si="1"/>
        <v>0</v>
      </c>
      <c r="K24" s="85">
        <f t="shared" si="1"/>
        <v>0</v>
      </c>
      <c r="L24" s="85">
        <f t="shared" si="1"/>
        <v>0</v>
      </c>
      <c r="M24" s="85">
        <f t="shared" si="1"/>
        <v>0</v>
      </c>
      <c r="N24" s="85">
        <f t="shared" si="1"/>
        <v>0</v>
      </c>
      <c r="O24" s="85">
        <f t="shared" si="1"/>
        <v>0</v>
      </c>
      <c r="P24" s="85">
        <f t="shared" si="1"/>
        <v>0</v>
      </c>
      <c r="Q24" s="85">
        <f t="shared" si="1"/>
        <v>0</v>
      </c>
      <c r="R24" s="85">
        <f t="shared" si="1"/>
        <v>0</v>
      </c>
      <c r="S24" s="85">
        <f t="shared" si="1"/>
        <v>0</v>
      </c>
      <c r="T24" s="85">
        <f t="shared" si="1"/>
        <v>0</v>
      </c>
      <c r="U24" s="85">
        <f t="shared" si="1"/>
        <v>0</v>
      </c>
      <c r="V24" s="85">
        <f t="shared" si="1"/>
        <v>0</v>
      </c>
      <c r="W24" s="85">
        <f t="shared" si="1"/>
        <v>0</v>
      </c>
      <c r="X24" s="85">
        <f t="shared" si="1"/>
        <v>0</v>
      </c>
      <c r="Y24" s="85">
        <f t="shared" si="1"/>
        <v>0</v>
      </c>
      <c r="Z24" s="85">
        <f t="shared" si="1"/>
        <v>0</v>
      </c>
      <c r="AA24" s="85">
        <f t="shared" si="1"/>
        <v>0</v>
      </c>
      <c r="AB24" s="85">
        <f t="shared" si="1"/>
        <v>0</v>
      </c>
      <c r="AC24" s="85">
        <f t="shared" si="1"/>
        <v>0</v>
      </c>
      <c r="AD24" s="85">
        <f t="shared" si="1"/>
        <v>0</v>
      </c>
      <c r="AE24" s="85">
        <f t="shared" si="1"/>
        <v>0</v>
      </c>
      <c r="AF24" s="85">
        <f t="shared" si="1"/>
        <v>0</v>
      </c>
      <c r="AG24" s="85">
        <f t="shared" si="1"/>
        <v>0</v>
      </c>
      <c r="AH24" s="85">
        <f t="shared" si="1"/>
        <v>0</v>
      </c>
      <c r="AI24" s="85">
        <f t="shared" si="1"/>
        <v>0</v>
      </c>
      <c r="AJ24" s="85">
        <f t="shared" si="1"/>
        <v>0</v>
      </c>
      <c r="AK24" s="85">
        <f t="shared" si="1"/>
        <v>0</v>
      </c>
      <c r="AL24" s="85">
        <f t="shared" si="1"/>
        <v>0</v>
      </c>
      <c r="AM24" s="85">
        <f t="shared" si="1"/>
        <v>0</v>
      </c>
      <c r="AN24" s="85">
        <f t="shared" si="1"/>
        <v>0</v>
      </c>
      <c r="AO24" s="85">
        <f t="shared" si="1"/>
        <v>0</v>
      </c>
      <c r="AP24" s="85">
        <f t="shared" si="1"/>
        <v>0</v>
      </c>
      <c r="AQ24" s="85">
        <f t="shared" si="1"/>
        <v>0</v>
      </c>
      <c r="AR24" s="85">
        <f t="shared" si="1"/>
        <v>0</v>
      </c>
      <c r="AS24" s="85">
        <f t="shared" si="1"/>
        <v>0</v>
      </c>
      <c r="AT24" s="85">
        <f t="shared" si="1"/>
        <v>0</v>
      </c>
      <c r="AU24" s="85">
        <f t="shared" si="1"/>
        <v>0</v>
      </c>
      <c r="AV24" s="85">
        <f t="shared" si="1"/>
        <v>0</v>
      </c>
      <c r="AW24" s="85">
        <f t="shared" si="1"/>
        <v>0</v>
      </c>
      <c r="AX24" s="85">
        <f t="shared" si="1"/>
        <v>0</v>
      </c>
      <c r="AY24" s="85">
        <f t="shared" si="1"/>
        <v>0</v>
      </c>
      <c r="AZ24" s="85">
        <f t="shared" si="1"/>
        <v>0</v>
      </c>
      <c r="BA24" s="85">
        <f t="shared" si="1"/>
        <v>0</v>
      </c>
      <c r="BB24" s="85">
        <f t="shared" si="1"/>
        <v>0</v>
      </c>
      <c r="BC24" s="85">
        <f t="shared" si="1"/>
        <v>0</v>
      </c>
      <c r="BD24" s="85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70" t="s">
        <v>2067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71" t="s">
        <v>2068</v>
      </c>
      <c r="B30" s="90"/>
      <c r="C30" s="90"/>
      <c r="D30" s="90"/>
      <c r="E30" s="90"/>
      <c r="F30" s="90"/>
      <c r="G30" s="90"/>
      <c r="H30" s="9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1" t="s">
        <v>2069</v>
      </c>
      <c r="B31" s="172" t="s">
        <v>2070</v>
      </c>
      <c r="C31" s="172" t="s">
        <v>2071</v>
      </c>
      <c r="D31" s="113" t="s">
        <v>2072</v>
      </c>
      <c r="E31" s="30"/>
      <c r="F31" s="30"/>
      <c r="G31" s="8"/>
      <c r="H31" s="113" t="s">
        <v>2073</v>
      </c>
      <c r="I31" s="30"/>
      <c r="J31" s="30"/>
      <c r="K31" s="30"/>
      <c r="L31" s="30"/>
      <c r="M31" s="30"/>
      <c r="N31" s="8"/>
      <c r="O31" s="113" t="s">
        <v>2074</v>
      </c>
      <c r="P31" s="30"/>
      <c r="Q31" s="8"/>
      <c r="R31" s="113" t="s">
        <v>2075</v>
      </c>
      <c r="S31" s="30"/>
      <c r="T31" s="8"/>
      <c r="U31" s="92" t="s">
        <v>2076</v>
      </c>
      <c r="V31" s="62"/>
      <c r="W31" s="92" t="s">
        <v>2077</v>
      </c>
      <c r="X31" s="62"/>
      <c r="Y31" s="173" t="s">
        <v>2078</v>
      </c>
      <c r="Z31" s="62"/>
      <c r="AA31" s="174" t="s">
        <v>2079</v>
      </c>
      <c r="AB31" s="175" t="s">
        <v>2080</v>
      </c>
      <c r="AC31" s="62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6"/>
      <c r="B32" s="66"/>
      <c r="C32" s="66"/>
      <c r="D32" s="113" t="s">
        <v>2081</v>
      </c>
      <c r="E32" s="8"/>
      <c r="F32" s="113" t="s">
        <v>2082</v>
      </c>
      <c r="G32" s="8"/>
      <c r="H32" s="113" t="s">
        <v>2083</v>
      </c>
      <c r="I32" s="8"/>
      <c r="J32" s="113" t="s">
        <v>2084</v>
      </c>
      <c r="K32" s="8"/>
      <c r="L32" s="113" t="s">
        <v>2085</v>
      </c>
      <c r="M32" s="8"/>
      <c r="N32" s="91" t="s">
        <v>2086</v>
      </c>
      <c r="O32" s="174" t="s">
        <v>2087</v>
      </c>
      <c r="P32" s="113" t="s">
        <v>2088</v>
      </c>
      <c r="Q32" s="8"/>
      <c r="R32" s="174" t="s">
        <v>2087</v>
      </c>
      <c r="S32" s="113" t="s">
        <v>2089</v>
      </c>
      <c r="T32" s="8"/>
      <c r="U32" s="67"/>
      <c r="V32" s="69"/>
      <c r="W32" s="67"/>
      <c r="X32" s="69"/>
      <c r="Y32" s="176" t="s">
        <v>2090</v>
      </c>
      <c r="Z32" s="177"/>
      <c r="AA32" s="178" t="s">
        <v>2091</v>
      </c>
      <c r="AB32" s="68"/>
      <c r="AC32" s="69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97" t="s">
        <v>2070</v>
      </c>
      <c r="E33" s="97" t="s">
        <v>2071</v>
      </c>
      <c r="F33" s="97" t="s">
        <v>2070</v>
      </c>
      <c r="G33" s="97" t="s">
        <v>2071</v>
      </c>
      <c r="H33" s="97" t="s">
        <v>2092</v>
      </c>
      <c r="I33" s="97" t="s">
        <v>2093</v>
      </c>
      <c r="J33" s="97" t="s">
        <v>2092</v>
      </c>
      <c r="K33" s="97" t="s">
        <v>2094</v>
      </c>
      <c r="L33" s="97" t="s">
        <v>2092</v>
      </c>
      <c r="M33" s="97" t="s">
        <v>2093</v>
      </c>
      <c r="N33" s="10"/>
      <c r="O33" s="179" t="s">
        <v>2095</v>
      </c>
      <c r="P33" s="97" t="s">
        <v>2096</v>
      </c>
      <c r="Q33" s="97" t="s">
        <v>2097</v>
      </c>
      <c r="R33" s="179" t="s">
        <v>2098</v>
      </c>
      <c r="S33" s="97" t="s">
        <v>2096</v>
      </c>
      <c r="T33" s="97" t="s">
        <v>2097</v>
      </c>
      <c r="U33" s="97" t="s">
        <v>2099</v>
      </c>
      <c r="V33" s="97" t="s">
        <v>2097</v>
      </c>
      <c r="W33" s="97" t="s">
        <v>2099</v>
      </c>
      <c r="X33" s="97" t="s">
        <v>2097</v>
      </c>
      <c r="Y33" s="97" t="s">
        <v>2099</v>
      </c>
      <c r="Z33" s="113" t="s">
        <v>2097</v>
      </c>
      <c r="AA33" s="180"/>
      <c r="AB33" s="181" t="s">
        <v>2070</v>
      </c>
      <c r="AC33" s="97" t="s">
        <v>2100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82">
        <v>1.0</v>
      </c>
      <c r="B34" s="182">
        <v>2.0</v>
      </c>
      <c r="C34" s="183">
        <v>3.0</v>
      </c>
      <c r="D34" s="182">
        <v>4.0</v>
      </c>
      <c r="E34" s="182">
        <v>5.0</v>
      </c>
      <c r="F34" s="182">
        <v>6.0</v>
      </c>
      <c r="G34" s="182">
        <v>7.0</v>
      </c>
      <c r="H34" s="182">
        <v>8.0</v>
      </c>
      <c r="I34" s="184">
        <v>9.0</v>
      </c>
      <c r="J34" s="184">
        <v>10.0</v>
      </c>
      <c r="K34" s="184">
        <v>11.0</v>
      </c>
      <c r="L34" s="184">
        <v>12.0</v>
      </c>
      <c r="M34" s="184">
        <v>13.0</v>
      </c>
      <c r="N34" s="184">
        <v>14.0</v>
      </c>
      <c r="O34" s="185">
        <v>15.0</v>
      </c>
      <c r="P34" s="184">
        <v>16.0</v>
      </c>
      <c r="Q34" s="184">
        <v>17.0</v>
      </c>
      <c r="R34" s="185">
        <v>18.0</v>
      </c>
      <c r="S34" s="184">
        <v>19.0</v>
      </c>
      <c r="T34" s="184">
        <v>20.0</v>
      </c>
      <c r="U34" s="182">
        <v>21.0</v>
      </c>
      <c r="V34" s="182">
        <v>22.0</v>
      </c>
      <c r="W34" s="182">
        <v>23.0</v>
      </c>
      <c r="X34" s="182">
        <v>24.0</v>
      </c>
      <c r="Y34" s="182">
        <v>25.0</v>
      </c>
      <c r="Z34" s="186">
        <v>26.0</v>
      </c>
      <c r="AA34" s="187">
        <v>27.0</v>
      </c>
      <c r="AB34" s="188">
        <v>28.0</v>
      </c>
      <c r="AC34" s="182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89">
        <v>45658.0</v>
      </c>
      <c r="B35" s="190"/>
      <c r="C35" s="191"/>
      <c r="D35" s="190"/>
      <c r="E35" s="190"/>
      <c r="F35" s="190"/>
      <c r="G35" s="190"/>
      <c r="H35" s="77"/>
      <c r="I35" s="192"/>
      <c r="J35" s="192"/>
      <c r="K35" s="192"/>
      <c r="L35" s="192"/>
      <c r="M35" s="192"/>
      <c r="N35" s="192"/>
      <c r="O35" s="152"/>
      <c r="P35" s="152"/>
      <c r="Q35" s="152"/>
      <c r="R35" s="152"/>
      <c r="S35" s="152"/>
      <c r="T35" s="152"/>
      <c r="U35" s="190"/>
      <c r="V35" s="190"/>
      <c r="W35" s="190"/>
      <c r="X35" s="190"/>
      <c r="Y35" s="190"/>
      <c r="Z35" s="190"/>
      <c r="AA35" s="193"/>
      <c r="AB35" s="190"/>
      <c r="AC35" s="190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89">
        <v>45689.0</v>
      </c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89">
        <v>45717.0</v>
      </c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89">
        <v>45748.0</v>
      </c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89">
        <v>45778.0</v>
      </c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89">
        <v>45809.0</v>
      </c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89">
        <v>45839.0</v>
      </c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89">
        <v>45870.0</v>
      </c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89">
        <v>45901.0</v>
      </c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89">
        <v>45931.0</v>
      </c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89">
        <v>45962.0</v>
      </c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89">
        <v>45992.0</v>
      </c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71" t="s">
        <v>2101</v>
      </c>
      <c r="B50" s="90"/>
      <c r="C50" s="90"/>
      <c r="D50" s="90"/>
      <c r="E50" s="90"/>
      <c r="F50" s="90"/>
      <c r="G50" s="90"/>
      <c r="H50" s="9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1" t="s">
        <v>2069</v>
      </c>
      <c r="B51" s="91" t="s">
        <v>2102</v>
      </c>
      <c r="C51" s="91" t="s">
        <v>2103</v>
      </c>
      <c r="D51" s="113" t="s">
        <v>2072</v>
      </c>
      <c r="E51" s="30"/>
      <c r="F51" s="30"/>
      <c r="G51" s="8"/>
      <c r="H51" s="113" t="s">
        <v>2104</v>
      </c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8"/>
      <c r="W51" s="92" t="s">
        <v>2105</v>
      </c>
      <c r="X51" s="61"/>
      <c r="Y51" s="61"/>
      <c r="Z51" s="61"/>
      <c r="AA51" s="61"/>
      <c r="AB51" s="61"/>
      <c r="AC51" s="62"/>
      <c r="AD51" s="91" t="s">
        <v>2106</v>
      </c>
      <c r="AE51" s="113" t="s">
        <v>2107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6"/>
      <c r="B52" s="194" t="s">
        <v>2108</v>
      </c>
      <c r="C52" s="194" t="s">
        <v>2109</v>
      </c>
      <c r="D52" s="113" t="s">
        <v>2081</v>
      </c>
      <c r="E52" s="8"/>
      <c r="F52" s="113" t="s">
        <v>2082</v>
      </c>
      <c r="G52" s="8"/>
      <c r="H52" s="113" t="s">
        <v>2110</v>
      </c>
      <c r="I52" s="8"/>
      <c r="J52" s="113" t="s">
        <v>2111</v>
      </c>
      <c r="K52" s="30"/>
      <c r="L52" s="30"/>
      <c r="M52" s="8"/>
      <c r="N52" s="195" t="s">
        <v>2112</v>
      </c>
      <c r="O52" s="8"/>
      <c r="P52" s="113" t="s">
        <v>2113</v>
      </c>
      <c r="Q52" s="8"/>
      <c r="R52" s="196" t="s">
        <v>2114</v>
      </c>
      <c r="S52" s="8"/>
      <c r="T52" s="159" t="s">
        <v>2084</v>
      </c>
      <c r="U52" s="8"/>
      <c r="V52" s="73" t="s">
        <v>2086</v>
      </c>
      <c r="W52" s="67"/>
      <c r="X52" s="68"/>
      <c r="Y52" s="68"/>
      <c r="Z52" s="68"/>
      <c r="AA52" s="68"/>
      <c r="AB52" s="68"/>
      <c r="AC52" s="69"/>
      <c r="AD52" s="66"/>
      <c r="AE52" s="197" t="s">
        <v>2102</v>
      </c>
      <c r="AF52" s="197" t="s">
        <v>2115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98"/>
      <c r="C53" s="199" t="s">
        <v>2116</v>
      </c>
      <c r="D53" s="97" t="s">
        <v>2102</v>
      </c>
      <c r="E53" s="97" t="s">
        <v>2117</v>
      </c>
      <c r="F53" s="97" t="s">
        <v>2102</v>
      </c>
      <c r="G53" s="97" t="s">
        <v>2117</v>
      </c>
      <c r="H53" s="97" t="s">
        <v>2118</v>
      </c>
      <c r="I53" s="97" t="s">
        <v>2119</v>
      </c>
      <c r="J53" s="97" t="s">
        <v>2120</v>
      </c>
      <c r="K53" s="97" t="s">
        <v>2121</v>
      </c>
      <c r="L53" s="97" t="s">
        <v>2122</v>
      </c>
      <c r="M53" s="97" t="s">
        <v>2123</v>
      </c>
      <c r="N53" s="94" t="s">
        <v>2124</v>
      </c>
      <c r="O53" s="200" t="s">
        <v>2125</v>
      </c>
      <c r="P53" s="97" t="s">
        <v>2122</v>
      </c>
      <c r="Q53" s="97" t="s">
        <v>2123</v>
      </c>
      <c r="R53" s="179" t="s">
        <v>2124</v>
      </c>
      <c r="S53" s="97" t="s">
        <v>2125</v>
      </c>
      <c r="T53" s="97" t="s">
        <v>2124</v>
      </c>
      <c r="U53" s="97" t="s">
        <v>2125</v>
      </c>
      <c r="V53" s="97" t="s">
        <v>2126</v>
      </c>
      <c r="W53" s="97" t="s">
        <v>2127</v>
      </c>
      <c r="X53" s="97" t="s">
        <v>2128</v>
      </c>
      <c r="Y53" s="201" t="s">
        <v>2129</v>
      </c>
      <c r="Z53" s="113" t="s">
        <v>2130</v>
      </c>
      <c r="AA53" s="180" t="s">
        <v>2131</v>
      </c>
      <c r="AB53" s="181" t="s">
        <v>2132</v>
      </c>
      <c r="AC53" s="97" t="s">
        <v>2133</v>
      </c>
      <c r="AD53" s="10"/>
      <c r="AE53" s="197" t="s">
        <v>2134</v>
      </c>
      <c r="AF53" s="197" t="s">
        <v>2135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82">
        <v>1.0</v>
      </c>
      <c r="B54" s="182">
        <v>2.0</v>
      </c>
      <c r="C54" s="183">
        <v>3.0</v>
      </c>
      <c r="D54" s="182">
        <v>4.0</v>
      </c>
      <c r="E54" s="182">
        <v>5.0</v>
      </c>
      <c r="F54" s="182">
        <v>6.0</v>
      </c>
      <c r="G54" s="182">
        <v>7.0</v>
      </c>
      <c r="H54" s="182">
        <v>8.0</v>
      </c>
      <c r="I54" s="184">
        <v>9.0</v>
      </c>
      <c r="J54" s="184">
        <v>10.0</v>
      </c>
      <c r="K54" s="184">
        <v>11.0</v>
      </c>
      <c r="L54" s="184">
        <v>12.0</v>
      </c>
      <c r="M54" s="184">
        <v>13.0</v>
      </c>
      <c r="N54" s="184">
        <v>14.0</v>
      </c>
      <c r="O54" s="185">
        <v>15.0</v>
      </c>
      <c r="P54" s="184">
        <v>16.0</v>
      </c>
      <c r="Q54" s="184">
        <v>17.0</v>
      </c>
      <c r="R54" s="185">
        <v>18.0</v>
      </c>
      <c r="S54" s="184">
        <v>19.0</v>
      </c>
      <c r="T54" s="184">
        <v>20.0</v>
      </c>
      <c r="U54" s="182">
        <v>21.0</v>
      </c>
      <c r="V54" s="182">
        <v>22.0</v>
      </c>
      <c r="W54" s="182">
        <v>23.0</v>
      </c>
      <c r="X54" s="182">
        <v>24.0</v>
      </c>
      <c r="Y54" s="182">
        <v>25.0</v>
      </c>
      <c r="Z54" s="186">
        <v>26.0</v>
      </c>
      <c r="AA54" s="187">
        <v>27.0</v>
      </c>
      <c r="AB54" s="188">
        <v>28.0</v>
      </c>
      <c r="AC54" s="182">
        <v>29.0</v>
      </c>
      <c r="AD54" s="182">
        <v>30.0</v>
      </c>
      <c r="AE54" s="182">
        <v>31.0</v>
      </c>
      <c r="AF54" s="182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89">
        <v>45658.0</v>
      </c>
      <c r="B55" s="190"/>
      <c r="C55" s="191"/>
      <c r="D55" s="190"/>
      <c r="E55" s="190"/>
      <c r="F55" s="190"/>
      <c r="G55" s="190"/>
      <c r="H55" s="77"/>
      <c r="I55" s="192"/>
      <c r="J55" s="192"/>
      <c r="K55" s="192"/>
      <c r="L55" s="192"/>
      <c r="M55" s="192"/>
      <c r="N55" s="192"/>
      <c r="O55" s="152"/>
      <c r="P55" s="152"/>
      <c r="Q55" s="152"/>
      <c r="R55" s="152"/>
      <c r="S55" s="152"/>
      <c r="T55" s="152"/>
      <c r="U55" s="190"/>
      <c r="V55" s="190"/>
      <c r="W55" s="190"/>
      <c r="X55" s="190"/>
      <c r="Y55" s="190"/>
      <c r="Z55" s="190"/>
      <c r="AA55" s="193"/>
      <c r="AB55" s="190"/>
      <c r="AC55" s="190"/>
      <c r="AD55" s="152"/>
      <c r="AE55" s="152"/>
      <c r="AF55" s="15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202" t="s">
        <v>2136</v>
      </c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89">
        <v>45717.0</v>
      </c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89">
        <v>45748.0</v>
      </c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89">
        <v>45778.0</v>
      </c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89">
        <v>45809.0</v>
      </c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89">
        <v>45839.0</v>
      </c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89">
        <v>45870.0</v>
      </c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89">
        <v>45901.0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89">
        <v>45931.0</v>
      </c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89">
        <v>45962.0</v>
      </c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03">
        <v>45992.0</v>
      </c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71" t="s">
        <v>2137</v>
      </c>
      <c r="B70" s="90"/>
      <c r="C70" s="90"/>
      <c r="D70" s="90"/>
      <c r="E70" s="90"/>
      <c r="F70" s="90"/>
      <c r="G70" s="90"/>
      <c r="H70" s="9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1" t="s">
        <v>2069</v>
      </c>
      <c r="B71" s="204" t="s">
        <v>2072</v>
      </c>
      <c r="C71" s="61"/>
      <c r="D71" s="61"/>
      <c r="E71" s="61"/>
      <c r="F71" s="61"/>
      <c r="G71" s="62"/>
      <c r="H71" s="113" t="s">
        <v>2138</v>
      </c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8"/>
      <c r="X71" s="91" t="s">
        <v>2139</v>
      </c>
      <c r="Y71" s="91" t="s">
        <v>2139</v>
      </c>
      <c r="Z71" s="205"/>
      <c r="AA71" s="205"/>
      <c r="AB71" s="205"/>
      <c r="AC71" s="205"/>
      <c r="AD71" s="205"/>
      <c r="AE71" s="206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6"/>
      <c r="B72" s="92" t="s">
        <v>2140</v>
      </c>
      <c r="C72" s="91" t="s">
        <v>2141</v>
      </c>
      <c r="D72" s="159" t="s">
        <v>2081</v>
      </c>
      <c r="E72" s="8"/>
      <c r="F72" s="113" t="s">
        <v>2082</v>
      </c>
      <c r="G72" s="8"/>
      <c r="H72" s="113" t="s">
        <v>2142</v>
      </c>
      <c r="I72" s="30"/>
      <c r="J72" s="30"/>
      <c r="K72" s="30"/>
      <c r="L72" s="8"/>
      <c r="M72" s="113" t="s">
        <v>2143</v>
      </c>
      <c r="N72" s="30"/>
      <c r="O72" s="30"/>
      <c r="P72" s="30"/>
      <c r="Q72" s="30"/>
      <c r="R72" s="30"/>
      <c r="S72" s="30"/>
      <c r="T72" s="30"/>
      <c r="U72" s="8"/>
      <c r="V72" s="92" t="s">
        <v>2086</v>
      </c>
      <c r="W72" s="194" t="s">
        <v>2144</v>
      </c>
      <c r="X72" s="194" t="s">
        <v>2145</v>
      </c>
      <c r="Y72" s="194" t="s">
        <v>2146</v>
      </c>
      <c r="Z72" s="205"/>
      <c r="AA72" s="205"/>
      <c r="AB72" s="205"/>
      <c r="AC72" s="205"/>
      <c r="AE72" s="88"/>
      <c r="AF72" s="88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6"/>
      <c r="B73" s="207" t="s">
        <v>2147</v>
      </c>
      <c r="C73" s="194" t="s">
        <v>2147</v>
      </c>
      <c r="D73" s="208" t="s">
        <v>2148</v>
      </c>
      <c r="E73" s="91" t="s">
        <v>2149</v>
      </c>
      <c r="F73" s="91" t="s">
        <v>2148</v>
      </c>
      <c r="G73" s="91" t="s">
        <v>2149</v>
      </c>
      <c r="H73" s="91" t="s">
        <v>2150</v>
      </c>
      <c r="I73" s="91" t="s">
        <v>2151</v>
      </c>
      <c r="J73" s="91" t="s">
        <v>2124</v>
      </c>
      <c r="K73" s="91" t="s">
        <v>2152</v>
      </c>
      <c r="L73" s="91" t="s">
        <v>2153</v>
      </c>
      <c r="M73" s="91" t="s">
        <v>2154</v>
      </c>
      <c r="N73" s="113" t="s">
        <v>2085</v>
      </c>
      <c r="O73" s="30"/>
      <c r="P73" s="8"/>
      <c r="Q73" s="113" t="s">
        <v>2155</v>
      </c>
      <c r="R73" s="30"/>
      <c r="S73" s="8"/>
      <c r="T73" s="209" t="s">
        <v>2156</v>
      </c>
      <c r="U73" s="8"/>
      <c r="V73" s="210" t="s">
        <v>2157</v>
      </c>
      <c r="W73" s="211" t="s">
        <v>2158</v>
      </c>
      <c r="X73" s="211" t="s">
        <v>2159</v>
      </c>
      <c r="Y73" s="211" t="s">
        <v>2160</v>
      </c>
      <c r="Z73" s="206"/>
      <c r="AA73" s="212"/>
      <c r="AB73" s="206"/>
      <c r="AC73" s="206"/>
      <c r="AE73" s="88"/>
      <c r="AF73" s="88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213"/>
      <c r="C74" s="214"/>
      <c r="D74" s="69"/>
      <c r="E74" s="10"/>
      <c r="F74" s="10"/>
      <c r="G74" s="10"/>
      <c r="H74" s="10"/>
      <c r="I74" s="10"/>
      <c r="J74" s="10"/>
      <c r="K74" s="10"/>
      <c r="L74" s="10"/>
      <c r="M74" s="10"/>
      <c r="N74" s="97" t="s">
        <v>2161</v>
      </c>
      <c r="O74" s="215" t="s">
        <v>2124</v>
      </c>
      <c r="P74" s="97" t="s">
        <v>2162</v>
      </c>
      <c r="Q74" s="97" t="s">
        <v>2161</v>
      </c>
      <c r="R74" s="97" t="s">
        <v>2124</v>
      </c>
      <c r="S74" s="97" t="s">
        <v>2162</v>
      </c>
      <c r="T74" s="216" t="s">
        <v>2163</v>
      </c>
      <c r="U74" s="217" t="s">
        <v>2164</v>
      </c>
      <c r="V74" s="218" t="s">
        <v>2086</v>
      </c>
      <c r="W74" s="215" t="s">
        <v>2165</v>
      </c>
      <c r="X74" s="215" t="s">
        <v>2133</v>
      </c>
      <c r="Y74" s="215" t="s">
        <v>2166</v>
      </c>
      <c r="Z74" s="219"/>
      <c r="AA74" s="219"/>
      <c r="AB74" s="219"/>
      <c r="AC74" s="219"/>
      <c r="AD74" s="219"/>
      <c r="AE74" s="219"/>
      <c r="AF74" s="219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82">
        <v>1.0</v>
      </c>
      <c r="B75" s="187">
        <v>2.0</v>
      </c>
      <c r="C75" s="214">
        <v>3.0</v>
      </c>
      <c r="D75" s="182"/>
      <c r="E75" s="182">
        <v>5.0</v>
      </c>
      <c r="F75" s="182">
        <v>6.0</v>
      </c>
      <c r="G75" s="182">
        <v>7.0</v>
      </c>
      <c r="H75" s="182">
        <v>8.0</v>
      </c>
      <c r="I75" s="184">
        <v>9.0</v>
      </c>
      <c r="J75" s="184">
        <v>10.0</v>
      </c>
      <c r="K75" s="184">
        <v>11.0</v>
      </c>
      <c r="L75" s="184">
        <v>12.0</v>
      </c>
      <c r="M75" s="184">
        <v>13.0</v>
      </c>
      <c r="N75" s="184">
        <v>14.0</v>
      </c>
      <c r="O75" s="185">
        <v>15.0</v>
      </c>
      <c r="P75" s="184">
        <v>16.0</v>
      </c>
      <c r="Q75" s="184">
        <v>17.0</v>
      </c>
      <c r="R75" s="185">
        <v>18.0</v>
      </c>
      <c r="S75" s="184">
        <v>19.0</v>
      </c>
      <c r="T75" s="184">
        <v>20.0</v>
      </c>
      <c r="U75" s="182">
        <v>21.0</v>
      </c>
      <c r="V75" s="187">
        <v>22.0</v>
      </c>
      <c r="W75" s="187">
        <v>23.0</v>
      </c>
      <c r="X75" s="187">
        <v>24.0</v>
      </c>
      <c r="Y75" s="187">
        <v>25.0</v>
      </c>
      <c r="Z75" s="219"/>
      <c r="AA75" s="219"/>
      <c r="AB75" s="219"/>
      <c r="AC75" s="219"/>
      <c r="AD75" s="219"/>
      <c r="AE75" s="219"/>
      <c r="AF75" s="219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89">
        <v>45658.0</v>
      </c>
      <c r="B76" s="190"/>
      <c r="C76" s="191"/>
      <c r="D76" s="190"/>
      <c r="E76" s="190"/>
      <c r="F76" s="190"/>
      <c r="G76" s="190"/>
      <c r="H76" s="77"/>
      <c r="I76" s="192"/>
      <c r="J76" s="192"/>
      <c r="K76" s="192"/>
      <c r="L76" s="192"/>
      <c r="M76" s="192"/>
      <c r="N76" s="192"/>
      <c r="O76" s="152"/>
      <c r="P76" s="152"/>
      <c r="Q76" s="152"/>
      <c r="R76" s="152"/>
      <c r="S76" s="152"/>
      <c r="T76" s="152"/>
      <c r="U76" s="190"/>
      <c r="V76" s="190"/>
      <c r="W76" s="190"/>
      <c r="X76" s="190"/>
      <c r="Y76" s="190"/>
      <c r="Z76" s="90"/>
      <c r="AA76" s="220"/>
      <c r="AB76" s="90"/>
      <c r="AC76" s="90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202" t="s">
        <v>2136</v>
      </c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89">
        <v>45717.0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89">
        <v>45748.0</v>
      </c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89">
        <v>45778.0</v>
      </c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89">
        <v>45809.0</v>
      </c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89">
        <v>45839.0</v>
      </c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89">
        <v>45870.0</v>
      </c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89">
        <v>45901.0</v>
      </c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89">
        <v>45931.0</v>
      </c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89">
        <v>45962.0</v>
      </c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89">
        <v>45992.0</v>
      </c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52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71" t="s">
        <v>2167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221" t="s">
        <v>2069</v>
      </c>
      <c r="B92" s="159" t="s">
        <v>2168</v>
      </c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8"/>
      <c r="AK92" s="222" t="s">
        <v>2169</v>
      </c>
      <c r="AL92" s="223" t="s">
        <v>2139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6"/>
      <c r="B93" s="113" t="s">
        <v>2142</v>
      </c>
      <c r="C93" s="30"/>
      <c r="D93" s="30"/>
      <c r="E93" s="30"/>
      <c r="F93" s="8"/>
      <c r="G93" s="113" t="s">
        <v>2170</v>
      </c>
      <c r="H93" s="30"/>
      <c r="I93" s="30"/>
      <c r="J93" s="30"/>
      <c r="K93" s="30"/>
      <c r="L93" s="30"/>
      <c r="M93" s="30"/>
      <c r="N93" s="30"/>
      <c r="O93" s="30"/>
      <c r="P93" s="30"/>
      <c r="Q93" s="8"/>
      <c r="R93" s="92" t="s">
        <v>2171</v>
      </c>
      <c r="S93" s="62"/>
      <c r="T93" s="159" t="s">
        <v>2172</v>
      </c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8"/>
      <c r="AK93" s="224" t="s">
        <v>2173</v>
      </c>
      <c r="AL93" s="225" t="s">
        <v>2173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6"/>
      <c r="B94" s="91" t="s">
        <v>2150</v>
      </c>
      <c r="C94" s="91" t="s">
        <v>2151</v>
      </c>
      <c r="D94" s="91" t="s">
        <v>2124</v>
      </c>
      <c r="E94" s="91" t="s">
        <v>2152</v>
      </c>
      <c r="F94" s="91" t="s">
        <v>2153</v>
      </c>
      <c r="G94" s="55" t="s">
        <v>2154</v>
      </c>
      <c r="H94" s="8"/>
      <c r="I94" s="113" t="s">
        <v>2085</v>
      </c>
      <c r="J94" s="30"/>
      <c r="K94" s="30"/>
      <c r="L94" s="209" t="s">
        <v>2155</v>
      </c>
      <c r="M94" s="30"/>
      <c r="N94" s="8"/>
      <c r="O94" s="226" t="s">
        <v>2174</v>
      </c>
      <c r="P94" s="30"/>
      <c r="Q94" s="8"/>
      <c r="R94" s="227" t="s">
        <v>2162</v>
      </c>
      <c r="S94" s="91" t="s">
        <v>2124</v>
      </c>
      <c r="T94" s="159" t="s">
        <v>2175</v>
      </c>
      <c r="U94" s="30"/>
      <c r="V94" s="30"/>
      <c r="W94" s="30"/>
      <c r="X94" s="8"/>
      <c r="Y94" s="228" t="s">
        <v>2176</v>
      </c>
      <c r="Z94" s="30"/>
      <c r="AA94" s="30"/>
      <c r="AB94" s="8"/>
      <c r="AC94" s="228" t="s">
        <v>2176</v>
      </c>
      <c r="AD94" s="30"/>
      <c r="AE94" s="30"/>
      <c r="AF94" s="8"/>
      <c r="AG94" s="228" t="s">
        <v>2176</v>
      </c>
      <c r="AH94" s="30"/>
      <c r="AI94" s="30"/>
      <c r="AJ94" s="8"/>
      <c r="AK94" s="224" t="s">
        <v>2172</v>
      </c>
      <c r="AL94" s="225" t="s">
        <v>2172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6"/>
      <c r="B95" s="66"/>
      <c r="C95" s="66"/>
      <c r="D95" s="66"/>
      <c r="E95" s="66"/>
      <c r="F95" s="66"/>
      <c r="G95" s="229" t="s">
        <v>2177</v>
      </c>
      <c r="H95" s="230" t="s">
        <v>2178</v>
      </c>
      <c r="I95" s="194" t="s">
        <v>2161</v>
      </c>
      <c r="J95" s="91" t="s">
        <v>2124</v>
      </c>
      <c r="K95" s="91" t="s">
        <v>2162</v>
      </c>
      <c r="L95" s="91" t="s">
        <v>2161</v>
      </c>
      <c r="M95" s="91" t="s">
        <v>2124</v>
      </c>
      <c r="N95" s="231" t="s">
        <v>2162</v>
      </c>
      <c r="O95" s="232" t="s">
        <v>2179</v>
      </c>
      <c r="P95" s="30"/>
      <c r="Q95" s="8"/>
      <c r="R95" s="10"/>
      <c r="S95" s="10"/>
      <c r="T95" s="97" t="s">
        <v>2180</v>
      </c>
      <c r="U95" s="113" t="s">
        <v>2181</v>
      </c>
      <c r="V95" s="8"/>
      <c r="W95" s="113" t="s">
        <v>2182</v>
      </c>
      <c r="X95" s="8"/>
      <c r="Y95" s="113" t="s">
        <v>2183</v>
      </c>
      <c r="Z95" s="8"/>
      <c r="AA95" s="233" t="s">
        <v>2184</v>
      </c>
      <c r="AB95" s="69"/>
      <c r="AC95" s="113" t="s">
        <v>2185</v>
      </c>
      <c r="AD95" s="8"/>
      <c r="AE95" s="233" t="s">
        <v>2186</v>
      </c>
      <c r="AF95" s="69"/>
      <c r="AG95" s="113" t="s">
        <v>2187</v>
      </c>
      <c r="AH95" s="8"/>
      <c r="AI95" s="233" t="s">
        <v>2188</v>
      </c>
      <c r="AJ95" s="69"/>
      <c r="AK95" s="224" t="s">
        <v>2189</v>
      </c>
      <c r="AL95" s="225" t="s">
        <v>2166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228" t="s">
        <v>2190</v>
      </c>
      <c r="P96" s="97" t="s">
        <v>2191</v>
      </c>
      <c r="Q96" s="97" t="s">
        <v>2192</v>
      </c>
      <c r="R96" s="180" t="s">
        <v>2190</v>
      </c>
      <c r="S96" s="97" t="s">
        <v>2193</v>
      </c>
      <c r="T96" s="234" t="s">
        <v>2194</v>
      </c>
      <c r="U96" s="234" t="s">
        <v>2195</v>
      </c>
      <c r="V96" s="234" t="s">
        <v>2196</v>
      </c>
      <c r="W96" s="97" t="s">
        <v>2197</v>
      </c>
      <c r="X96" s="97" t="s">
        <v>2198</v>
      </c>
      <c r="Y96" s="97" t="s">
        <v>2099</v>
      </c>
      <c r="Z96" s="113" t="s">
        <v>2097</v>
      </c>
      <c r="AA96" s="180" t="s">
        <v>2099</v>
      </c>
      <c r="AB96" s="181" t="s">
        <v>2097</v>
      </c>
      <c r="AC96" s="97" t="s">
        <v>2099</v>
      </c>
      <c r="AD96" s="113" t="s">
        <v>2097</v>
      </c>
      <c r="AE96" s="180" t="s">
        <v>2099</v>
      </c>
      <c r="AF96" s="181" t="s">
        <v>2097</v>
      </c>
      <c r="AG96" s="97" t="s">
        <v>2099</v>
      </c>
      <c r="AH96" s="113" t="s">
        <v>2097</v>
      </c>
      <c r="AI96" s="180" t="s">
        <v>2099</v>
      </c>
      <c r="AJ96" s="159" t="s">
        <v>2097</v>
      </c>
      <c r="AK96" s="235" t="s">
        <v>2133</v>
      </c>
      <c r="AL96" s="51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36">
        <v>1.0</v>
      </c>
      <c r="B97" s="237">
        <v>2.0</v>
      </c>
      <c r="C97" s="237">
        <v>3.0</v>
      </c>
      <c r="D97" s="237">
        <v>4.0</v>
      </c>
      <c r="E97" s="237">
        <v>5.0</v>
      </c>
      <c r="F97" s="237">
        <v>6.0</v>
      </c>
      <c r="G97" s="237">
        <v>7.0</v>
      </c>
      <c r="H97" s="237">
        <v>8.0</v>
      </c>
      <c r="I97" s="238">
        <v>9.0</v>
      </c>
      <c r="J97" s="237">
        <v>10.0</v>
      </c>
      <c r="K97" s="237">
        <v>11.0</v>
      </c>
      <c r="L97" s="238">
        <v>12.0</v>
      </c>
      <c r="M97" s="237">
        <v>13.0</v>
      </c>
      <c r="N97" s="237">
        <v>14.0</v>
      </c>
      <c r="O97" s="237">
        <v>15.0</v>
      </c>
      <c r="P97" s="236">
        <v>16.0</v>
      </c>
      <c r="Q97" s="236">
        <v>17.0</v>
      </c>
      <c r="R97" s="239">
        <v>18.0</v>
      </c>
      <c r="S97" s="236">
        <v>19.0</v>
      </c>
      <c r="T97" s="236">
        <v>20.0</v>
      </c>
      <c r="U97" s="236">
        <v>21.0</v>
      </c>
      <c r="V97" s="236">
        <v>22.0</v>
      </c>
      <c r="W97" s="236">
        <v>23.0</v>
      </c>
      <c r="X97" s="236">
        <v>24.0</v>
      </c>
      <c r="Y97" s="236">
        <v>25.0</v>
      </c>
      <c r="Z97" s="240">
        <v>26.0</v>
      </c>
      <c r="AA97" s="239">
        <v>27.0</v>
      </c>
      <c r="AB97" s="241">
        <v>28.0</v>
      </c>
      <c r="AC97" s="236">
        <v>29.0</v>
      </c>
      <c r="AD97" s="236">
        <v>30.0</v>
      </c>
      <c r="AE97" s="236">
        <v>31.0</v>
      </c>
      <c r="AF97" s="236">
        <v>32.0</v>
      </c>
      <c r="AG97" s="242">
        <v>33.0</v>
      </c>
      <c r="AH97" s="242">
        <v>34.0</v>
      </c>
      <c r="AI97" s="242">
        <v>35.0</v>
      </c>
      <c r="AJ97" s="242">
        <v>36.0</v>
      </c>
      <c r="AK97" s="243">
        <v>37.0</v>
      </c>
      <c r="AL97" s="243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44">
        <v>45658.0</v>
      </c>
      <c r="B98" s="152"/>
      <c r="C98" s="245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46" t="s">
        <v>2136</v>
      </c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44">
        <v>45717.0</v>
      </c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44">
        <v>45748.0</v>
      </c>
      <c r="B101" s="152"/>
      <c r="C101" s="152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44">
        <v>45778.0</v>
      </c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44">
        <v>45809.0</v>
      </c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44">
        <v>45839.0</v>
      </c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44">
        <v>45870.0</v>
      </c>
      <c r="B105" s="152"/>
      <c r="C105" s="152"/>
      <c r="D105" s="152"/>
      <c r="E105" s="152"/>
      <c r="F105" s="152"/>
      <c r="G105" s="152"/>
      <c r="H105" s="152"/>
      <c r="I105" s="152"/>
      <c r="J105" s="152"/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44">
        <v>45901.0</v>
      </c>
      <c r="B106" s="152"/>
      <c r="C106" s="152"/>
      <c r="D106" s="152"/>
      <c r="E106" s="152"/>
      <c r="F106" s="152"/>
      <c r="G106" s="152"/>
      <c r="H106" s="152"/>
      <c r="I106" s="152"/>
      <c r="J106" s="152"/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44">
        <v>45931.0</v>
      </c>
      <c r="B107" s="152"/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44">
        <v>45962.0</v>
      </c>
      <c r="B108" s="152"/>
      <c r="C108" s="152"/>
      <c r="D108" s="152"/>
      <c r="E108" s="152"/>
      <c r="F108" s="152"/>
      <c r="G108" s="152"/>
      <c r="H108" s="152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44">
        <v>45992.0</v>
      </c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52"/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2199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2200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47" t="s">
        <v>39</v>
      </c>
      <c r="B5" s="247" t="s">
        <v>40</v>
      </c>
      <c r="C5" s="247" t="s">
        <v>2201</v>
      </c>
      <c r="D5" s="247" t="s">
        <v>2202</v>
      </c>
      <c r="E5" s="247" t="s">
        <v>43</v>
      </c>
      <c r="F5" s="247" t="s">
        <v>42</v>
      </c>
      <c r="G5" s="247" t="s">
        <v>44</v>
      </c>
      <c r="H5" s="247" t="s">
        <v>2203</v>
      </c>
      <c r="I5" s="247" t="s">
        <v>2204</v>
      </c>
      <c r="J5" s="248" t="s">
        <v>2205</v>
      </c>
      <c r="K5" s="3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249" t="s">
        <v>47</v>
      </c>
      <c r="K6" s="250" t="s">
        <v>48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51">
        <v>1.0</v>
      </c>
      <c r="B7" s="252">
        <v>2.0</v>
      </c>
      <c r="C7" s="252">
        <v>3.0</v>
      </c>
      <c r="D7" s="251">
        <v>4.0</v>
      </c>
      <c r="E7" s="252">
        <v>5.0</v>
      </c>
      <c r="F7" s="252">
        <v>6.0</v>
      </c>
      <c r="G7" s="251">
        <v>7.0</v>
      </c>
      <c r="H7" s="252">
        <v>8.0</v>
      </c>
      <c r="I7" s="252">
        <v>9.0</v>
      </c>
      <c r="J7" s="251">
        <v>10.0</v>
      </c>
      <c r="K7" s="252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7" t="s">
        <v>2206</v>
      </c>
      <c r="C8" s="253" t="s">
        <v>2207</v>
      </c>
      <c r="D8" s="24" t="s">
        <v>2208</v>
      </c>
      <c r="E8" s="47" t="s">
        <v>2209</v>
      </c>
      <c r="F8" s="254" t="s">
        <v>2210</v>
      </c>
      <c r="G8" s="47" t="s">
        <v>2211</v>
      </c>
      <c r="H8" s="47" t="s">
        <v>2212</v>
      </c>
      <c r="I8" s="47" t="s">
        <v>2213</v>
      </c>
      <c r="J8" s="47" t="s">
        <v>2214</v>
      </c>
      <c r="K8" s="25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7"/>
      <c r="C9" s="253" t="s">
        <v>2215</v>
      </c>
      <c r="D9" s="47"/>
      <c r="E9" s="47"/>
      <c r="F9" s="47"/>
      <c r="G9" s="47"/>
      <c r="H9" s="47"/>
      <c r="I9" s="47"/>
      <c r="J9" s="26"/>
      <c r="K9" s="25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7"/>
      <c r="C10" s="47"/>
      <c r="D10" s="47"/>
      <c r="E10" s="47"/>
      <c r="F10" s="47"/>
      <c r="G10" s="47"/>
      <c r="H10" s="47"/>
      <c r="I10" s="47"/>
      <c r="J10" s="26"/>
      <c r="K10" s="25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7"/>
      <c r="C11" s="47"/>
      <c r="D11" s="47"/>
      <c r="E11" s="47"/>
      <c r="F11" s="47"/>
      <c r="G11" s="47"/>
      <c r="H11" s="47"/>
      <c r="I11" s="47"/>
      <c r="J11" s="26"/>
      <c r="K11" s="255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7"/>
      <c r="C12" s="47"/>
      <c r="D12" s="24"/>
      <c r="E12" s="47"/>
      <c r="F12" s="47"/>
      <c r="G12" s="47"/>
      <c r="H12" s="47"/>
      <c r="I12" s="26"/>
      <c r="J12" s="26"/>
      <c r="K12" s="25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56"/>
      <c r="C13" s="47"/>
      <c r="D13" s="47"/>
      <c r="E13" s="47"/>
      <c r="F13" s="26"/>
      <c r="G13" s="47"/>
      <c r="H13" s="47"/>
      <c r="I13" s="47"/>
      <c r="J13" s="26"/>
      <c r="K13" s="255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50"/>
      <c r="C14" s="47"/>
      <c r="D14" s="47"/>
      <c r="E14" s="47"/>
      <c r="F14" s="26"/>
      <c r="G14" s="47"/>
      <c r="H14" s="47"/>
      <c r="I14" s="47"/>
      <c r="J14" s="26"/>
      <c r="K14" s="25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1"/>
      <c r="B15" s="26"/>
      <c r="C15" s="26"/>
      <c r="D15" s="26"/>
      <c r="E15" s="26"/>
      <c r="F15" s="26"/>
      <c r="G15" s="26"/>
      <c r="H15" s="26"/>
      <c r="I15" s="26"/>
      <c r="J15" s="26"/>
      <c r="K15" s="25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1"/>
      <c r="B16" s="26"/>
      <c r="C16" s="26"/>
      <c r="D16" s="26"/>
      <c r="E16" s="26"/>
      <c r="F16" s="26"/>
      <c r="G16" s="26"/>
      <c r="H16" s="26"/>
      <c r="I16" s="26"/>
      <c r="J16" s="26"/>
      <c r="K16" s="25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1"/>
      <c r="B17" s="26"/>
      <c r="C17" s="26"/>
      <c r="D17" s="26"/>
      <c r="E17" s="26"/>
      <c r="F17" s="26"/>
      <c r="G17" s="26"/>
      <c r="H17" s="26"/>
      <c r="I17" s="26"/>
      <c r="J17" s="26"/>
      <c r="K17" s="25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1"/>
      <c r="B18" s="26"/>
      <c r="C18" s="26"/>
      <c r="D18" s="26"/>
      <c r="E18" s="26"/>
      <c r="F18" s="26"/>
      <c r="G18" s="26"/>
      <c r="H18" s="26"/>
      <c r="I18" s="26"/>
      <c r="J18" s="26"/>
      <c r="K18" s="25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1"/>
      <c r="B19" s="26"/>
      <c r="C19" s="26"/>
      <c r="D19" s="26"/>
      <c r="E19" s="26"/>
      <c r="F19" s="26"/>
      <c r="G19" s="26"/>
      <c r="H19" s="26"/>
      <c r="I19" s="26"/>
      <c r="J19" s="26"/>
      <c r="K19" s="25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1"/>
      <c r="B20" s="26"/>
      <c r="C20" s="26"/>
      <c r="D20" s="26"/>
      <c r="E20" s="26"/>
      <c r="F20" s="26"/>
      <c r="G20" s="26"/>
      <c r="H20" s="26"/>
      <c r="I20" s="26"/>
      <c r="J20" s="26"/>
      <c r="K20" s="25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1"/>
      <c r="B21" s="26"/>
      <c r="C21" s="26"/>
      <c r="D21" s="26"/>
      <c r="E21" s="26"/>
      <c r="F21" s="26"/>
      <c r="G21" s="26"/>
      <c r="H21" s="26"/>
      <c r="I21" s="26"/>
      <c r="J21" s="26"/>
      <c r="K21" s="25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1"/>
      <c r="B22" s="26"/>
      <c r="C22" s="26"/>
      <c r="D22" s="26"/>
      <c r="E22" s="26"/>
      <c r="F22" s="26"/>
      <c r="G22" s="26"/>
      <c r="H22" s="26"/>
      <c r="I22" s="26"/>
      <c r="J22" s="26"/>
      <c r="K22" s="255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1"/>
      <c r="B23" s="26"/>
      <c r="C23" s="26"/>
      <c r="D23" s="26"/>
      <c r="E23" s="26"/>
      <c r="F23" s="26"/>
      <c r="G23" s="26"/>
      <c r="H23" s="26"/>
      <c r="I23" s="26"/>
      <c r="J23" s="257">
        <v>0.25</v>
      </c>
      <c r="K23" s="255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1"/>
      <c r="B24" s="26"/>
      <c r="C24" s="26"/>
      <c r="D24" s="26"/>
      <c r="E24" s="26"/>
      <c r="F24" s="26"/>
      <c r="G24" s="26"/>
      <c r="H24" s="26"/>
      <c r="I24" s="26"/>
      <c r="J24" s="26"/>
      <c r="K24" s="25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1"/>
      <c r="B25" s="26"/>
      <c r="C25" s="26"/>
      <c r="D25" s="26"/>
      <c r="E25" s="26"/>
      <c r="F25" s="26"/>
      <c r="G25" s="26"/>
      <c r="H25" s="26"/>
      <c r="I25" s="26"/>
      <c r="J25" s="26"/>
      <c r="K25" s="25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1"/>
      <c r="B26" s="26"/>
      <c r="C26" s="26"/>
      <c r="D26" s="26"/>
      <c r="E26" s="26"/>
      <c r="F26" s="26"/>
      <c r="G26" s="26"/>
      <c r="H26" s="26"/>
      <c r="I26" s="26"/>
      <c r="J26" s="26"/>
      <c r="K26" s="255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1"/>
      <c r="B27" s="26"/>
      <c r="C27" s="26"/>
      <c r="D27" s="26"/>
      <c r="E27" s="26"/>
      <c r="F27" s="26"/>
      <c r="G27" s="26"/>
      <c r="H27" s="26"/>
      <c r="I27" s="26"/>
      <c r="J27" s="26"/>
      <c r="K27" s="25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1"/>
      <c r="B28" s="26"/>
      <c r="C28" s="26"/>
      <c r="D28" s="26"/>
      <c r="E28" s="26"/>
      <c r="F28" s="26"/>
      <c r="G28" s="26"/>
      <c r="H28" s="26"/>
      <c r="I28" s="26"/>
      <c r="J28" s="26"/>
      <c r="K28" s="25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1"/>
      <c r="B29" s="26"/>
      <c r="C29" s="26"/>
      <c r="D29" s="26"/>
      <c r="E29" s="26"/>
      <c r="F29" s="26"/>
      <c r="G29" s="26"/>
      <c r="H29" s="26"/>
      <c r="I29" s="26"/>
      <c r="J29" s="26"/>
      <c r="K29" s="25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1"/>
      <c r="B30" s="26"/>
      <c r="C30" s="26"/>
      <c r="D30" s="26"/>
      <c r="E30" s="26"/>
      <c r="F30" s="26"/>
      <c r="G30" s="26"/>
      <c r="H30" s="26"/>
      <c r="I30" s="26"/>
      <c r="J30" s="26"/>
      <c r="K30" s="255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1"/>
      <c r="B31" s="26"/>
      <c r="C31" s="26"/>
      <c r="D31" s="26"/>
      <c r="E31" s="26"/>
      <c r="F31" s="26"/>
      <c r="G31" s="26"/>
      <c r="H31" s="26"/>
      <c r="I31" s="26"/>
      <c r="J31" s="26"/>
      <c r="K31" s="255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8" t="s">
        <v>37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58" t="s">
        <v>2216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2200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59" t="s">
        <v>39</v>
      </c>
      <c r="B4" s="259" t="s">
        <v>40</v>
      </c>
      <c r="C4" s="259" t="s">
        <v>41</v>
      </c>
      <c r="D4" s="259" t="s">
        <v>43</v>
      </c>
      <c r="E4" s="259" t="s">
        <v>42</v>
      </c>
      <c r="F4" s="259" t="s">
        <v>44</v>
      </c>
      <c r="G4" s="260" t="s">
        <v>2217</v>
      </c>
      <c r="H4" s="61"/>
      <c r="I4" s="61"/>
      <c r="J4" s="61"/>
      <c r="K4" s="62"/>
      <c r="L4" s="261" t="s">
        <v>2205</v>
      </c>
      <c r="M4" s="3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262" t="s">
        <v>2218</v>
      </c>
      <c r="H5" s="262" t="s">
        <v>2219</v>
      </c>
      <c r="I5" s="262" t="s">
        <v>2220</v>
      </c>
      <c r="J5" s="262" t="s">
        <v>2221</v>
      </c>
      <c r="K5" s="262" t="s">
        <v>2222</v>
      </c>
      <c r="L5" s="262" t="s">
        <v>47</v>
      </c>
      <c r="M5" s="263" t="s">
        <v>48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50">
        <v>45753.0</v>
      </c>
      <c r="C7" s="253" t="s">
        <v>2207</v>
      </c>
      <c r="D7" s="47" t="s">
        <v>2223</v>
      </c>
      <c r="E7" s="47" t="s">
        <v>2224</v>
      </c>
      <c r="F7" s="47" t="s">
        <v>2225</v>
      </c>
      <c r="G7" s="26"/>
      <c r="H7" s="26"/>
      <c r="I7" s="26"/>
      <c r="J7" s="26"/>
      <c r="K7" s="47" t="s">
        <v>2226</v>
      </c>
      <c r="L7" s="26"/>
      <c r="M7" s="25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50"/>
      <c r="C8" s="253" t="s">
        <v>2215</v>
      </c>
      <c r="D8" s="47"/>
      <c r="E8" s="47"/>
      <c r="F8" s="47"/>
      <c r="G8" s="26"/>
      <c r="H8" s="26"/>
      <c r="I8" s="26"/>
      <c r="J8" s="26"/>
      <c r="K8" s="47"/>
      <c r="L8" s="26"/>
      <c r="M8" s="25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50"/>
      <c r="C9" s="47"/>
      <c r="D9" s="47"/>
      <c r="E9" s="47"/>
      <c r="F9" s="47"/>
      <c r="G9" s="47"/>
      <c r="H9" s="47"/>
      <c r="I9" s="26"/>
      <c r="J9" s="26"/>
      <c r="K9" s="47"/>
      <c r="L9" s="26"/>
      <c r="M9" s="26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1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5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1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5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1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5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1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5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1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5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1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5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1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55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1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5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1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55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1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55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1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55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1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55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1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55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1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55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1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5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1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5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1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55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1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55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1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5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1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55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1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55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2227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2200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59" t="s">
        <v>39</v>
      </c>
      <c r="B4" s="259" t="s">
        <v>40</v>
      </c>
      <c r="C4" s="259" t="s">
        <v>41</v>
      </c>
      <c r="D4" s="259" t="s">
        <v>42</v>
      </c>
      <c r="E4" s="259" t="s">
        <v>43</v>
      </c>
      <c r="F4" s="259" t="s">
        <v>44</v>
      </c>
      <c r="G4" s="247" t="s">
        <v>45</v>
      </c>
      <c r="H4" s="261" t="s">
        <v>46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262" t="s">
        <v>47</v>
      </c>
      <c r="I5" s="262" t="s">
        <v>48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6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65">
        <v>1.0</v>
      </c>
      <c r="B7" s="47" t="s">
        <v>2228</v>
      </c>
      <c r="C7" s="253" t="s">
        <v>2207</v>
      </c>
      <c r="D7" s="47" t="s">
        <v>2229</v>
      </c>
      <c r="E7" s="47" t="s">
        <v>2230</v>
      </c>
      <c r="F7" s="47" t="s">
        <v>2231</v>
      </c>
      <c r="G7" s="47" t="s">
        <v>2232</v>
      </c>
      <c r="H7" s="47" t="s">
        <v>2233</v>
      </c>
      <c r="I7" s="2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65">
        <v>2.0</v>
      </c>
      <c r="B8" s="47"/>
      <c r="C8" s="47"/>
      <c r="D8" s="47"/>
      <c r="E8" s="47"/>
      <c r="F8" s="47"/>
      <c r="G8" s="47"/>
      <c r="H8" s="47"/>
      <c r="I8" s="2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65">
        <v>3.0</v>
      </c>
      <c r="B9" s="47"/>
      <c r="C9" s="47"/>
      <c r="D9" s="47"/>
      <c r="E9" s="47"/>
      <c r="F9" s="47"/>
      <c r="G9" s="47"/>
      <c r="H9" s="47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65">
        <v>4.0</v>
      </c>
      <c r="B10" s="47"/>
      <c r="C10" s="47"/>
      <c r="D10" s="266"/>
      <c r="E10" s="47"/>
      <c r="F10" s="47"/>
      <c r="G10" s="47"/>
      <c r="H10" s="47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65">
        <v>5.0</v>
      </c>
      <c r="B11" s="256"/>
      <c r="C11" s="47"/>
      <c r="D11" s="47"/>
      <c r="E11" s="47"/>
      <c r="F11" s="47"/>
      <c r="G11" s="47"/>
      <c r="H11" s="47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65">
        <v>6.0</v>
      </c>
      <c r="B12" s="26"/>
      <c r="C12" s="26"/>
      <c r="D12" s="26"/>
      <c r="E12" s="26"/>
      <c r="F12" s="26"/>
      <c r="G12" s="26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67"/>
      <c r="B13" s="26"/>
      <c r="C13" s="26"/>
      <c r="D13" s="26"/>
      <c r="E13" s="26"/>
      <c r="F13" s="26"/>
      <c r="G13" s="26"/>
      <c r="H13" s="26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67"/>
      <c r="B14" s="26"/>
      <c r="C14" s="26"/>
      <c r="D14" s="26"/>
      <c r="E14" s="26"/>
      <c r="F14" s="26"/>
      <c r="G14" s="26"/>
      <c r="H14" s="26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67"/>
      <c r="B15" s="26"/>
      <c r="C15" s="26"/>
      <c r="D15" s="26"/>
      <c r="E15" s="26"/>
      <c r="F15" s="26"/>
      <c r="G15" s="26"/>
      <c r="H15" s="26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67"/>
      <c r="B16" s="26"/>
      <c r="C16" s="26"/>
      <c r="D16" s="26"/>
      <c r="E16" s="26"/>
      <c r="F16" s="26"/>
      <c r="G16" s="26"/>
      <c r="H16" s="26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67"/>
      <c r="B17" s="26"/>
      <c r="C17" s="26"/>
      <c r="D17" s="26"/>
      <c r="E17" s="26"/>
      <c r="F17" s="26"/>
      <c r="G17" s="26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67"/>
      <c r="B18" s="26"/>
      <c r="C18" s="26"/>
      <c r="D18" s="26"/>
      <c r="E18" s="26"/>
      <c r="F18" s="26"/>
      <c r="G18" s="26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67"/>
      <c r="B19" s="26"/>
      <c r="C19" s="26"/>
      <c r="D19" s="26"/>
      <c r="E19" s="26"/>
      <c r="F19" s="26"/>
      <c r="G19" s="26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67"/>
      <c r="B20" s="26"/>
      <c r="C20" s="26"/>
      <c r="D20" s="26"/>
      <c r="E20" s="26"/>
      <c r="F20" s="26"/>
      <c r="G20" s="26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67"/>
      <c r="B21" s="26"/>
      <c r="C21" s="26"/>
      <c r="D21" s="26"/>
      <c r="E21" s="26"/>
      <c r="F21" s="26"/>
      <c r="G21" s="26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67"/>
      <c r="B22" s="26"/>
      <c r="C22" s="26"/>
      <c r="D22" s="26"/>
      <c r="E22" s="26"/>
      <c r="F22" s="26"/>
      <c r="G22" s="26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67"/>
      <c r="B23" s="26"/>
      <c r="C23" s="26"/>
      <c r="D23" s="26"/>
      <c r="E23" s="26"/>
      <c r="F23" s="26"/>
      <c r="G23" s="26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67"/>
      <c r="B24" s="26"/>
      <c r="C24" s="26"/>
      <c r="D24" s="26"/>
      <c r="E24" s="26"/>
      <c r="F24" s="26"/>
      <c r="G24" s="26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67"/>
      <c r="B25" s="26"/>
      <c r="C25" s="26"/>
      <c r="D25" s="26"/>
      <c r="E25" s="26"/>
      <c r="F25" s="26"/>
      <c r="G25" s="26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67"/>
      <c r="B26" s="26"/>
      <c r="C26" s="26"/>
      <c r="D26" s="26"/>
      <c r="E26" s="26"/>
      <c r="F26" s="26"/>
      <c r="G26" s="26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67"/>
      <c r="B27" s="26"/>
      <c r="C27" s="26"/>
      <c r="D27" s="26"/>
      <c r="E27" s="26"/>
      <c r="F27" s="26"/>
      <c r="G27" s="26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67"/>
      <c r="B28" s="26"/>
      <c r="C28" s="26"/>
      <c r="D28" s="26"/>
      <c r="E28" s="26"/>
      <c r="F28" s="26"/>
      <c r="G28" s="26"/>
      <c r="H28" s="26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67"/>
      <c r="B29" s="26"/>
      <c r="C29" s="26"/>
      <c r="D29" s="26"/>
      <c r="E29" s="26"/>
      <c r="F29" s="26"/>
      <c r="G29" s="26"/>
      <c r="H29" s="26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67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2234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2235</v>
      </c>
      <c r="B3" s="206" t="s">
        <v>2200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59" t="s">
        <v>39</v>
      </c>
      <c r="B5" s="259" t="s">
        <v>40</v>
      </c>
      <c r="C5" s="259" t="s">
        <v>41</v>
      </c>
      <c r="D5" s="259" t="s">
        <v>42</v>
      </c>
      <c r="E5" s="259" t="s">
        <v>43</v>
      </c>
      <c r="F5" s="259" t="s">
        <v>44</v>
      </c>
      <c r="G5" s="247" t="s">
        <v>45</v>
      </c>
      <c r="H5" s="261" t="s">
        <v>46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262" t="s">
        <v>47</v>
      </c>
      <c r="I6" s="262" t="s">
        <v>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6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7" t="s">
        <v>2236</v>
      </c>
      <c r="C8" s="253" t="s">
        <v>2207</v>
      </c>
      <c r="D8" s="28" t="s">
        <v>2237</v>
      </c>
      <c r="E8" s="47" t="s">
        <v>2238</v>
      </c>
      <c r="F8" s="47" t="s">
        <v>2239</v>
      </c>
      <c r="G8" s="47" t="s">
        <v>2240</v>
      </c>
      <c r="H8" s="47" t="s">
        <v>2241</v>
      </c>
      <c r="I8" s="2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7"/>
      <c r="C9" s="47"/>
      <c r="D9" s="26"/>
      <c r="E9" s="26"/>
      <c r="F9" s="26"/>
      <c r="G9" s="26"/>
      <c r="H9" s="26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7"/>
      <c r="C10" s="47"/>
      <c r="D10" s="268"/>
      <c r="E10" s="47"/>
      <c r="F10" s="47"/>
      <c r="G10" s="47"/>
      <c r="H10" s="24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67"/>
      <c r="B11" s="269"/>
      <c r="C11" s="26"/>
      <c r="D11" s="26"/>
      <c r="E11" s="26"/>
      <c r="F11" s="26"/>
      <c r="G11" s="47"/>
      <c r="H11" s="26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65"/>
      <c r="B12" s="270"/>
      <c r="C12" s="47"/>
      <c r="D12" s="266"/>
      <c r="E12" s="47"/>
      <c r="F12" s="47"/>
      <c r="G12" s="47"/>
      <c r="H12" s="47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65"/>
      <c r="B13" s="271"/>
      <c r="C13" s="47"/>
      <c r="D13" s="47"/>
      <c r="E13" s="47"/>
      <c r="F13" s="47"/>
      <c r="G13" s="47"/>
      <c r="H13" s="26"/>
      <c r="I13" s="4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67"/>
      <c r="B14" s="26"/>
      <c r="C14" s="26"/>
      <c r="D14" s="26"/>
      <c r="E14" s="26"/>
      <c r="F14" s="26"/>
      <c r="G14" s="26"/>
      <c r="H14" s="26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67"/>
      <c r="B15" s="26"/>
      <c r="C15" s="26"/>
      <c r="D15" s="26"/>
      <c r="E15" s="26"/>
      <c r="F15" s="26"/>
      <c r="G15" s="26"/>
      <c r="H15" s="26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67"/>
      <c r="B16" s="26"/>
      <c r="C16" s="26"/>
      <c r="D16" s="26"/>
      <c r="E16" s="26"/>
      <c r="F16" s="26"/>
      <c r="G16" s="26"/>
      <c r="H16" s="26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67"/>
      <c r="B17" s="26"/>
      <c r="C17" s="26"/>
      <c r="D17" s="26"/>
      <c r="E17" s="26"/>
      <c r="F17" s="26"/>
      <c r="G17" s="26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67"/>
      <c r="B18" s="26"/>
      <c r="C18" s="26"/>
      <c r="D18" s="26"/>
      <c r="E18" s="26"/>
      <c r="F18" s="26"/>
      <c r="G18" s="26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67"/>
      <c r="B19" s="26"/>
      <c r="C19" s="26"/>
      <c r="D19" s="26"/>
      <c r="E19" s="26"/>
      <c r="F19" s="26"/>
      <c r="G19" s="26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67"/>
      <c r="B20" s="26"/>
      <c r="C20" s="26"/>
      <c r="D20" s="26"/>
      <c r="E20" s="26"/>
      <c r="F20" s="26"/>
      <c r="G20" s="26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67"/>
      <c r="B21" s="26"/>
      <c r="C21" s="26"/>
      <c r="D21" s="26"/>
      <c r="E21" s="26"/>
      <c r="F21" s="26"/>
      <c r="G21" s="26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67"/>
      <c r="B22" s="26"/>
      <c r="C22" s="26"/>
      <c r="D22" s="26"/>
      <c r="E22" s="26"/>
      <c r="F22" s="26"/>
      <c r="G22" s="26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67"/>
      <c r="B23" s="26"/>
      <c r="C23" s="26"/>
      <c r="D23" s="26"/>
      <c r="E23" s="26"/>
      <c r="F23" s="26"/>
      <c r="G23" s="26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67"/>
      <c r="B24" s="26"/>
      <c r="C24" s="26"/>
      <c r="D24" s="26"/>
      <c r="E24" s="26"/>
      <c r="F24" s="26"/>
      <c r="G24" s="26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67"/>
      <c r="B25" s="26"/>
      <c r="C25" s="26"/>
      <c r="D25" s="26"/>
      <c r="E25" s="26"/>
      <c r="F25" s="26"/>
      <c r="G25" s="26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67"/>
      <c r="B26" s="26"/>
      <c r="C26" s="26"/>
      <c r="D26" s="26"/>
      <c r="E26" s="26"/>
      <c r="F26" s="26"/>
      <c r="G26" s="26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67"/>
      <c r="B27" s="26"/>
      <c r="C27" s="26"/>
      <c r="D27" s="26"/>
      <c r="E27" s="26"/>
      <c r="F27" s="26"/>
      <c r="G27" s="26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67"/>
      <c r="B28" s="26"/>
      <c r="C28" s="26"/>
      <c r="D28" s="26"/>
      <c r="E28" s="26"/>
      <c r="F28" s="26"/>
      <c r="G28" s="26"/>
      <c r="H28" s="26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67"/>
      <c r="B29" s="26"/>
      <c r="C29" s="26"/>
      <c r="D29" s="26"/>
      <c r="E29" s="26"/>
      <c r="F29" s="26"/>
      <c r="G29" s="26"/>
      <c r="H29" s="26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67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67"/>
      <c r="B31" s="26"/>
      <c r="C31" s="26"/>
      <c r="D31" s="26"/>
      <c r="E31" s="26"/>
      <c r="F31" s="26"/>
      <c r="G31" s="26"/>
      <c r="H31" s="26"/>
      <c r="I31" s="2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